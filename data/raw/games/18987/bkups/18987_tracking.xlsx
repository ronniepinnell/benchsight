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games/18987/"/>
    </mc:Choice>
  </mc:AlternateContent>
  <xr:revisionPtr revIDLastSave="0" documentId="13_ncr:2001_{4FDF52E0-5795-7F4D-917A-FCB6ED6AA01C}" xr6:coauthVersionLast="47" xr6:coauthVersionMax="47" xr10:uidLastSave="{00000000-0000-0000-0000-000000000000}"/>
  <bookViews>
    <workbookView xWindow="35980" yWindow="620" windowWidth="36980" windowHeight="20980" activeTab="3" xr2:uid="{EF01C613-D165-2D4B-B5E8-CA54AD994DA8}"/>
  </bookViews>
  <sheets>
    <sheet name="Rules" sheetId="5" r:id="rId1"/>
    <sheet name="Lists" sheetId="4" r:id="rId2"/>
    <sheet name="events" sheetId="1" r:id="rId3"/>
    <sheet name="shifts" sheetId="8" r:id="rId4"/>
  </sheets>
  <definedNames>
    <definedName name="_xlnm._FilterDatabase" localSheetId="2" hidden="1">events!$A$1:$AY$1713</definedName>
    <definedName name="DEfensive">Lists!$CQ:$CQ</definedName>
    <definedName name="EventType">Lists!$A$2:$A$16</definedName>
    <definedName name="Faceoff">Lists!$U$2:$U$1048576</definedName>
    <definedName name="Goal">Lists!$X$2:$X$1048576</definedName>
    <definedName name="Goal_PenaltyShot">Lists!$BO$2:$BO$1048576</definedName>
    <definedName name="Goal_Scored">Lists!$BM$2:$BM$1048576</definedName>
    <definedName name="Goal_Shootout">Lists!$BN$2:$BN$1048576</definedName>
    <definedName name="LoosePuck">Lists!$AD$2:$AD$1048576</definedName>
    <definedName name="Offensive">Lists!$CO:$CO</definedName>
    <definedName name="Pass">Lists!$W$2:$W$1048576</definedName>
    <definedName name="Pass_Completed">Lists!$AF$2:$AF$1048576</definedName>
    <definedName name="Pass_Deflected">Lists!$AH$2:$AH$1048576</definedName>
    <definedName name="Pass_Intercepted">Lists!$AI$2:$AI$1048576</definedName>
    <definedName name="Pass_Missed">Lists!$AG$2:$AG$1048576</definedName>
    <definedName name="Penalty">Lists!$AA$2:$AA$1048576</definedName>
    <definedName name="Penalty_Major">Lists!$AO$2:$AO$1048576</definedName>
    <definedName name="Penalty_Minor">Lists!$AP$2:$AP$1048576</definedName>
    <definedName name="Penalty_Offsetting">Lists!$AQ$2:$AQ$1048576</definedName>
    <definedName name="PenaltyShot_Missed">Lists!$AY$2:$AY$1048576</definedName>
    <definedName name="PenaltyShot_OnNet">Lists!$AX$2:$AX$1048576</definedName>
    <definedName name="PenaltyShot_Saved">Lists!$AZ$2:$AZ$1048576</definedName>
    <definedName name="PenaltyShot_Shootout">Lists!$AB$2:$AB$1048576</definedName>
    <definedName name="Play">Lists!$T:$T</definedName>
    <definedName name="Play_Defensive">Lists!$BS:$BS</definedName>
    <definedName name="Play_Offensive">Lists!$BR:$BR</definedName>
    <definedName name="Possession">Lists!$BT:$BT</definedName>
    <definedName name="Rebound">Lists!$BQ$2:$BQ$1048576</definedName>
    <definedName name="Save">Lists!$AE$2:$AE$1048576</definedName>
    <definedName name="Save_Freeze">Lists!$BB$2:$BB$1048576</definedName>
    <definedName name="Save_Played">Lists!$BP:$BP</definedName>
    <definedName name="Save_Rebound">Lists!$BA$2:$BA$1048576</definedName>
    <definedName name="Shootout_Missed">Lists!$AV$2:$AV$1048576</definedName>
    <definedName name="Shootout_OnNet">Lists!$AU$2:$AU$1048576</definedName>
    <definedName name="Shootout_Saved">Lists!$AW$2:$AW$1048576</definedName>
    <definedName name="Shot">Lists!$V$2:$V$1048576</definedName>
    <definedName name="Shot_Blocked">Lists!$BE$2:$BE$1048576</definedName>
    <definedName name="Shot_BlockedSameTeam">Lists!$BF$2:$BF$1048576</definedName>
    <definedName name="Shot_Deflected">Lists!$BG$2:$BG$1048576</definedName>
    <definedName name="Shot_DeflectedGoal">Lists!$BL$2:$BL$1048576</definedName>
    <definedName name="Shot_DeflectedOnNetSaved">Lists!$BH$2:$BH$1048576</definedName>
    <definedName name="Shot_Missed">Lists!$BD$2:$BD$1048576</definedName>
    <definedName name="Shot_MissedPost">Lists!$BW:$BW</definedName>
    <definedName name="Shot_OnNetGoal">Lists!$BJ$2:$BJ$1048576</definedName>
    <definedName name="Shot_OnNetSaved">Lists!$BC$2:$BC$1048576</definedName>
    <definedName name="Shot_TippedGoal">Lists!$BK$2:$BK$1048576</definedName>
    <definedName name="Shot_TippedOnNetSaved">Lists!$BI$2:$BI$1048576</definedName>
    <definedName name="Stoppage">Lists!$AC$2:$AC$1048576</definedName>
    <definedName name="Stoppage_Other">Lists!$AT$2:$AT$1048576</definedName>
    <definedName name="Stoppage_Period">Lists!$AS$2:$AS$1048576</definedName>
    <definedName name="Stoppage_Play">Lists!$AR$2:$AR$1048576</definedName>
    <definedName name="Turnover">Lists!$Y$2:$Y$1048576</definedName>
    <definedName name="Turnover_Giveaway">Lists!$AJ$2:$AJ$1048576</definedName>
    <definedName name="Turnover_Takeaway">Lists!$AK$2:$AK$1048576</definedName>
    <definedName name="Zone_Entry">Lists!$AL$2:$AL$1048576</definedName>
    <definedName name="Zone_Entry_Exit">Lists!$Z$2:$Z$1048576</definedName>
    <definedName name="Zone_EntryFailed">Lists!$DG:$DG</definedName>
    <definedName name="Zone_Exit">Lists!$AM$2:$AM$1048576</definedName>
    <definedName name="Zone_ExitFailed">Lists!$DH:$DH</definedName>
    <definedName name="Zone_Keepin">Lists!$AN$2:$AN$1048576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4" i="8" l="1"/>
  <c r="T104" i="8"/>
  <c r="Q109" i="8" l="1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7" i="8"/>
  <c r="P7" i="8"/>
  <c r="S7" i="8"/>
  <c r="T7" i="8"/>
  <c r="P109" i="8"/>
  <c r="R109" i="8"/>
  <c r="S109" i="8"/>
  <c r="T109" i="8"/>
  <c r="P110" i="8"/>
  <c r="R110" i="8"/>
  <c r="S110" i="8"/>
  <c r="T110" i="8"/>
  <c r="P111" i="8"/>
  <c r="R111" i="8"/>
  <c r="S111" i="8"/>
  <c r="T111" i="8"/>
  <c r="P112" i="8"/>
  <c r="R112" i="8"/>
  <c r="S112" i="8"/>
  <c r="T112" i="8"/>
  <c r="P113" i="8"/>
  <c r="R113" i="8"/>
  <c r="S113" i="8"/>
  <c r="T113" i="8"/>
  <c r="P114" i="8"/>
  <c r="R114" i="8"/>
  <c r="S114" i="8"/>
  <c r="T114" i="8"/>
  <c r="P115" i="8"/>
  <c r="R115" i="8"/>
  <c r="S115" i="8"/>
  <c r="T115" i="8"/>
  <c r="P116" i="8"/>
  <c r="R116" i="8"/>
  <c r="S116" i="8"/>
  <c r="T116" i="8"/>
  <c r="P117" i="8"/>
  <c r="R117" i="8"/>
  <c r="S117" i="8"/>
  <c r="T117" i="8"/>
  <c r="P118" i="8"/>
  <c r="R118" i="8"/>
  <c r="S118" i="8"/>
  <c r="T118" i="8"/>
  <c r="P119" i="8"/>
  <c r="R119" i="8"/>
  <c r="S119" i="8"/>
  <c r="T119" i="8"/>
  <c r="P120" i="8"/>
  <c r="R120" i="8"/>
  <c r="S120" i="8"/>
  <c r="T120" i="8"/>
  <c r="P121" i="8"/>
  <c r="R121" i="8"/>
  <c r="S121" i="8"/>
  <c r="T121" i="8"/>
  <c r="P122" i="8"/>
  <c r="R122" i="8"/>
  <c r="S122" i="8"/>
  <c r="T122" i="8"/>
  <c r="P123" i="8"/>
  <c r="R123" i="8"/>
  <c r="S123" i="8"/>
  <c r="T123" i="8"/>
  <c r="P124" i="8"/>
  <c r="R124" i="8"/>
  <c r="S124" i="8"/>
  <c r="T124" i="8"/>
  <c r="P125" i="8"/>
  <c r="R125" i="8"/>
  <c r="S125" i="8"/>
  <c r="T125" i="8"/>
  <c r="P126" i="8"/>
  <c r="R126" i="8"/>
  <c r="S126" i="8"/>
  <c r="T126" i="8"/>
  <c r="P127" i="8"/>
  <c r="R127" i="8"/>
  <c r="S127" i="8"/>
  <c r="T127" i="8"/>
  <c r="P128" i="8"/>
  <c r="R128" i="8"/>
  <c r="S128" i="8"/>
  <c r="T128" i="8"/>
  <c r="P129" i="8"/>
  <c r="R129" i="8"/>
  <c r="S129" i="8"/>
  <c r="T129" i="8"/>
  <c r="P130" i="8"/>
  <c r="R130" i="8"/>
  <c r="S130" i="8"/>
  <c r="T130" i="8"/>
  <c r="P131" i="8"/>
  <c r="R131" i="8"/>
  <c r="S131" i="8"/>
  <c r="T131" i="8"/>
  <c r="P132" i="8"/>
  <c r="R132" i="8"/>
  <c r="S132" i="8"/>
  <c r="T132" i="8"/>
  <c r="P133" i="8"/>
  <c r="R133" i="8"/>
  <c r="S133" i="8"/>
  <c r="T133" i="8"/>
  <c r="P134" i="8"/>
  <c r="R134" i="8"/>
  <c r="S134" i="8"/>
  <c r="T134" i="8"/>
  <c r="P135" i="8"/>
  <c r="R135" i="8"/>
  <c r="S135" i="8"/>
  <c r="T135" i="8"/>
  <c r="P136" i="8"/>
  <c r="R136" i="8"/>
  <c r="S136" i="8"/>
  <c r="T136" i="8"/>
  <c r="P137" i="8"/>
  <c r="R137" i="8"/>
  <c r="S137" i="8"/>
  <c r="T137" i="8"/>
  <c r="P138" i="8"/>
  <c r="R138" i="8"/>
  <c r="S138" i="8"/>
  <c r="T138" i="8"/>
  <c r="P139" i="8"/>
  <c r="R139" i="8"/>
  <c r="S139" i="8"/>
  <c r="T139" i="8"/>
  <c r="P140" i="8"/>
  <c r="R140" i="8"/>
  <c r="S140" i="8"/>
  <c r="T140" i="8"/>
  <c r="P141" i="8"/>
  <c r="R141" i="8"/>
  <c r="S141" i="8"/>
  <c r="T141" i="8"/>
  <c r="P142" i="8"/>
  <c r="R142" i="8"/>
  <c r="S142" i="8"/>
  <c r="T142" i="8"/>
  <c r="P143" i="8"/>
  <c r="R143" i="8"/>
  <c r="S143" i="8"/>
  <c r="T143" i="8"/>
  <c r="P144" i="8"/>
  <c r="R144" i="8"/>
  <c r="S144" i="8"/>
  <c r="T144" i="8"/>
  <c r="P145" i="8"/>
  <c r="R145" i="8"/>
  <c r="S145" i="8"/>
  <c r="T145" i="8"/>
  <c r="P146" i="8"/>
  <c r="R146" i="8"/>
  <c r="S146" i="8"/>
  <c r="T146" i="8"/>
  <c r="P147" i="8"/>
  <c r="R147" i="8"/>
  <c r="S147" i="8"/>
  <c r="T147" i="8"/>
  <c r="P148" i="8"/>
  <c r="R148" i="8"/>
  <c r="S148" i="8"/>
  <c r="T148" i="8"/>
  <c r="P149" i="8"/>
  <c r="R149" i="8"/>
  <c r="S149" i="8"/>
  <c r="T149" i="8"/>
  <c r="P150" i="8"/>
  <c r="R150" i="8"/>
  <c r="S150" i="8"/>
  <c r="T150" i="8"/>
  <c r="P151" i="8"/>
  <c r="R151" i="8"/>
  <c r="S151" i="8"/>
  <c r="T151" i="8"/>
  <c r="P152" i="8"/>
  <c r="R152" i="8"/>
  <c r="S152" i="8"/>
  <c r="T152" i="8"/>
  <c r="P153" i="8"/>
  <c r="R153" i="8"/>
  <c r="S153" i="8"/>
  <c r="T153" i="8"/>
  <c r="P154" i="8"/>
  <c r="R154" i="8"/>
  <c r="S154" i="8"/>
  <c r="T154" i="8"/>
  <c r="P155" i="8"/>
  <c r="R155" i="8"/>
  <c r="S155" i="8"/>
  <c r="T155" i="8"/>
  <c r="P156" i="8"/>
  <c r="R156" i="8"/>
  <c r="S156" i="8"/>
  <c r="T156" i="8"/>
  <c r="P157" i="8"/>
  <c r="R157" i="8"/>
  <c r="S157" i="8"/>
  <c r="T157" i="8"/>
  <c r="P158" i="8"/>
  <c r="R158" i="8"/>
  <c r="S158" i="8"/>
  <c r="T158" i="8"/>
  <c r="P159" i="8"/>
  <c r="R159" i="8"/>
  <c r="S159" i="8"/>
  <c r="T159" i="8"/>
  <c r="P160" i="8"/>
  <c r="R160" i="8"/>
  <c r="S160" i="8"/>
  <c r="T160" i="8"/>
  <c r="P161" i="8"/>
  <c r="R161" i="8"/>
  <c r="S161" i="8"/>
  <c r="T161" i="8"/>
  <c r="P162" i="8"/>
  <c r="R162" i="8"/>
  <c r="S162" i="8"/>
  <c r="T162" i="8"/>
  <c r="P163" i="8"/>
  <c r="R163" i="8"/>
  <c r="S163" i="8"/>
  <c r="T163" i="8"/>
  <c r="P164" i="8"/>
  <c r="R164" i="8"/>
  <c r="S164" i="8"/>
  <c r="T164" i="8"/>
  <c r="P165" i="8"/>
  <c r="R165" i="8"/>
  <c r="S165" i="8"/>
  <c r="T165" i="8"/>
  <c r="P166" i="8"/>
  <c r="R166" i="8"/>
  <c r="S166" i="8"/>
  <c r="T166" i="8"/>
  <c r="P167" i="8"/>
  <c r="R167" i="8"/>
  <c r="S167" i="8"/>
  <c r="T167" i="8"/>
  <c r="P168" i="8"/>
  <c r="R168" i="8"/>
  <c r="S168" i="8"/>
  <c r="T168" i="8"/>
  <c r="P169" i="8"/>
  <c r="R169" i="8"/>
  <c r="S169" i="8"/>
  <c r="T169" i="8"/>
  <c r="P170" i="8"/>
  <c r="R170" i="8"/>
  <c r="S170" i="8"/>
  <c r="T170" i="8"/>
  <c r="P171" i="8"/>
  <c r="R171" i="8"/>
  <c r="S171" i="8"/>
  <c r="T171" i="8"/>
  <c r="P172" i="8"/>
  <c r="R172" i="8"/>
  <c r="S172" i="8"/>
  <c r="T172" i="8"/>
  <c r="P173" i="8"/>
  <c r="R173" i="8"/>
  <c r="S173" i="8"/>
  <c r="T173" i="8"/>
  <c r="P174" i="8"/>
  <c r="R174" i="8"/>
  <c r="S174" i="8"/>
  <c r="T174" i="8"/>
  <c r="P175" i="8"/>
  <c r="R175" i="8"/>
  <c r="S175" i="8"/>
  <c r="T175" i="8"/>
  <c r="P176" i="8"/>
  <c r="R176" i="8"/>
  <c r="S176" i="8"/>
  <c r="T176" i="8"/>
  <c r="P177" i="8"/>
  <c r="R177" i="8"/>
  <c r="S177" i="8"/>
  <c r="T177" i="8"/>
  <c r="P178" i="8"/>
  <c r="R178" i="8"/>
  <c r="S178" i="8"/>
  <c r="T178" i="8"/>
  <c r="P179" i="8"/>
  <c r="R179" i="8"/>
  <c r="S179" i="8"/>
  <c r="T179" i="8"/>
  <c r="P180" i="8"/>
  <c r="R180" i="8"/>
  <c r="S180" i="8"/>
  <c r="T180" i="8"/>
  <c r="P181" i="8"/>
  <c r="R181" i="8"/>
  <c r="S181" i="8"/>
  <c r="T181" i="8"/>
  <c r="P182" i="8"/>
  <c r="R182" i="8"/>
  <c r="S182" i="8"/>
  <c r="T182" i="8"/>
  <c r="P183" i="8"/>
  <c r="R183" i="8"/>
  <c r="S183" i="8"/>
  <c r="T183" i="8"/>
  <c r="P184" i="8"/>
  <c r="R184" i="8"/>
  <c r="S184" i="8"/>
  <c r="T184" i="8"/>
  <c r="P185" i="8"/>
  <c r="R185" i="8"/>
  <c r="S185" i="8"/>
  <c r="T185" i="8"/>
  <c r="P186" i="8"/>
  <c r="R186" i="8"/>
  <c r="S186" i="8"/>
  <c r="T186" i="8"/>
  <c r="P187" i="8"/>
  <c r="R187" i="8"/>
  <c r="S187" i="8"/>
  <c r="T187" i="8"/>
  <c r="P188" i="8"/>
  <c r="R188" i="8"/>
  <c r="S188" i="8"/>
  <c r="T188" i="8"/>
  <c r="P189" i="8"/>
  <c r="R189" i="8"/>
  <c r="S189" i="8"/>
  <c r="T189" i="8"/>
  <c r="P190" i="8"/>
  <c r="R190" i="8"/>
  <c r="S190" i="8"/>
  <c r="T190" i="8"/>
  <c r="P191" i="8"/>
  <c r="R191" i="8"/>
  <c r="S191" i="8"/>
  <c r="T191" i="8"/>
  <c r="P192" i="8"/>
  <c r="R192" i="8"/>
  <c r="S192" i="8"/>
  <c r="T192" i="8"/>
  <c r="P193" i="8"/>
  <c r="R193" i="8"/>
  <c r="S193" i="8"/>
  <c r="T193" i="8"/>
  <c r="P194" i="8"/>
  <c r="R194" i="8"/>
  <c r="S194" i="8"/>
  <c r="T194" i="8"/>
  <c r="P195" i="8"/>
  <c r="R195" i="8"/>
  <c r="S195" i="8"/>
  <c r="T195" i="8"/>
  <c r="P196" i="8"/>
  <c r="R196" i="8"/>
  <c r="S196" i="8"/>
  <c r="T196" i="8"/>
  <c r="P197" i="8"/>
  <c r="R197" i="8"/>
  <c r="S197" i="8"/>
  <c r="T197" i="8"/>
  <c r="P198" i="8"/>
  <c r="R198" i="8"/>
  <c r="S198" i="8"/>
  <c r="T198" i="8"/>
  <c r="P199" i="8"/>
  <c r="R199" i="8"/>
  <c r="S199" i="8"/>
  <c r="T199" i="8"/>
  <c r="I109" i="8"/>
  <c r="J109" i="8"/>
  <c r="K109" i="8"/>
  <c r="L109" i="8"/>
  <c r="M109" i="8"/>
  <c r="I110" i="8"/>
  <c r="J110" i="8"/>
  <c r="K110" i="8"/>
  <c r="L110" i="8"/>
  <c r="M110" i="8"/>
  <c r="I111" i="8"/>
  <c r="J111" i="8"/>
  <c r="K111" i="8"/>
  <c r="L111" i="8"/>
  <c r="M111" i="8"/>
  <c r="I112" i="8"/>
  <c r="J112" i="8"/>
  <c r="K112" i="8"/>
  <c r="L112" i="8"/>
  <c r="M112" i="8"/>
  <c r="I113" i="8"/>
  <c r="J113" i="8"/>
  <c r="K113" i="8"/>
  <c r="L113" i="8"/>
  <c r="M113" i="8"/>
  <c r="I114" i="8"/>
  <c r="J114" i="8"/>
  <c r="K114" i="8"/>
  <c r="L114" i="8"/>
  <c r="M114" i="8"/>
  <c r="I115" i="8"/>
  <c r="J115" i="8"/>
  <c r="K115" i="8"/>
  <c r="L115" i="8"/>
  <c r="M115" i="8"/>
  <c r="I116" i="8"/>
  <c r="J116" i="8"/>
  <c r="K116" i="8"/>
  <c r="L116" i="8"/>
  <c r="M116" i="8"/>
  <c r="I117" i="8"/>
  <c r="J117" i="8"/>
  <c r="K117" i="8"/>
  <c r="L117" i="8"/>
  <c r="M117" i="8"/>
  <c r="I118" i="8"/>
  <c r="J118" i="8"/>
  <c r="K118" i="8"/>
  <c r="L118" i="8"/>
  <c r="M118" i="8"/>
  <c r="I119" i="8"/>
  <c r="J119" i="8"/>
  <c r="K119" i="8"/>
  <c r="L119" i="8"/>
  <c r="M119" i="8"/>
  <c r="I120" i="8"/>
  <c r="J120" i="8"/>
  <c r="K120" i="8"/>
  <c r="L120" i="8"/>
  <c r="M120" i="8"/>
  <c r="I121" i="8"/>
  <c r="J121" i="8"/>
  <c r="K121" i="8"/>
  <c r="L121" i="8"/>
  <c r="M121" i="8"/>
  <c r="I122" i="8"/>
  <c r="J122" i="8"/>
  <c r="K122" i="8"/>
  <c r="L122" i="8"/>
  <c r="M122" i="8"/>
  <c r="I123" i="8"/>
  <c r="J123" i="8"/>
  <c r="K123" i="8"/>
  <c r="L123" i="8"/>
  <c r="M123" i="8"/>
  <c r="I124" i="8"/>
  <c r="J124" i="8"/>
  <c r="K124" i="8"/>
  <c r="L124" i="8"/>
  <c r="M124" i="8"/>
  <c r="I125" i="8"/>
  <c r="J125" i="8"/>
  <c r="K125" i="8"/>
  <c r="L125" i="8"/>
  <c r="M125" i="8"/>
  <c r="I126" i="8"/>
  <c r="J126" i="8"/>
  <c r="K126" i="8"/>
  <c r="L126" i="8"/>
  <c r="M126" i="8"/>
  <c r="I127" i="8"/>
  <c r="J127" i="8"/>
  <c r="K127" i="8"/>
  <c r="L127" i="8"/>
  <c r="M127" i="8"/>
  <c r="I128" i="8"/>
  <c r="J128" i="8"/>
  <c r="K128" i="8"/>
  <c r="L128" i="8"/>
  <c r="M128" i="8"/>
  <c r="I129" i="8"/>
  <c r="J129" i="8"/>
  <c r="K129" i="8"/>
  <c r="L129" i="8"/>
  <c r="M129" i="8"/>
  <c r="I130" i="8"/>
  <c r="J130" i="8"/>
  <c r="K130" i="8"/>
  <c r="L130" i="8"/>
  <c r="M130" i="8"/>
  <c r="I131" i="8"/>
  <c r="J131" i="8"/>
  <c r="K131" i="8"/>
  <c r="L131" i="8"/>
  <c r="M131" i="8"/>
  <c r="I132" i="8"/>
  <c r="J132" i="8"/>
  <c r="K132" i="8"/>
  <c r="L132" i="8"/>
  <c r="M132" i="8"/>
  <c r="I133" i="8"/>
  <c r="J133" i="8"/>
  <c r="K133" i="8"/>
  <c r="L133" i="8"/>
  <c r="M133" i="8"/>
  <c r="I134" i="8"/>
  <c r="J134" i="8"/>
  <c r="K134" i="8"/>
  <c r="L134" i="8"/>
  <c r="M134" i="8"/>
  <c r="I135" i="8"/>
  <c r="J135" i="8"/>
  <c r="K135" i="8"/>
  <c r="L135" i="8"/>
  <c r="M135" i="8"/>
  <c r="I136" i="8"/>
  <c r="J136" i="8"/>
  <c r="K136" i="8"/>
  <c r="L136" i="8"/>
  <c r="M136" i="8"/>
  <c r="I137" i="8"/>
  <c r="J137" i="8"/>
  <c r="K137" i="8"/>
  <c r="L137" i="8"/>
  <c r="M137" i="8"/>
  <c r="I138" i="8"/>
  <c r="J138" i="8"/>
  <c r="K138" i="8"/>
  <c r="L138" i="8"/>
  <c r="M138" i="8"/>
  <c r="I139" i="8"/>
  <c r="J139" i="8"/>
  <c r="K139" i="8"/>
  <c r="L139" i="8"/>
  <c r="M139" i="8"/>
  <c r="I140" i="8"/>
  <c r="J140" i="8"/>
  <c r="K140" i="8"/>
  <c r="L140" i="8"/>
  <c r="M140" i="8"/>
  <c r="I141" i="8"/>
  <c r="J141" i="8"/>
  <c r="K141" i="8"/>
  <c r="L141" i="8"/>
  <c r="M141" i="8"/>
  <c r="I142" i="8"/>
  <c r="J142" i="8"/>
  <c r="K142" i="8"/>
  <c r="L142" i="8"/>
  <c r="M142" i="8"/>
  <c r="I143" i="8"/>
  <c r="J143" i="8"/>
  <c r="K143" i="8"/>
  <c r="L143" i="8"/>
  <c r="M143" i="8"/>
  <c r="I144" i="8"/>
  <c r="J144" i="8"/>
  <c r="K144" i="8"/>
  <c r="L144" i="8"/>
  <c r="M144" i="8"/>
  <c r="I145" i="8"/>
  <c r="J145" i="8"/>
  <c r="K145" i="8"/>
  <c r="L145" i="8"/>
  <c r="M145" i="8"/>
  <c r="I146" i="8"/>
  <c r="J146" i="8"/>
  <c r="K146" i="8"/>
  <c r="L146" i="8"/>
  <c r="M146" i="8"/>
  <c r="I147" i="8"/>
  <c r="J147" i="8"/>
  <c r="K147" i="8"/>
  <c r="L147" i="8"/>
  <c r="M147" i="8"/>
  <c r="I148" i="8"/>
  <c r="J148" i="8"/>
  <c r="K148" i="8"/>
  <c r="L148" i="8"/>
  <c r="M148" i="8"/>
  <c r="I149" i="8"/>
  <c r="J149" i="8"/>
  <c r="K149" i="8"/>
  <c r="L149" i="8"/>
  <c r="M149" i="8"/>
  <c r="I150" i="8"/>
  <c r="J150" i="8"/>
  <c r="K150" i="8"/>
  <c r="L150" i="8"/>
  <c r="M150" i="8"/>
  <c r="I151" i="8"/>
  <c r="J151" i="8"/>
  <c r="K151" i="8"/>
  <c r="L151" i="8"/>
  <c r="M151" i="8"/>
  <c r="I152" i="8"/>
  <c r="J152" i="8"/>
  <c r="K152" i="8"/>
  <c r="L152" i="8"/>
  <c r="M152" i="8"/>
  <c r="I153" i="8"/>
  <c r="J153" i="8"/>
  <c r="K153" i="8"/>
  <c r="L153" i="8"/>
  <c r="M153" i="8"/>
  <c r="I154" i="8"/>
  <c r="J154" i="8"/>
  <c r="K154" i="8"/>
  <c r="L154" i="8"/>
  <c r="M154" i="8"/>
  <c r="I155" i="8"/>
  <c r="J155" i="8"/>
  <c r="K155" i="8"/>
  <c r="L155" i="8"/>
  <c r="M155" i="8"/>
  <c r="I156" i="8"/>
  <c r="J156" i="8"/>
  <c r="K156" i="8"/>
  <c r="L156" i="8"/>
  <c r="M156" i="8"/>
  <c r="I157" i="8"/>
  <c r="J157" i="8"/>
  <c r="K157" i="8"/>
  <c r="L157" i="8"/>
  <c r="M157" i="8"/>
  <c r="I158" i="8"/>
  <c r="J158" i="8"/>
  <c r="K158" i="8"/>
  <c r="L158" i="8"/>
  <c r="M158" i="8"/>
  <c r="I159" i="8"/>
  <c r="J159" i="8"/>
  <c r="K159" i="8"/>
  <c r="L159" i="8"/>
  <c r="M159" i="8"/>
  <c r="I160" i="8"/>
  <c r="J160" i="8"/>
  <c r="K160" i="8"/>
  <c r="L160" i="8"/>
  <c r="M160" i="8"/>
  <c r="I161" i="8"/>
  <c r="J161" i="8"/>
  <c r="K161" i="8"/>
  <c r="L161" i="8"/>
  <c r="M161" i="8"/>
  <c r="I162" i="8"/>
  <c r="J162" i="8"/>
  <c r="K162" i="8"/>
  <c r="L162" i="8"/>
  <c r="M162" i="8"/>
  <c r="I163" i="8"/>
  <c r="J163" i="8"/>
  <c r="K163" i="8"/>
  <c r="L163" i="8"/>
  <c r="M163" i="8"/>
  <c r="I164" i="8"/>
  <c r="J164" i="8"/>
  <c r="K164" i="8"/>
  <c r="L164" i="8"/>
  <c r="M164" i="8"/>
  <c r="I165" i="8"/>
  <c r="J165" i="8"/>
  <c r="K165" i="8"/>
  <c r="L165" i="8"/>
  <c r="M165" i="8"/>
  <c r="I166" i="8"/>
  <c r="J166" i="8"/>
  <c r="K166" i="8"/>
  <c r="L166" i="8"/>
  <c r="M166" i="8"/>
  <c r="I167" i="8"/>
  <c r="J167" i="8"/>
  <c r="K167" i="8"/>
  <c r="L167" i="8"/>
  <c r="M167" i="8"/>
  <c r="I168" i="8"/>
  <c r="J168" i="8"/>
  <c r="K168" i="8"/>
  <c r="L168" i="8"/>
  <c r="M168" i="8"/>
  <c r="I169" i="8"/>
  <c r="J169" i="8"/>
  <c r="K169" i="8"/>
  <c r="L169" i="8"/>
  <c r="M169" i="8"/>
  <c r="I170" i="8"/>
  <c r="J170" i="8"/>
  <c r="K170" i="8"/>
  <c r="L170" i="8"/>
  <c r="M170" i="8"/>
  <c r="I171" i="8"/>
  <c r="J171" i="8"/>
  <c r="K171" i="8"/>
  <c r="L171" i="8"/>
  <c r="M171" i="8"/>
  <c r="I172" i="8"/>
  <c r="J172" i="8"/>
  <c r="K172" i="8"/>
  <c r="L172" i="8"/>
  <c r="M172" i="8"/>
  <c r="I173" i="8"/>
  <c r="J173" i="8"/>
  <c r="K173" i="8"/>
  <c r="L173" i="8"/>
  <c r="M173" i="8"/>
  <c r="I174" i="8"/>
  <c r="J174" i="8"/>
  <c r="K174" i="8"/>
  <c r="L174" i="8"/>
  <c r="M174" i="8"/>
  <c r="I175" i="8"/>
  <c r="J175" i="8"/>
  <c r="K175" i="8"/>
  <c r="L175" i="8"/>
  <c r="M175" i="8"/>
  <c r="I176" i="8"/>
  <c r="J176" i="8"/>
  <c r="K176" i="8"/>
  <c r="L176" i="8"/>
  <c r="M176" i="8"/>
  <c r="I177" i="8"/>
  <c r="J177" i="8"/>
  <c r="K177" i="8"/>
  <c r="L177" i="8"/>
  <c r="M177" i="8"/>
  <c r="I178" i="8"/>
  <c r="J178" i="8"/>
  <c r="K178" i="8"/>
  <c r="L178" i="8"/>
  <c r="M178" i="8"/>
  <c r="I179" i="8"/>
  <c r="J179" i="8"/>
  <c r="K179" i="8"/>
  <c r="L179" i="8"/>
  <c r="M179" i="8"/>
  <c r="I180" i="8"/>
  <c r="J180" i="8"/>
  <c r="K180" i="8"/>
  <c r="L180" i="8"/>
  <c r="M180" i="8"/>
  <c r="I181" i="8"/>
  <c r="J181" i="8"/>
  <c r="K181" i="8"/>
  <c r="L181" i="8"/>
  <c r="M181" i="8"/>
  <c r="I182" i="8"/>
  <c r="J182" i="8"/>
  <c r="K182" i="8"/>
  <c r="L182" i="8"/>
  <c r="M182" i="8"/>
  <c r="I183" i="8"/>
  <c r="J183" i="8"/>
  <c r="K183" i="8"/>
  <c r="L183" i="8"/>
  <c r="M183" i="8"/>
  <c r="I184" i="8"/>
  <c r="J184" i="8"/>
  <c r="K184" i="8"/>
  <c r="L184" i="8"/>
  <c r="M184" i="8"/>
  <c r="I185" i="8"/>
  <c r="J185" i="8"/>
  <c r="K185" i="8"/>
  <c r="L185" i="8"/>
  <c r="M185" i="8"/>
  <c r="I186" i="8"/>
  <c r="J186" i="8"/>
  <c r="K186" i="8"/>
  <c r="L186" i="8"/>
  <c r="M186" i="8"/>
  <c r="I187" i="8"/>
  <c r="J187" i="8"/>
  <c r="K187" i="8"/>
  <c r="L187" i="8"/>
  <c r="M187" i="8"/>
  <c r="I188" i="8"/>
  <c r="J188" i="8"/>
  <c r="K188" i="8"/>
  <c r="L188" i="8"/>
  <c r="M188" i="8"/>
  <c r="I189" i="8"/>
  <c r="J189" i="8"/>
  <c r="K189" i="8"/>
  <c r="L189" i="8"/>
  <c r="M189" i="8"/>
  <c r="I190" i="8"/>
  <c r="J190" i="8"/>
  <c r="K190" i="8"/>
  <c r="L190" i="8"/>
  <c r="M190" i="8"/>
  <c r="I191" i="8"/>
  <c r="J191" i="8"/>
  <c r="K191" i="8"/>
  <c r="L191" i="8"/>
  <c r="M191" i="8"/>
  <c r="I192" i="8"/>
  <c r="J192" i="8"/>
  <c r="K192" i="8"/>
  <c r="L192" i="8"/>
  <c r="M192" i="8"/>
  <c r="I193" i="8"/>
  <c r="J193" i="8"/>
  <c r="K193" i="8"/>
  <c r="L193" i="8"/>
  <c r="M193" i="8"/>
  <c r="I194" i="8"/>
  <c r="J194" i="8"/>
  <c r="K194" i="8"/>
  <c r="L194" i="8"/>
  <c r="M194" i="8"/>
  <c r="I195" i="8"/>
  <c r="J195" i="8"/>
  <c r="K195" i="8"/>
  <c r="L195" i="8"/>
  <c r="M195" i="8"/>
  <c r="I196" i="8"/>
  <c r="J196" i="8"/>
  <c r="K196" i="8"/>
  <c r="L196" i="8"/>
  <c r="M196" i="8"/>
  <c r="I197" i="8"/>
  <c r="J197" i="8"/>
  <c r="K197" i="8"/>
  <c r="L197" i="8"/>
  <c r="M197" i="8"/>
  <c r="I198" i="8"/>
  <c r="J198" i="8"/>
  <c r="K198" i="8"/>
  <c r="L198" i="8"/>
  <c r="M198" i="8"/>
  <c r="N6" i="8"/>
  <c r="T2931" i="1"/>
  <c r="T2930" i="1"/>
  <c r="T2929" i="1"/>
  <c r="T2928" i="1"/>
  <c r="T2927" i="1"/>
  <c r="T2926" i="1"/>
  <c r="T2904" i="1"/>
  <c r="T2903" i="1"/>
  <c r="T2902" i="1"/>
  <c r="T2886" i="1"/>
  <c r="T2887" i="1"/>
  <c r="T2888" i="1"/>
  <c r="T2874" i="1"/>
  <c r="T2873" i="1"/>
  <c r="T2872" i="1"/>
  <c r="T2740" i="1"/>
  <c r="T2739" i="1"/>
  <c r="T2738" i="1"/>
  <c r="T2737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5" i="1"/>
  <c r="T2876" i="1"/>
  <c r="T2877" i="1"/>
  <c r="T2878" i="1"/>
  <c r="T2879" i="1"/>
  <c r="T2880" i="1"/>
  <c r="T2881" i="1"/>
  <c r="T2882" i="1"/>
  <c r="T2883" i="1"/>
  <c r="T2884" i="1"/>
  <c r="T2885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2639" i="1"/>
  <c r="AN2639" i="1"/>
  <c r="AM2639" i="1"/>
  <c r="AM2640" i="1" s="1"/>
  <c r="AM2641" i="1"/>
  <c r="AM2642" i="1" s="1"/>
  <c r="AM2643" i="1" s="1"/>
  <c r="AN2641" i="1"/>
  <c r="AM2644" i="1"/>
  <c r="AM2645" i="1" s="1"/>
  <c r="AM2646" i="1" s="1"/>
  <c r="AM2647" i="1" s="1"/>
  <c r="T2638" i="1"/>
  <c r="T2637" i="1"/>
  <c r="T2636" i="1"/>
  <c r="T2608" i="1"/>
  <c r="AM2605" i="1"/>
  <c r="AM2606" i="1" s="1"/>
  <c r="AM2607" i="1" s="1"/>
  <c r="AN2605" i="1"/>
  <c r="AN2606" i="1" s="1"/>
  <c r="AN2607" i="1" s="1"/>
  <c r="AN2608" i="1"/>
  <c r="AN2609" i="1" s="1"/>
  <c r="AN2610" i="1" s="1"/>
  <c r="AN2611" i="1" s="1"/>
  <c r="AN2612" i="1" s="1"/>
  <c r="AN2613" i="1" s="1"/>
  <c r="AN2614" i="1" s="1"/>
  <c r="AN2615" i="1" s="1"/>
  <c r="AN2616" i="1" s="1"/>
  <c r="AN2617" i="1" s="1"/>
  <c r="AN2618" i="1" s="1"/>
  <c r="AN2619" i="1" s="1"/>
  <c r="AN2620" i="1" s="1"/>
  <c r="AN2621" i="1" s="1"/>
  <c r="AN2622" i="1" s="1"/>
  <c r="AN2623" i="1" s="1"/>
  <c r="AN2624" i="1" s="1"/>
  <c r="AN2625" i="1" s="1"/>
  <c r="AN2626" i="1" s="1"/>
  <c r="AN2627" i="1" s="1"/>
  <c r="AN2628" i="1" s="1"/>
  <c r="AN2629" i="1" s="1"/>
  <c r="AN2630" i="1" s="1"/>
  <c r="AN2631" i="1" s="1"/>
  <c r="AN2632" i="1" s="1"/>
  <c r="AN2633" i="1" s="1"/>
  <c r="AN2634" i="1" s="1"/>
  <c r="AN2635" i="1" s="1"/>
  <c r="AN2636" i="1" s="1"/>
  <c r="AN2637" i="1" s="1"/>
  <c r="AN2638" i="1" s="1"/>
  <c r="AM7" i="1"/>
  <c r="AM8" i="1" s="1"/>
  <c r="AM9" i="1" s="1"/>
  <c r="AN7" i="1"/>
  <c r="AN8" i="1" s="1"/>
  <c r="AN9" i="1" s="1"/>
  <c r="AM10" i="1"/>
  <c r="AN10" i="1"/>
  <c r="AM11" i="1"/>
  <c r="AN11" i="1"/>
  <c r="AM12" i="1"/>
  <c r="AN12" i="1"/>
  <c r="AN13" i="1" s="1"/>
  <c r="AN14" i="1" s="1"/>
  <c r="AM13" i="1"/>
  <c r="AM14" i="1"/>
  <c r="AM15" i="1"/>
  <c r="AN15" i="1"/>
  <c r="AM16" i="1"/>
  <c r="AN16" i="1"/>
  <c r="AM17" i="1"/>
  <c r="AN17" i="1"/>
  <c r="AM18" i="1"/>
  <c r="AM19" i="1" s="1"/>
  <c r="AM20" i="1" s="1"/>
  <c r="AN18" i="1"/>
  <c r="AN19" i="1" s="1"/>
  <c r="AN20" i="1" s="1"/>
  <c r="AM21" i="1"/>
  <c r="AN21" i="1"/>
  <c r="AM22" i="1"/>
  <c r="AM23" i="1" s="1"/>
  <c r="AN22" i="1"/>
  <c r="AN23" i="1" s="1"/>
  <c r="AM24" i="1"/>
  <c r="AN24" i="1"/>
  <c r="AM25" i="1"/>
  <c r="AN25" i="1"/>
  <c r="AM26" i="1"/>
  <c r="AN26" i="1"/>
  <c r="AM27" i="1"/>
  <c r="AM28" i="1" s="1"/>
  <c r="AM29" i="1" s="1"/>
  <c r="AM30" i="1" s="1"/>
  <c r="AN27" i="1"/>
  <c r="AN28" i="1" s="1"/>
  <c r="AN29" i="1" s="1"/>
  <c r="AN30" i="1" s="1"/>
  <c r="AM31" i="1"/>
  <c r="AM32" i="1" s="1"/>
  <c r="AN31" i="1"/>
  <c r="AN32" i="1"/>
  <c r="AM33" i="1"/>
  <c r="AN33" i="1"/>
  <c r="AN34" i="1" s="1"/>
  <c r="AM34" i="1"/>
  <c r="AM35" i="1"/>
  <c r="AN35" i="1"/>
  <c r="AM36" i="1"/>
  <c r="AN36" i="1"/>
  <c r="AN37" i="1" s="1"/>
  <c r="AM37" i="1"/>
  <c r="AM38" i="1"/>
  <c r="AM39" i="1" s="1"/>
  <c r="AN38" i="1"/>
  <c r="AN39" i="1" s="1"/>
  <c r="AM40" i="1"/>
  <c r="AN40" i="1"/>
  <c r="AM41" i="1"/>
  <c r="AN41" i="1"/>
  <c r="AM42" i="1"/>
  <c r="AN42" i="1"/>
  <c r="AM43" i="1"/>
  <c r="AN43" i="1"/>
  <c r="AM44" i="1"/>
  <c r="AN44" i="1"/>
  <c r="AM45" i="1"/>
  <c r="AN45" i="1"/>
  <c r="AN46" i="1" s="1"/>
  <c r="AM46" i="1"/>
  <c r="AM47" i="1"/>
  <c r="AN47" i="1"/>
  <c r="AM48" i="1"/>
  <c r="AN48" i="1"/>
  <c r="AM49" i="1"/>
  <c r="AN49" i="1"/>
  <c r="AN50" i="1" s="1"/>
  <c r="AM50" i="1"/>
  <c r="AM51" i="1"/>
  <c r="AN51" i="1"/>
  <c r="AM52" i="1"/>
  <c r="AM53" i="1" s="1"/>
  <c r="AM54" i="1" s="1"/>
  <c r="AM55" i="1" s="1"/>
  <c r="AN52" i="1"/>
  <c r="AN53" i="1"/>
  <c r="AN54" i="1"/>
  <c r="AN55" i="1" s="1"/>
  <c r="AM56" i="1"/>
  <c r="AM57" i="1" s="1"/>
  <c r="AM58" i="1" s="1"/>
  <c r="AM59" i="1" s="1"/>
  <c r="AN56" i="1"/>
  <c r="AN57" i="1" s="1"/>
  <c r="AN58" i="1" s="1"/>
  <c r="AN59" i="1" s="1"/>
  <c r="AM60" i="1"/>
  <c r="AN60" i="1"/>
  <c r="AM61" i="1"/>
  <c r="AN61" i="1"/>
  <c r="AM62" i="1"/>
  <c r="AN62" i="1"/>
  <c r="AM63" i="1"/>
  <c r="AM64" i="1" s="1"/>
  <c r="AM65" i="1" s="1"/>
  <c r="AN63" i="1"/>
  <c r="AN64" i="1"/>
  <c r="AN65" i="1"/>
  <c r="AN66" i="1" s="1"/>
  <c r="AN67" i="1" s="1"/>
  <c r="AN68" i="1" s="1"/>
  <c r="AN69" i="1" s="1"/>
  <c r="AM66" i="1"/>
  <c r="AM67" i="1" s="1"/>
  <c r="AM68" i="1" s="1"/>
  <c r="AM69" i="1" s="1"/>
  <c r="AM70" i="1"/>
  <c r="AM71" i="1" s="1"/>
  <c r="AN70" i="1"/>
  <c r="AN71" i="1" s="1"/>
  <c r="AM72" i="1"/>
  <c r="AN72" i="1"/>
  <c r="AM73" i="1"/>
  <c r="AN73" i="1"/>
  <c r="AN74" i="1" s="1"/>
  <c r="AM74" i="1"/>
  <c r="AM75" i="1"/>
  <c r="AN75" i="1"/>
  <c r="AM76" i="1"/>
  <c r="AN76" i="1"/>
  <c r="AM77" i="1"/>
  <c r="AN77" i="1"/>
  <c r="AM78" i="1"/>
  <c r="AN78" i="1"/>
  <c r="AM79" i="1"/>
  <c r="AN79" i="1"/>
  <c r="AM80" i="1"/>
  <c r="AN80" i="1"/>
  <c r="AM81" i="1"/>
  <c r="AN81" i="1"/>
  <c r="AN82" i="1" s="1"/>
  <c r="AM82" i="1"/>
  <c r="AM83" i="1"/>
  <c r="AN83" i="1"/>
  <c r="AM84" i="1"/>
  <c r="AN84" i="1"/>
  <c r="AM85" i="1"/>
  <c r="AM86" i="1" s="1"/>
  <c r="AM87" i="1" s="1"/>
  <c r="AM88" i="1" s="1"/>
  <c r="AN85" i="1"/>
  <c r="AN86" i="1" s="1"/>
  <c r="AN87" i="1" s="1"/>
  <c r="AN88" i="1" s="1"/>
  <c r="AM89" i="1"/>
  <c r="AN89" i="1"/>
  <c r="AN90" i="1" s="1"/>
  <c r="AM90" i="1"/>
  <c r="AM91" i="1" s="1"/>
  <c r="AN91" i="1"/>
  <c r="AM92" i="1"/>
  <c r="AN92" i="1"/>
  <c r="AM93" i="1"/>
  <c r="AM94" i="1" s="1"/>
  <c r="AN93" i="1"/>
  <c r="AN94" i="1"/>
  <c r="AM95" i="1"/>
  <c r="AN95" i="1"/>
  <c r="AM96" i="1"/>
  <c r="AN96" i="1"/>
  <c r="AM97" i="1"/>
  <c r="AM98" i="1" s="1"/>
  <c r="AN97" i="1"/>
  <c r="AN98" i="1" s="1"/>
  <c r="AM99" i="1"/>
  <c r="AN99" i="1"/>
  <c r="AM100" i="1"/>
  <c r="AM101" i="1" s="1"/>
  <c r="AM102" i="1" s="1"/>
  <c r="AN100" i="1"/>
  <c r="AN101" i="1" s="1"/>
  <c r="AN102" i="1" s="1"/>
  <c r="AM103" i="1"/>
  <c r="AN103" i="1"/>
  <c r="AN104" i="1" s="1"/>
  <c r="AM104" i="1"/>
  <c r="AM105" i="1"/>
  <c r="AN105" i="1"/>
  <c r="AM106" i="1"/>
  <c r="AN106" i="1"/>
  <c r="AM107" i="1"/>
  <c r="AN107" i="1"/>
  <c r="AN108" i="1" s="1"/>
  <c r="AM108" i="1"/>
  <c r="AM109" i="1"/>
  <c r="AN109" i="1"/>
  <c r="AM110" i="1"/>
  <c r="AN110" i="1"/>
  <c r="AM111" i="1"/>
  <c r="AN111" i="1"/>
  <c r="AN112" i="1" s="1"/>
  <c r="AM112" i="1"/>
  <c r="AM113" i="1"/>
  <c r="AN113" i="1"/>
  <c r="AN114" i="1" s="1"/>
  <c r="AM114" i="1"/>
  <c r="AM115" i="1"/>
  <c r="AN115" i="1"/>
  <c r="AM116" i="1"/>
  <c r="AN116" i="1"/>
  <c r="AN117" i="1" s="1"/>
  <c r="AM117" i="1"/>
  <c r="AM118" i="1"/>
  <c r="AN118" i="1"/>
  <c r="AM119" i="1"/>
  <c r="AM120" i="1" s="1"/>
  <c r="AN119" i="1"/>
  <c r="AN120" i="1" s="1"/>
  <c r="AM121" i="1"/>
  <c r="AN121" i="1"/>
  <c r="AN122" i="1" s="1"/>
  <c r="AM122" i="1"/>
  <c r="AM123" i="1"/>
  <c r="AM124" i="1" s="1"/>
  <c r="AN123" i="1"/>
  <c r="AN124" i="1"/>
  <c r="AM125" i="1"/>
  <c r="AN125" i="1"/>
  <c r="AM126" i="1"/>
  <c r="AM127" i="1" s="1"/>
  <c r="AN126" i="1"/>
  <c r="AN127" i="1" s="1"/>
  <c r="AM128" i="1"/>
  <c r="AN128" i="1"/>
  <c r="AM129" i="1"/>
  <c r="AM130" i="1" s="1"/>
  <c r="AM131" i="1" s="1"/>
  <c r="AN129" i="1"/>
  <c r="AN130" i="1" s="1"/>
  <c r="AN131" i="1" s="1"/>
  <c r="AM132" i="1"/>
  <c r="AN132" i="1"/>
  <c r="AN133" i="1" s="1"/>
  <c r="AM133" i="1"/>
  <c r="AM134" i="1"/>
  <c r="AM135" i="1" s="1"/>
  <c r="AN134" i="1"/>
  <c r="AN135" i="1" s="1"/>
  <c r="AM136" i="1"/>
  <c r="AN136" i="1"/>
  <c r="AM137" i="1"/>
  <c r="AN137" i="1"/>
  <c r="AN138" i="1" s="1"/>
  <c r="AM138" i="1"/>
  <c r="AM139" i="1"/>
  <c r="AN139" i="1"/>
  <c r="AN140" i="1" s="1"/>
  <c r="AN141" i="1" s="1"/>
  <c r="AM140" i="1"/>
  <c r="AM141" i="1" s="1"/>
  <c r="AM142" i="1"/>
  <c r="AM143" i="1" s="1"/>
  <c r="AM144" i="1" s="1"/>
  <c r="AN142" i="1"/>
  <c r="AN143" i="1" s="1"/>
  <c r="AN144" i="1" s="1"/>
  <c r="AM145" i="1"/>
  <c r="AN145" i="1"/>
  <c r="AN146" i="1" s="1"/>
  <c r="AM146" i="1"/>
  <c r="AM147" i="1"/>
  <c r="AN147" i="1"/>
  <c r="AM148" i="1"/>
  <c r="AN148" i="1"/>
  <c r="AM149" i="1"/>
  <c r="AN149" i="1"/>
  <c r="AM150" i="1"/>
  <c r="AM151" i="1" s="1"/>
  <c r="AN150" i="1"/>
  <c r="AN151" i="1" s="1"/>
  <c r="AM152" i="1"/>
  <c r="AM153" i="1" s="1"/>
  <c r="AN152" i="1"/>
  <c r="AN153" i="1" s="1"/>
  <c r="AM154" i="1"/>
  <c r="AN154" i="1"/>
  <c r="AM155" i="1"/>
  <c r="AN155" i="1"/>
  <c r="AM156" i="1"/>
  <c r="AN156" i="1"/>
  <c r="AM157" i="1"/>
  <c r="AN157" i="1"/>
  <c r="AM158" i="1"/>
  <c r="AM159" i="1" s="1"/>
  <c r="AN158" i="1"/>
  <c r="AN159" i="1" s="1"/>
  <c r="AM160" i="1"/>
  <c r="AN160" i="1"/>
  <c r="AM161" i="1"/>
  <c r="AN161" i="1"/>
  <c r="AM162" i="1"/>
  <c r="AN162" i="1"/>
  <c r="AM163" i="1"/>
  <c r="AN163" i="1"/>
  <c r="AM164" i="1"/>
  <c r="AN164" i="1"/>
  <c r="AM165" i="1"/>
  <c r="AN165" i="1"/>
  <c r="AM166" i="1"/>
  <c r="AN166" i="1"/>
  <c r="AM167" i="1"/>
  <c r="AN167" i="1"/>
  <c r="AM168" i="1"/>
  <c r="AN168" i="1"/>
  <c r="AM169" i="1"/>
  <c r="AM170" i="1" s="1"/>
  <c r="AN169" i="1"/>
  <c r="AN170" i="1" s="1"/>
  <c r="AM171" i="1"/>
  <c r="AM172" i="1" s="1"/>
  <c r="AM173" i="1" s="1"/>
  <c r="AN171" i="1"/>
  <c r="AN172" i="1" s="1"/>
  <c r="AN173" i="1" s="1"/>
  <c r="AM174" i="1"/>
  <c r="AN174" i="1"/>
  <c r="AM175" i="1"/>
  <c r="AN175" i="1"/>
  <c r="AM176" i="1"/>
  <c r="AN176" i="1"/>
  <c r="AM177" i="1"/>
  <c r="AN177" i="1"/>
  <c r="AM178" i="1"/>
  <c r="AN178" i="1"/>
  <c r="AN179" i="1" s="1"/>
  <c r="AM179" i="1"/>
  <c r="AM180" i="1"/>
  <c r="AN180" i="1"/>
  <c r="AM181" i="1"/>
  <c r="AN181" i="1"/>
  <c r="AM182" i="1"/>
  <c r="AM183" i="1" s="1"/>
  <c r="AM184" i="1" s="1"/>
  <c r="AN182" i="1"/>
  <c r="AN183" i="1" s="1"/>
  <c r="AN184" i="1" s="1"/>
  <c r="AM185" i="1"/>
  <c r="AM186" i="1" s="1"/>
  <c r="AN185" i="1"/>
  <c r="AN186" i="1" s="1"/>
  <c r="AM187" i="1"/>
  <c r="AM188" i="1" s="1"/>
  <c r="AM189" i="1" s="1"/>
  <c r="AN187" i="1"/>
  <c r="AN188" i="1"/>
  <c r="AN189" i="1"/>
  <c r="AM190" i="1"/>
  <c r="AM191" i="1" s="1"/>
  <c r="AM192" i="1" s="1"/>
  <c r="AN190" i="1"/>
  <c r="AN191" i="1" s="1"/>
  <c r="AN192" i="1" s="1"/>
  <c r="AM193" i="1"/>
  <c r="AN193" i="1"/>
  <c r="AM194" i="1"/>
  <c r="AN194" i="1"/>
  <c r="AM195" i="1"/>
  <c r="AM196" i="1" s="1"/>
  <c r="AM197" i="1" s="1"/>
  <c r="AN195" i="1"/>
  <c r="AN196" i="1" s="1"/>
  <c r="AN197" i="1" s="1"/>
  <c r="AM198" i="1"/>
  <c r="AN198" i="1"/>
  <c r="AM199" i="1"/>
  <c r="AN199" i="1"/>
  <c r="AM200" i="1"/>
  <c r="AN200" i="1"/>
  <c r="AM201" i="1"/>
  <c r="AN201" i="1"/>
  <c r="AM202" i="1"/>
  <c r="AN202" i="1"/>
  <c r="AM203" i="1"/>
  <c r="AM204" i="1" s="1"/>
  <c r="AM205" i="1" s="1"/>
  <c r="AM206" i="1" s="1"/>
  <c r="AM207" i="1" s="1"/>
  <c r="AM208" i="1" s="1"/>
  <c r="AM209" i="1" s="1"/>
  <c r="AN203" i="1"/>
  <c r="AN204" i="1" s="1"/>
  <c r="AN205" i="1" s="1"/>
  <c r="AN206" i="1" s="1"/>
  <c r="AN207" i="1" s="1"/>
  <c r="AN208" i="1" s="1"/>
  <c r="AN209" i="1" s="1"/>
  <c r="AM210" i="1"/>
  <c r="AN210" i="1"/>
  <c r="AM211" i="1"/>
  <c r="AN211" i="1"/>
  <c r="AM212" i="1"/>
  <c r="AN212" i="1"/>
  <c r="AM213" i="1"/>
  <c r="AM214" i="1" s="1"/>
  <c r="AN213" i="1"/>
  <c r="AN214" i="1" s="1"/>
  <c r="AM215" i="1"/>
  <c r="AM216" i="1" s="1"/>
  <c r="AN215" i="1"/>
  <c r="AN216" i="1" s="1"/>
  <c r="AM217" i="1"/>
  <c r="AN217" i="1"/>
  <c r="AM218" i="1"/>
  <c r="AN218" i="1"/>
  <c r="AM219" i="1"/>
  <c r="AM220" i="1" s="1"/>
  <c r="AN219" i="1"/>
  <c r="AN220" i="1" s="1"/>
  <c r="AM221" i="1"/>
  <c r="AN221" i="1"/>
  <c r="AM222" i="1"/>
  <c r="AN222" i="1"/>
  <c r="AM223" i="1"/>
  <c r="AN223" i="1"/>
  <c r="AM224" i="1"/>
  <c r="AN224" i="1"/>
  <c r="AM225" i="1"/>
  <c r="AN225" i="1"/>
  <c r="AM226" i="1"/>
  <c r="AN226" i="1"/>
  <c r="AN227" i="1" s="1"/>
  <c r="AM227" i="1"/>
  <c r="AM228" i="1"/>
  <c r="AN228" i="1"/>
  <c r="AM229" i="1"/>
  <c r="AN229" i="1"/>
  <c r="AM230" i="1"/>
  <c r="AN230" i="1"/>
  <c r="AM231" i="1"/>
  <c r="AN231" i="1"/>
  <c r="AM232" i="1"/>
  <c r="AN232" i="1"/>
  <c r="AM233" i="1"/>
  <c r="AN233" i="1"/>
  <c r="AM234" i="1"/>
  <c r="AN234" i="1"/>
  <c r="AN235" i="1" s="1"/>
  <c r="AN236" i="1" s="1"/>
  <c r="AM235" i="1"/>
  <c r="AM236" i="1" s="1"/>
  <c r="AM237" i="1"/>
  <c r="AN237" i="1"/>
  <c r="AM238" i="1"/>
  <c r="AM239" i="1" s="1"/>
  <c r="AN238" i="1"/>
  <c r="AN239" i="1" s="1"/>
  <c r="AM240" i="1"/>
  <c r="AN240" i="1"/>
  <c r="AM241" i="1"/>
  <c r="AM242" i="1" s="1"/>
  <c r="AN241" i="1"/>
  <c r="AN242" i="1" s="1"/>
  <c r="AM243" i="1"/>
  <c r="AN243" i="1"/>
  <c r="AM244" i="1"/>
  <c r="AN244" i="1"/>
  <c r="AM245" i="1"/>
  <c r="AN245" i="1"/>
  <c r="AM246" i="1"/>
  <c r="AN246" i="1"/>
  <c r="AM247" i="1"/>
  <c r="AN247" i="1"/>
  <c r="AM248" i="1"/>
  <c r="AN248" i="1"/>
  <c r="AM249" i="1"/>
  <c r="AN249" i="1"/>
  <c r="AM250" i="1"/>
  <c r="AN250" i="1"/>
  <c r="AM251" i="1"/>
  <c r="AN251" i="1"/>
  <c r="AM252" i="1"/>
  <c r="AM253" i="1" s="1"/>
  <c r="AM254" i="1" s="1"/>
  <c r="AN252" i="1"/>
  <c r="AN253" i="1"/>
  <c r="AN254" i="1" s="1"/>
  <c r="AM255" i="1"/>
  <c r="AM256" i="1" s="1"/>
  <c r="AN255" i="1"/>
  <c r="AN256" i="1" s="1"/>
  <c r="AM257" i="1"/>
  <c r="AN257" i="1"/>
  <c r="AM258" i="1"/>
  <c r="AN258" i="1"/>
  <c r="AM259" i="1"/>
  <c r="AN259" i="1"/>
  <c r="AM260" i="1"/>
  <c r="AN260" i="1"/>
  <c r="AM261" i="1"/>
  <c r="AM262" i="1" s="1"/>
  <c r="AN261" i="1"/>
  <c r="AN262" i="1"/>
  <c r="AM263" i="1"/>
  <c r="AM264" i="1" s="1"/>
  <c r="AN263" i="1"/>
  <c r="AN264" i="1" s="1"/>
  <c r="AM265" i="1"/>
  <c r="AM266" i="1" s="1"/>
  <c r="AM267" i="1" s="1"/>
  <c r="AN265" i="1"/>
  <c r="AN266" i="1" s="1"/>
  <c r="AN267" i="1" s="1"/>
  <c r="AM268" i="1"/>
  <c r="AN268" i="1"/>
  <c r="AM269" i="1"/>
  <c r="AN269" i="1"/>
  <c r="AM270" i="1"/>
  <c r="AN270" i="1"/>
  <c r="AM271" i="1"/>
  <c r="AN271" i="1"/>
  <c r="AM272" i="1"/>
  <c r="AN272" i="1"/>
  <c r="AM273" i="1"/>
  <c r="AN273" i="1"/>
  <c r="AN274" i="1" s="1"/>
  <c r="AN275" i="1" s="1"/>
  <c r="AM274" i="1"/>
  <c r="AM275" i="1" s="1"/>
  <c r="AM276" i="1"/>
  <c r="AM277" i="1" s="1"/>
  <c r="AN276" i="1"/>
  <c r="AN277" i="1"/>
  <c r="AM278" i="1"/>
  <c r="AM279" i="1" s="1"/>
  <c r="AM280" i="1" s="1"/>
  <c r="AN278" i="1"/>
  <c r="AN279" i="1" s="1"/>
  <c r="AN280" i="1" s="1"/>
  <c r="AM281" i="1"/>
  <c r="AN281" i="1"/>
  <c r="AN282" i="1" s="1"/>
  <c r="AM282" i="1"/>
  <c r="AM283" i="1"/>
  <c r="AN283" i="1"/>
  <c r="AM284" i="1"/>
  <c r="AM285" i="1" s="1"/>
  <c r="AN284" i="1"/>
  <c r="AN285" i="1" s="1"/>
  <c r="AM286" i="1"/>
  <c r="AM287" i="1" s="1"/>
  <c r="AM288" i="1" s="1"/>
  <c r="AN286" i="1"/>
  <c r="AN287" i="1" s="1"/>
  <c r="AN288" i="1" s="1"/>
  <c r="AM289" i="1"/>
  <c r="AM290" i="1" s="1"/>
  <c r="AM291" i="1" s="1"/>
  <c r="AM292" i="1" s="1"/>
  <c r="AN289" i="1"/>
  <c r="AN290" i="1" s="1"/>
  <c r="AN291" i="1" s="1"/>
  <c r="AN292" i="1" s="1"/>
  <c r="AM293" i="1"/>
  <c r="AN293" i="1"/>
  <c r="AM294" i="1"/>
  <c r="AN294" i="1"/>
  <c r="AM295" i="1"/>
  <c r="AN295" i="1"/>
  <c r="AM296" i="1"/>
  <c r="AN296" i="1"/>
  <c r="AM297" i="1"/>
  <c r="AN297" i="1"/>
  <c r="AM298" i="1"/>
  <c r="AM299" i="1" s="1"/>
  <c r="AM300" i="1" s="1"/>
  <c r="AN298" i="1"/>
  <c r="AN299" i="1" s="1"/>
  <c r="AN300" i="1" s="1"/>
  <c r="AM301" i="1"/>
  <c r="AN301" i="1"/>
  <c r="AM302" i="1"/>
  <c r="AN302" i="1"/>
  <c r="AM303" i="1"/>
  <c r="AN303" i="1"/>
  <c r="AN304" i="1" s="1"/>
  <c r="AN305" i="1" s="1"/>
  <c r="AM304" i="1"/>
  <c r="AM305" i="1"/>
  <c r="AM306" i="1"/>
  <c r="AN306" i="1"/>
  <c r="AM307" i="1"/>
  <c r="AN307" i="1"/>
  <c r="AM308" i="1"/>
  <c r="AM309" i="1" s="1"/>
  <c r="AN308" i="1"/>
  <c r="AN309" i="1" s="1"/>
  <c r="AM310" i="1"/>
  <c r="AM311" i="1" s="1"/>
  <c r="AM312" i="1" s="1"/>
  <c r="AN310" i="1"/>
  <c r="AN311" i="1" s="1"/>
  <c r="AN312" i="1" s="1"/>
  <c r="AM313" i="1"/>
  <c r="AN313" i="1"/>
  <c r="AN314" i="1" s="1"/>
  <c r="AM314" i="1"/>
  <c r="AM315" i="1"/>
  <c r="AN315" i="1"/>
  <c r="AM316" i="1"/>
  <c r="AM317" i="1" s="1"/>
  <c r="AN316" i="1"/>
  <c r="AN317" i="1"/>
  <c r="AM318" i="1"/>
  <c r="AM319" i="1" s="1"/>
  <c r="AM320" i="1" s="1"/>
  <c r="AN318" i="1"/>
  <c r="AN319" i="1" s="1"/>
  <c r="AN320" i="1" s="1"/>
  <c r="AM321" i="1"/>
  <c r="AN321" i="1"/>
  <c r="AM322" i="1"/>
  <c r="AN322" i="1"/>
  <c r="AM323" i="1"/>
  <c r="AN323" i="1"/>
  <c r="AM324" i="1"/>
  <c r="AN324" i="1"/>
  <c r="AM325" i="1"/>
  <c r="AN325" i="1"/>
  <c r="AM326" i="1"/>
  <c r="AM327" i="1" s="1"/>
  <c r="AM328" i="1" s="1"/>
  <c r="AN326" i="1"/>
  <c r="AN327" i="1" s="1"/>
  <c r="AN328" i="1" s="1"/>
  <c r="AM329" i="1"/>
  <c r="AN329" i="1"/>
  <c r="AN330" i="1" s="1"/>
  <c r="AM330" i="1"/>
  <c r="AM331" i="1"/>
  <c r="AM332" i="1" s="1"/>
  <c r="AN331" i="1"/>
  <c r="AN332" i="1"/>
  <c r="AM333" i="1"/>
  <c r="AN333" i="1"/>
  <c r="AM334" i="1"/>
  <c r="AM335" i="1" s="1"/>
  <c r="AN334" i="1"/>
  <c r="AN335" i="1" s="1"/>
  <c r="AM336" i="1"/>
  <c r="AN336" i="1"/>
  <c r="AM337" i="1"/>
  <c r="AN337" i="1"/>
  <c r="AN338" i="1" s="1"/>
  <c r="AN339" i="1" s="1"/>
  <c r="AN340" i="1" s="1"/>
  <c r="AN341" i="1" s="1"/>
  <c r="AM338" i="1"/>
  <c r="AM339" i="1" s="1"/>
  <c r="AM340" i="1" s="1"/>
  <c r="AM341" i="1" s="1"/>
  <c r="AM342" i="1"/>
  <c r="AM343" i="1" s="1"/>
  <c r="AM344" i="1" s="1"/>
  <c r="AN342" i="1"/>
  <c r="AN343" i="1" s="1"/>
  <c r="AN344" i="1" s="1"/>
  <c r="AM345" i="1"/>
  <c r="AN345" i="1"/>
  <c r="AM346" i="1"/>
  <c r="AN346" i="1"/>
  <c r="AM347" i="1"/>
  <c r="AM348" i="1" s="1"/>
  <c r="AN347" i="1"/>
  <c r="AN348" i="1" s="1"/>
  <c r="AM349" i="1"/>
  <c r="AN349" i="1"/>
  <c r="AM350" i="1"/>
  <c r="AM351" i="1" s="1"/>
  <c r="AN350" i="1"/>
  <c r="AN351" i="1" s="1"/>
  <c r="AM352" i="1"/>
  <c r="AN352" i="1"/>
  <c r="AM353" i="1"/>
  <c r="AN353" i="1"/>
  <c r="AN354" i="1" s="1"/>
  <c r="AM354" i="1"/>
  <c r="AM355" i="1" s="1"/>
  <c r="AM356" i="1" s="1"/>
  <c r="AN355" i="1"/>
  <c r="AN356" i="1" s="1"/>
  <c r="AM357" i="1"/>
  <c r="AM358" i="1" s="1"/>
  <c r="AM359" i="1" s="1"/>
  <c r="AN357" i="1"/>
  <c r="AN358" i="1" s="1"/>
  <c r="AN359" i="1" s="1"/>
  <c r="AM360" i="1"/>
  <c r="AN360" i="1"/>
  <c r="AM361" i="1"/>
  <c r="AN361" i="1"/>
  <c r="AM362" i="1"/>
  <c r="AN362" i="1"/>
  <c r="AM363" i="1"/>
  <c r="AN363" i="1"/>
  <c r="AM364" i="1"/>
  <c r="AN364" i="1"/>
  <c r="AM365" i="1"/>
  <c r="AN365" i="1"/>
  <c r="AM366" i="1"/>
  <c r="AN366" i="1"/>
  <c r="AM367" i="1"/>
  <c r="AN367" i="1"/>
  <c r="AM368" i="1"/>
  <c r="AN368" i="1"/>
  <c r="AM369" i="1"/>
  <c r="AM370" i="1" s="1"/>
  <c r="AM371" i="1" s="1"/>
  <c r="AN369" i="1"/>
  <c r="AN370" i="1" s="1"/>
  <c r="AN371" i="1"/>
  <c r="AM372" i="1"/>
  <c r="AN372" i="1"/>
  <c r="AN373" i="1" s="1"/>
  <c r="AM373" i="1"/>
  <c r="AM374" i="1"/>
  <c r="AM375" i="1" s="1"/>
  <c r="AN374" i="1"/>
  <c r="AN375" i="1" s="1"/>
  <c r="AM376" i="1"/>
  <c r="AN376" i="1"/>
  <c r="AM377" i="1"/>
  <c r="AN377" i="1"/>
  <c r="AM378" i="1"/>
  <c r="AM379" i="1" s="1"/>
  <c r="AN378" i="1"/>
  <c r="AN379" i="1"/>
  <c r="AM380" i="1"/>
  <c r="AN380" i="1"/>
  <c r="AM381" i="1"/>
  <c r="AN381" i="1"/>
  <c r="AM382" i="1"/>
  <c r="AM383" i="1" s="1"/>
  <c r="AM384" i="1" s="1"/>
  <c r="AN382" i="1"/>
  <c r="AN383" i="1" s="1"/>
  <c r="AN384" i="1" s="1"/>
  <c r="AM385" i="1"/>
  <c r="AN385" i="1"/>
  <c r="AN386" i="1" s="1"/>
  <c r="AM386" i="1"/>
  <c r="AM387" i="1" s="1"/>
  <c r="AN387" i="1"/>
  <c r="AM388" i="1"/>
  <c r="AM389" i="1" s="1"/>
  <c r="AN388" i="1"/>
  <c r="AN389" i="1" s="1"/>
  <c r="AM390" i="1"/>
  <c r="AM391" i="1" s="1"/>
  <c r="AN390" i="1"/>
  <c r="AN391" i="1" s="1"/>
  <c r="AM392" i="1"/>
  <c r="AN392" i="1"/>
  <c r="AM393" i="1"/>
  <c r="AN393" i="1"/>
  <c r="AM394" i="1"/>
  <c r="AM395" i="1" s="1"/>
  <c r="AN394" i="1"/>
  <c r="AN395" i="1"/>
  <c r="AM396" i="1"/>
  <c r="AN396" i="1"/>
  <c r="AM397" i="1"/>
  <c r="AN397" i="1"/>
  <c r="AN398" i="1" s="1"/>
  <c r="AM398" i="1"/>
  <c r="AM399" i="1"/>
  <c r="AN399" i="1"/>
  <c r="AM400" i="1"/>
  <c r="AN400" i="1"/>
  <c r="AM401" i="1"/>
  <c r="AN401" i="1"/>
  <c r="AM402" i="1"/>
  <c r="AN402" i="1"/>
  <c r="AM403" i="1"/>
  <c r="AN403" i="1"/>
  <c r="AN404" i="1" s="1"/>
  <c r="AN405" i="1" s="1"/>
  <c r="AM404" i="1"/>
  <c r="AM405" i="1"/>
  <c r="AM406" i="1"/>
  <c r="AM407" i="1" s="1"/>
  <c r="AM408" i="1" s="1"/>
  <c r="AN406" i="1"/>
  <c r="AN407" i="1" s="1"/>
  <c r="AN408" i="1" s="1"/>
  <c r="AM409" i="1"/>
  <c r="AM410" i="1" s="1"/>
  <c r="AM411" i="1" s="1"/>
  <c r="AN409" i="1"/>
  <c r="AN410" i="1" s="1"/>
  <c r="AN411" i="1" s="1"/>
  <c r="AM412" i="1"/>
  <c r="AM413" i="1" s="1"/>
  <c r="AN412" i="1"/>
  <c r="AN413" i="1" s="1"/>
  <c r="AM414" i="1"/>
  <c r="AM415" i="1" s="1"/>
  <c r="AN414" i="1"/>
  <c r="AN415" i="1" s="1"/>
  <c r="AM416" i="1"/>
  <c r="AN416" i="1"/>
  <c r="AM417" i="1"/>
  <c r="AN417" i="1"/>
  <c r="AN418" i="1" s="1"/>
  <c r="AM418" i="1"/>
  <c r="AM419" i="1"/>
  <c r="AN419" i="1"/>
  <c r="AM420" i="1"/>
  <c r="AN420" i="1"/>
  <c r="AM421" i="1"/>
  <c r="AN421" i="1"/>
  <c r="AN422" i="1" s="1"/>
  <c r="AM422" i="1"/>
  <c r="AM423" i="1"/>
  <c r="AN423" i="1"/>
  <c r="AM424" i="1"/>
  <c r="AN424" i="1"/>
  <c r="AM425" i="1"/>
  <c r="AN425" i="1"/>
  <c r="AN426" i="1" s="1"/>
  <c r="AN427" i="1" s="1"/>
  <c r="AN428" i="1" s="1"/>
  <c r="AM426" i="1"/>
  <c r="AM427" i="1"/>
  <c r="AM428" i="1"/>
  <c r="AM429" i="1"/>
  <c r="AN429" i="1"/>
  <c r="AN430" i="1" s="1"/>
  <c r="AN431" i="1" s="1"/>
  <c r="AN432" i="1" s="1"/>
  <c r="AM430" i="1"/>
  <c r="AM431" i="1" s="1"/>
  <c r="AM432" i="1" s="1"/>
  <c r="AM433" i="1"/>
  <c r="AN433" i="1"/>
  <c r="AN434" i="1" s="1"/>
  <c r="AM434" i="1"/>
  <c r="AM435" i="1" s="1"/>
  <c r="AM436" i="1" s="1"/>
  <c r="AN435" i="1"/>
  <c r="AN436" i="1" s="1"/>
  <c r="AM437" i="1"/>
  <c r="AM438" i="1" s="1"/>
  <c r="AM439" i="1" s="1"/>
  <c r="AN437" i="1"/>
  <c r="AN438" i="1"/>
  <c r="AN439" i="1" s="1"/>
  <c r="AM440" i="1"/>
  <c r="AN440" i="1"/>
  <c r="AM441" i="1"/>
  <c r="AN441" i="1"/>
  <c r="AN442" i="1" s="1"/>
  <c r="AM442" i="1"/>
  <c r="AM443" i="1"/>
  <c r="AM444" i="1" s="1"/>
  <c r="AM445" i="1" s="1"/>
  <c r="AN443" i="1"/>
  <c r="AN444" i="1" s="1"/>
  <c r="AN445" i="1" s="1"/>
  <c r="AM446" i="1"/>
  <c r="AM447" i="1" s="1"/>
  <c r="AM448" i="1" s="1"/>
  <c r="AN446" i="1"/>
  <c r="AN447" i="1" s="1"/>
  <c r="AN448" i="1" s="1"/>
  <c r="AM449" i="1"/>
  <c r="AN449" i="1"/>
  <c r="AM450" i="1"/>
  <c r="AN450" i="1"/>
  <c r="AM451" i="1"/>
  <c r="AN451" i="1"/>
  <c r="AM452" i="1"/>
  <c r="AM453" i="1" s="1"/>
  <c r="AN452" i="1"/>
  <c r="AN453" i="1" s="1"/>
  <c r="AM454" i="1"/>
  <c r="AM455" i="1" s="1"/>
  <c r="AN454" i="1"/>
  <c r="AN455" i="1" s="1"/>
  <c r="AM456" i="1"/>
  <c r="AN456" i="1"/>
  <c r="AM457" i="1"/>
  <c r="AN457" i="1"/>
  <c r="AN458" i="1" s="1"/>
  <c r="AM458" i="1"/>
  <c r="AM459" i="1"/>
  <c r="AN459" i="1"/>
  <c r="AM460" i="1"/>
  <c r="AN460" i="1"/>
  <c r="AM461" i="1"/>
  <c r="AN461" i="1"/>
  <c r="AM462" i="1"/>
  <c r="AN462" i="1"/>
  <c r="AM463" i="1"/>
  <c r="AN463" i="1"/>
  <c r="AM464" i="1"/>
  <c r="AN464" i="1"/>
  <c r="AM465" i="1"/>
  <c r="AM466" i="1" s="1"/>
  <c r="AN465" i="1"/>
  <c r="AN466" i="1" s="1"/>
  <c r="AM467" i="1"/>
  <c r="AM468" i="1" s="1"/>
  <c r="AN467" i="1"/>
  <c r="AN468" i="1"/>
  <c r="AM469" i="1"/>
  <c r="AN469" i="1"/>
  <c r="AM470" i="1"/>
  <c r="AM471" i="1" s="1"/>
  <c r="AM472" i="1" s="1"/>
  <c r="AM473" i="1" s="1"/>
  <c r="AN470" i="1"/>
  <c r="AN471" i="1" s="1"/>
  <c r="AN472" i="1" s="1"/>
  <c r="AN473" i="1" s="1"/>
  <c r="AM474" i="1"/>
  <c r="AM475" i="1" s="1"/>
  <c r="AM476" i="1" s="1"/>
  <c r="AN474" i="1"/>
  <c r="AN475" i="1"/>
  <c r="AN476" i="1"/>
  <c r="AM477" i="1"/>
  <c r="AN477" i="1"/>
  <c r="AM478" i="1"/>
  <c r="AN478" i="1"/>
  <c r="AM479" i="1"/>
  <c r="AM480" i="1" s="1"/>
  <c r="AN479" i="1"/>
  <c r="AN480" i="1"/>
  <c r="AM481" i="1"/>
  <c r="AN481" i="1"/>
  <c r="AN482" i="1" s="1"/>
  <c r="AM482" i="1"/>
  <c r="AM483" i="1"/>
  <c r="AN483" i="1"/>
  <c r="AM484" i="1"/>
  <c r="AN484" i="1"/>
  <c r="AM485" i="1"/>
  <c r="AN485" i="1"/>
  <c r="AM486" i="1"/>
  <c r="AM487" i="1" s="1"/>
  <c r="AM488" i="1" s="1"/>
  <c r="AM489" i="1" s="1"/>
  <c r="AM490" i="1" s="1"/>
  <c r="AN486" i="1"/>
  <c r="AN487" i="1" s="1"/>
  <c r="AN488" i="1" s="1"/>
  <c r="AN489" i="1"/>
  <c r="AN490" i="1" s="1"/>
  <c r="AM491" i="1"/>
  <c r="AM492" i="1" s="1"/>
  <c r="AN491" i="1"/>
  <c r="AN492" i="1" s="1"/>
  <c r="AM493" i="1"/>
  <c r="AM494" i="1" s="1"/>
  <c r="AN493" i="1"/>
  <c r="AN494" i="1"/>
  <c r="AM495" i="1"/>
  <c r="AN495" i="1"/>
  <c r="AM496" i="1"/>
  <c r="AN496" i="1"/>
  <c r="AM497" i="1"/>
  <c r="AM498" i="1" s="1"/>
  <c r="AN497" i="1"/>
  <c r="AN498" i="1" s="1"/>
  <c r="AM499" i="1"/>
  <c r="AN499" i="1"/>
  <c r="AN500" i="1" s="1"/>
  <c r="AN501" i="1" s="1"/>
  <c r="AN502" i="1" s="1"/>
  <c r="AM500" i="1"/>
  <c r="AM501" i="1" s="1"/>
  <c r="AM502" i="1" s="1"/>
  <c r="AM503" i="1"/>
  <c r="AN503" i="1"/>
  <c r="AN504" i="1" s="1"/>
  <c r="AM504" i="1"/>
  <c r="AM505" i="1"/>
  <c r="AN505" i="1"/>
  <c r="AN506" i="1" s="1"/>
  <c r="AM506" i="1"/>
  <c r="AM507" i="1"/>
  <c r="AN507" i="1"/>
  <c r="AM508" i="1"/>
  <c r="AN508" i="1"/>
  <c r="AN509" i="1" s="1"/>
  <c r="AN510" i="1" s="1"/>
  <c r="AM509" i="1"/>
  <c r="AM510" i="1" s="1"/>
  <c r="AM511" i="1"/>
  <c r="AN511" i="1"/>
  <c r="AM512" i="1"/>
  <c r="AN512" i="1"/>
  <c r="AM513" i="1"/>
  <c r="AM514" i="1" s="1"/>
  <c r="AM515" i="1" s="1"/>
  <c r="AN513" i="1"/>
  <c r="AN514" i="1" s="1"/>
  <c r="AN515" i="1" s="1"/>
  <c r="AM516" i="1"/>
  <c r="AN516" i="1"/>
  <c r="AM517" i="1"/>
  <c r="AM518" i="1" s="1"/>
  <c r="AM519" i="1" s="1"/>
  <c r="AM520" i="1" s="1"/>
  <c r="AM521" i="1" s="1"/>
  <c r="AN517" i="1"/>
  <c r="AN518" i="1" s="1"/>
  <c r="AN519" i="1" s="1"/>
  <c r="AN520" i="1" s="1"/>
  <c r="AN521" i="1" s="1"/>
  <c r="AM522" i="1"/>
  <c r="AN522" i="1"/>
  <c r="AM523" i="1"/>
  <c r="AN523" i="1"/>
  <c r="AM524" i="1"/>
  <c r="AN524" i="1"/>
  <c r="AM525" i="1"/>
  <c r="AN525" i="1"/>
  <c r="AM526" i="1"/>
  <c r="AN526" i="1"/>
  <c r="AM527" i="1"/>
  <c r="AN527" i="1"/>
  <c r="AM528" i="1"/>
  <c r="AN528" i="1"/>
  <c r="AM529" i="1"/>
  <c r="AM530" i="1" s="1"/>
  <c r="AN529" i="1"/>
  <c r="AN530" i="1" s="1"/>
  <c r="AM531" i="1"/>
  <c r="AN531" i="1"/>
  <c r="AM532" i="1"/>
  <c r="AM533" i="1" s="1"/>
  <c r="AN532" i="1"/>
  <c r="AN533" i="1"/>
  <c r="AM534" i="1"/>
  <c r="AM535" i="1" s="1"/>
  <c r="AN534" i="1"/>
  <c r="AN535" i="1" s="1"/>
  <c r="AM536" i="1"/>
  <c r="AN536" i="1"/>
  <c r="AM537" i="1"/>
  <c r="AM538" i="1" s="1"/>
  <c r="AN537" i="1"/>
  <c r="AN538" i="1" s="1"/>
  <c r="AM539" i="1"/>
  <c r="AN539" i="1"/>
  <c r="AM540" i="1"/>
  <c r="AN540" i="1"/>
  <c r="AM541" i="1"/>
  <c r="AN541" i="1"/>
  <c r="AN542" i="1" s="1"/>
  <c r="AM542" i="1"/>
  <c r="AM543" i="1"/>
  <c r="AN543" i="1"/>
  <c r="AM544" i="1"/>
  <c r="AM545" i="1" s="1"/>
  <c r="AN544" i="1"/>
  <c r="AN545" i="1" s="1"/>
  <c r="AM546" i="1"/>
  <c r="AN546" i="1"/>
  <c r="AN547" i="1" s="1"/>
  <c r="AM547" i="1"/>
  <c r="AM548" i="1"/>
  <c r="AN548" i="1"/>
  <c r="AM549" i="1"/>
  <c r="AN549" i="1"/>
  <c r="AM550" i="1"/>
  <c r="AM551" i="1" s="1"/>
  <c r="AN550" i="1"/>
  <c r="AN551" i="1" s="1"/>
  <c r="AM552" i="1"/>
  <c r="AN552" i="1"/>
  <c r="AM553" i="1"/>
  <c r="AM554" i="1" s="1"/>
  <c r="AM555" i="1" s="1"/>
  <c r="AN553" i="1"/>
  <c r="AN554" i="1" s="1"/>
  <c r="AN555" i="1" s="1"/>
  <c r="AM556" i="1"/>
  <c r="AN556" i="1"/>
  <c r="AN557" i="1" s="1"/>
  <c r="AM557" i="1"/>
  <c r="AM558" i="1"/>
  <c r="AM559" i="1" s="1"/>
  <c r="AN558" i="1"/>
  <c r="AN559" i="1" s="1"/>
  <c r="AM560" i="1"/>
  <c r="AN560" i="1"/>
  <c r="AM561" i="1"/>
  <c r="AN561" i="1"/>
  <c r="AN562" i="1" s="1"/>
  <c r="AM562" i="1"/>
  <c r="AM563" i="1"/>
  <c r="AN563" i="1"/>
  <c r="AM564" i="1"/>
  <c r="AN564" i="1"/>
  <c r="AM565" i="1"/>
  <c r="AM566" i="1" s="1"/>
  <c r="AM567" i="1" s="1"/>
  <c r="AM568" i="1" s="1"/>
  <c r="AM569" i="1" s="1"/>
  <c r="AM570" i="1" s="1"/>
  <c r="AN565" i="1"/>
  <c r="AN566" i="1"/>
  <c r="AN567" i="1" s="1"/>
  <c r="AN568" i="1" s="1"/>
  <c r="AN569" i="1"/>
  <c r="AN570" i="1" s="1"/>
  <c r="AM571" i="1"/>
  <c r="AM572" i="1" s="1"/>
  <c r="AN571" i="1"/>
  <c r="AN572" i="1"/>
  <c r="AM573" i="1"/>
  <c r="AN573" i="1"/>
  <c r="AM574" i="1"/>
  <c r="AN574" i="1"/>
  <c r="AM575" i="1"/>
  <c r="AN575" i="1"/>
  <c r="AM576" i="1"/>
  <c r="AM577" i="1" s="1"/>
  <c r="AN576" i="1"/>
  <c r="AN577" i="1" s="1"/>
  <c r="AM578" i="1"/>
  <c r="AN578" i="1"/>
  <c r="AM579" i="1"/>
  <c r="AN579" i="1"/>
  <c r="AM580" i="1"/>
  <c r="AN580" i="1"/>
  <c r="AM581" i="1"/>
  <c r="AN581" i="1"/>
  <c r="AM582" i="1"/>
  <c r="AM583" i="1" s="1"/>
  <c r="AM584" i="1" s="1"/>
  <c r="AN582" i="1"/>
  <c r="AN583" i="1" s="1"/>
  <c r="AN584" i="1" s="1"/>
  <c r="AM585" i="1"/>
  <c r="AM586" i="1" s="1"/>
  <c r="AM587" i="1" s="1"/>
  <c r="AN585" i="1"/>
  <c r="AN586" i="1" s="1"/>
  <c r="AN587" i="1"/>
  <c r="AM588" i="1"/>
  <c r="AN588" i="1"/>
  <c r="AM589" i="1"/>
  <c r="AN589" i="1"/>
  <c r="AN590" i="1" s="1"/>
  <c r="AM590" i="1"/>
  <c r="AM591" i="1"/>
  <c r="AN591" i="1"/>
  <c r="AM592" i="1"/>
  <c r="AN592" i="1"/>
  <c r="AM593" i="1"/>
  <c r="AN593" i="1"/>
  <c r="AM594" i="1"/>
  <c r="AN594" i="1"/>
  <c r="AM595" i="1"/>
  <c r="AM596" i="1" s="1"/>
  <c r="AM597" i="1" s="1"/>
  <c r="AM598" i="1" s="1"/>
  <c r="AN595" i="1"/>
  <c r="AN596" i="1"/>
  <c r="AN597" i="1"/>
  <c r="AN598" i="1" s="1"/>
  <c r="AM599" i="1"/>
  <c r="AM600" i="1" s="1"/>
  <c r="AM601" i="1" s="1"/>
  <c r="AN599" i="1"/>
  <c r="AN600" i="1" s="1"/>
  <c r="AN601" i="1"/>
  <c r="AM602" i="1"/>
  <c r="AM603" i="1" s="1"/>
  <c r="AM604" i="1" s="1"/>
  <c r="AN602" i="1"/>
  <c r="AN603" i="1"/>
  <c r="AN604" i="1"/>
  <c r="AM605" i="1"/>
  <c r="AN605" i="1"/>
  <c r="AM606" i="1"/>
  <c r="AN606" i="1"/>
  <c r="AM607" i="1"/>
  <c r="AN607" i="1"/>
  <c r="AN608" i="1" s="1"/>
  <c r="AM608" i="1"/>
  <c r="AM609" i="1"/>
  <c r="AN609" i="1"/>
  <c r="AM610" i="1"/>
  <c r="AN610" i="1"/>
  <c r="AM611" i="1"/>
  <c r="AM612" i="1" s="1"/>
  <c r="AM613" i="1" s="1"/>
  <c r="AM614" i="1" s="1"/>
  <c r="AN611" i="1"/>
  <c r="AN612" i="1" s="1"/>
  <c r="AN613" i="1" s="1"/>
  <c r="AN614" i="1" s="1"/>
  <c r="AM615" i="1"/>
  <c r="AN615" i="1"/>
  <c r="AM616" i="1"/>
  <c r="AN616" i="1"/>
  <c r="AM617" i="1"/>
  <c r="AN617" i="1"/>
  <c r="AN618" i="1" s="1"/>
  <c r="AM618" i="1"/>
  <c r="AM619" i="1"/>
  <c r="AN619" i="1"/>
  <c r="AM620" i="1"/>
  <c r="AN620" i="1"/>
  <c r="AM621" i="1"/>
  <c r="AN621" i="1"/>
  <c r="AM622" i="1"/>
  <c r="AN622" i="1"/>
  <c r="AM623" i="1"/>
  <c r="AN623" i="1"/>
  <c r="AM624" i="1"/>
  <c r="AN624" i="1"/>
  <c r="AM625" i="1"/>
  <c r="AN625" i="1"/>
  <c r="AM626" i="1"/>
  <c r="AN626" i="1"/>
  <c r="AM627" i="1"/>
  <c r="AN627" i="1"/>
  <c r="AM628" i="1"/>
  <c r="AM629" i="1" s="1"/>
  <c r="AN628" i="1"/>
  <c r="AN629" i="1" s="1"/>
  <c r="AM630" i="1"/>
  <c r="AM631" i="1" s="1"/>
  <c r="AN630" i="1"/>
  <c r="AN631" i="1" s="1"/>
  <c r="AM632" i="1"/>
  <c r="AN632" i="1"/>
  <c r="AM633" i="1"/>
  <c r="AN633" i="1"/>
  <c r="AN634" i="1" s="1"/>
  <c r="AM634" i="1"/>
  <c r="AM635" i="1"/>
  <c r="AN635" i="1"/>
  <c r="AM636" i="1"/>
  <c r="AN636" i="1"/>
  <c r="AN637" i="1" s="1"/>
  <c r="AM637" i="1"/>
  <c r="AM638" i="1"/>
  <c r="AN638" i="1"/>
  <c r="AM639" i="1"/>
  <c r="AN639" i="1"/>
  <c r="AM640" i="1"/>
  <c r="AM641" i="1" s="1"/>
  <c r="AN640" i="1"/>
  <c r="AN641" i="1"/>
  <c r="AM642" i="1"/>
  <c r="AN642" i="1"/>
  <c r="AM643" i="1"/>
  <c r="AN643" i="1"/>
  <c r="AM644" i="1"/>
  <c r="AN644" i="1"/>
  <c r="AN645" i="1" s="1"/>
  <c r="AN646" i="1" s="1"/>
  <c r="AM645" i="1"/>
  <c r="AM646" i="1" s="1"/>
  <c r="AM647" i="1"/>
  <c r="AM648" i="1" s="1"/>
  <c r="AM649" i="1" s="1"/>
  <c r="AN647" i="1"/>
  <c r="AN648" i="1" s="1"/>
  <c r="AN649" i="1" s="1"/>
  <c r="AM650" i="1"/>
  <c r="AN650" i="1"/>
  <c r="AM651" i="1"/>
  <c r="AN651" i="1"/>
  <c r="AM652" i="1"/>
  <c r="AN652" i="1"/>
  <c r="AM653" i="1"/>
  <c r="AM654" i="1" s="1"/>
  <c r="AN653" i="1"/>
  <c r="AN654" i="1" s="1"/>
  <c r="AM655" i="1"/>
  <c r="AN655" i="1"/>
  <c r="AM656" i="1"/>
  <c r="AN656" i="1"/>
  <c r="AM657" i="1"/>
  <c r="AN657" i="1"/>
  <c r="AM658" i="1"/>
  <c r="AN658" i="1"/>
  <c r="AM659" i="1"/>
  <c r="AN659" i="1"/>
  <c r="AM660" i="1"/>
  <c r="AN660" i="1"/>
  <c r="AM661" i="1"/>
  <c r="AN661" i="1"/>
  <c r="AM662" i="1"/>
  <c r="AM663" i="1" s="1"/>
  <c r="AN662" i="1"/>
  <c r="AN663" i="1" s="1"/>
  <c r="AM664" i="1"/>
  <c r="AN664" i="1"/>
  <c r="AM665" i="1"/>
  <c r="AN665" i="1"/>
  <c r="AM666" i="1"/>
  <c r="AN666" i="1"/>
  <c r="AM667" i="1"/>
  <c r="AN667" i="1"/>
  <c r="AM668" i="1"/>
  <c r="AN668" i="1"/>
  <c r="AM669" i="1"/>
  <c r="AN669" i="1"/>
  <c r="AM670" i="1"/>
  <c r="AN670" i="1"/>
  <c r="AM671" i="1"/>
  <c r="AN671" i="1"/>
  <c r="AN672" i="1" s="1"/>
  <c r="AM672" i="1"/>
  <c r="AM673" i="1"/>
  <c r="AN673" i="1"/>
  <c r="AM674" i="1"/>
  <c r="AM675" i="1" s="1"/>
  <c r="AM676" i="1" s="1"/>
  <c r="AN674" i="1"/>
  <c r="AN675" i="1" s="1"/>
  <c r="AN676" i="1" s="1"/>
  <c r="AM677" i="1"/>
  <c r="AN677" i="1"/>
  <c r="AM678" i="1"/>
  <c r="AN678" i="1"/>
  <c r="AM679" i="1"/>
  <c r="AN679" i="1"/>
  <c r="AM680" i="1"/>
  <c r="AN680" i="1"/>
  <c r="AM681" i="1"/>
  <c r="AN681" i="1"/>
  <c r="AM682" i="1"/>
  <c r="AN682" i="1"/>
  <c r="AN683" i="1" s="1"/>
  <c r="AN684" i="1" s="1"/>
  <c r="AM683" i="1"/>
  <c r="AM684" i="1" s="1"/>
  <c r="AM685" i="1"/>
  <c r="AN685" i="1"/>
  <c r="AN686" i="1" s="1"/>
  <c r="AN687" i="1" s="1"/>
  <c r="AM686" i="1"/>
  <c r="AM687" i="1" s="1"/>
  <c r="AM688" i="1"/>
  <c r="AN688" i="1"/>
  <c r="AM689" i="1"/>
  <c r="AN689" i="1"/>
  <c r="AM690" i="1"/>
  <c r="AN690" i="1"/>
  <c r="AM691" i="1"/>
  <c r="AN691" i="1"/>
  <c r="AM692" i="1"/>
  <c r="AM693" i="1" s="1"/>
  <c r="AN692" i="1"/>
  <c r="AN693" i="1" s="1"/>
  <c r="AM694" i="1"/>
  <c r="AM695" i="1" s="1"/>
  <c r="AM696" i="1" s="1"/>
  <c r="AN694" i="1"/>
  <c r="AN695" i="1" s="1"/>
  <c r="AN696" i="1" s="1"/>
  <c r="AM697" i="1"/>
  <c r="AM698" i="1" s="1"/>
  <c r="AM699" i="1" s="1"/>
  <c r="AN697" i="1"/>
  <c r="AN698" i="1" s="1"/>
  <c r="AN699" i="1" s="1"/>
  <c r="AM700" i="1"/>
  <c r="AN700" i="1"/>
  <c r="AM701" i="1"/>
  <c r="AN701" i="1"/>
  <c r="AM702" i="1"/>
  <c r="AM703" i="1" s="1"/>
  <c r="AN702" i="1"/>
  <c r="AN703" i="1" s="1"/>
  <c r="AM704" i="1"/>
  <c r="AN704" i="1"/>
  <c r="AM705" i="1"/>
  <c r="AN705" i="1"/>
  <c r="AM706" i="1"/>
  <c r="AN706" i="1"/>
  <c r="AM707" i="1"/>
  <c r="AM708" i="1" s="1"/>
  <c r="AN707" i="1"/>
  <c r="AN708" i="1" s="1"/>
  <c r="AM709" i="1"/>
  <c r="AN709" i="1"/>
  <c r="AM710" i="1"/>
  <c r="AN710" i="1"/>
  <c r="AM711" i="1"/>
  <c r="AN711" i="1"/>
  <c r="AM712" i="1"/>
  <c r="AN712" i="1"/>
  <c r="AM713" i="1"/>
  <c r="AN713" i="1"/>
  <c r="AN714" i="1" s="1"/>
  <c r="AM714" i="1"/>
  <c r="AM715" i="1"/>
  <c r="AM716" i="1" s="1"/>
  <c r="AM717" i="1" s="1"/>
  <c r="AM718" i="1" s="1"/>
  <c r="AN715" i="1"/>
  <c r="AN716" i="1" s="1"/>
  <c r="AN717" i="1" s="1"/>
  <c r="AN718" i="1" s="1"/>
  <c r="AM719" i="1"/>
  <c r="AN719" i="1"/>
  <c r="AN720" i="1" s="1"/>
  <c r="AM720" i="1"/>
  <c r="AM721" i="1"/>
  <c r="AN721" i="1"/>
  <c r="AN722" i="1" s="1"/>
  <c r="AM722" i="1"/>
  <c r="AM723" i="1"/>
  <c r="AN723" i="1"/>
  <c r="AM724" i="1"/>
  <c r="AN724" i="1"/>
  <c r="AM725" i="1"/>
  <c r="AN725" i="1"/>
  <c r="AN726" i="1" s="1"/>
  <c r="AN727" i="1" s="1"/>
  <c r="AM726" i="1"/>
  <c r="AM727" i="1" s="1"/>
  <c r="AM728" i="1"/>
  <c r="AN728" i="1"/>
  <c r="AM729" i="1"/>
  <c r="AN729" i="1"/>
  <c r="AM730" i="1"/>
  <c r="AN730" i="1"/>
  <c r="AM731" i="1"/>
  <c r="AN731" i="1"/>
  <c r="AM732" i="1"/>
  <c r="AN732" i="1"/>
  <c r="AM733" i="1"/>
  <c r="AM734" i="1" s="1"/>
  <c r="AM735" i="1" s="1"/>
  <c r="AN733" i="1"/>
  <c r="AN734" i="1" s="1"/>
  <c r="AN735" i="1" s="1"/>
  <c r="AM736" i="1"/>
  <c r="AN736" i="1"/>
  <c r="AN737" i="1" s="1"/>
  <c r="AM737" i="1"/>
  <c r="AM738" i="1"/>
  <c r="AN738" i="1"/>
  <c r="AM739" i="1"/>
  <c r="AM740" i="1" s="1"/>
  <c r="AN739" i="1"/>
  <c r="AN740" i="1"/>
  <c r="AM741" i="1"/>
  <c r="AN741" i="1"/>
  <c r="AN742" i="1" s="1"/>
  <c r="AM742" i="1"/>
  <c r="AM743" i="1"/>
  <c r="AN743" i="1"/>
  <c r="AM744" i="1"/>
  <c r="AN744" i="1"/>
  <c r="AM745" i="1"/>
  <c r="AN745" i="1"/>
  <c r="AM746" i="1"/>
  <c r="AM747" i="1" s="1"/>
  <c r="AN746" i="1"/>
  <c r="AN747" i="1"/>
  <c r="AM748" i="1"/>
  <c r="AN748" i="1"/>
  <c r="AM749" i="1"/>
  <c r="AN749" i="1"/>
  <c r="AN750" i="1" s="1"/>
  <c r="AM750" i="1"/>
  <c r="AM751" i="1"/>
  <c r="AN751" i="1"/>
  <c r="AM752" i="1"/>
  <c r="AN752" i="1"/>
  <c r="AM753" i="1"/>
  <c r="AN753" i="1"/>
  <c r="AM754" i="1"/>
  <c r="AN754" i="1"/>
  <c r="AM755" i="1"/>
  <c r="AN755" i="1"/>
  <c r="AM756" i="1"/>
  <c r="AM757" i="1" s="1"/>
  <c r="AN756" i="1"/>
  <c r="AN757" i="1"/>
  <c r="AM758" i="1"/>
  <c r="AM759" i="1" s="1"/>
  <c r="AN758" i="1"/>
  <c r="AN759" i="1" s="1"/>
  <c r="AM760" i="1"/>
  <c r="AN760" i="1"/>
  <c r="AM761" i="1"/>
  <c r="AN761" i="1"/>
  <c r="AM762" i="1"/>
  <c r="AN762" i="1"/>
  <c r="AN763" i="1" s="1"/>
  <c r="AM763" i="1"/>
  <c r="AM764" i="1"/>
  <c r="AN764" i="1"/>
  <c r="AM765" i="1"/>
  <c r="AN765" i="1"/>
  <c r="AM766" i="1"/>
  <c r="AM767" i="1" s="1"/>
  <c r="AM768" i="1" s="1"/>
  <c r="AN766" i="1"/>
  <c r="AN767" i="1" s="1"/>
  <c r="AN768" i="1" s="1"/>
  <c r="AN769" i="1" s="1"/>
  <c r="AM769" i="1"/>
  <c r="AM770" i="1"/>
  <c r="AN770" i="1"/>
  <c r="AM771" i="1"/>
  <c r="AN771" i="1"/>
  <c r="AM772" i="1"/>
  <c r="AN772" i="1"/>
  <c r="AM773" i="1"/>
  <c r="AM774" i="1" s="1"/>
  <c r="AN773" i="1"/>
  <c r="AN774" i="1" s="1"/>
  <c r="AM775" i="1"/>
  <c r="AN775" i="1"/>
  <c r="AN776" i="1" s="1"/>
  <c r="AM776" i="1"/>
  <c r="AM777" i="1"/>
  <c r="AN777" i="1"/>
  <c r="AM778" i="1"/>
  <c r="AM779" i="1" s="1"/>
  <c r="AN778" i="1"/>
  <c r="AN779" i="1"/>
  <c r="AM780" i="1"/>
  <c r="AN780" i="1"/>
  <c r="AM781" i="1"/>
  <c r="AN781" i="1"/>
  <c r="AM782" i="1"/>
  <c r="AN782" i="1"/>
  <c r="T2403" i="1"/>
  <c r="C2403" i="1"/>
  <c r="D2403" i="1" s="1"/>
  <c r="T2402" i="1"/>
  <c r="C2402" i="1"/>
  <c r="D2402" i="1" s="1"/>
  <c r="T2401" i="1"/>
  <c r="C2401" i="1"/>
  <c r="D2401" i="1" s="1"/>
  <c r="T2400" i="1"/>
  <c r="T2399" i="1"/>
  <c r="T2398" i="1"/>
  <c r="T2192" i="1"/>
  <c r="T2191" i="1"/>
  <c r="T2160" i="1"/>
  <c r="T2159" i="1"/>
  <c r="T2115" i="1"/>
  <c r="T2114" i="1"/>
  <c r="T2113" i="1"/>
  <c r="T2112" i="1"/>
  <c r="T2111" i="1"/>
  <c r="T2110" i="1"/>
  <c r="T2062" i="1"/>
  <c r="T2061" i="1"/>
  <c r="T2060" i="1"/>
  <c r="T2059" i="1"/>
  <c r="T2058" i="1"/>
  <c r="T2057" i="1"/>
  <c r="T2013" i="1"/>
  <c r="T2012" i="1"/>
  <c r="T2011" i="1"/>
  <c r="T2014" i="1"/>
  <c r="T1984" i="1"/>
  <c r="T1983" i="1"/>
  <c r="T1908" i="1"/>
  <c r="T1907" i="1"/>
  <c r="T1838" i="1"/>
  <c r="T1837" i="1"/>
  <c r="T1836" i="1"/>
  <c r="T1528" i="1"/>
  <c r="T1527" i="1"/>
  <c r="T1526" i="1"/>
  <c r="T1501" i="1"/>
  <c r="T1500" i="1"/>
  <c r="T1499" i="1"/>
  <c r="T1498" i="1"/>
  <c r="T1475" i="1"/>
  <c r="T1474" i="1"/>
  <c r="T1473" i="1"/>
  <c r="T1472" i="1"/>
  <c r="T1471" i="1"/>
  <c r="T1470" i="1"/>
  <c r="T1449" i="1"/>
  <c r="T1448" i="1"/>
  <c r="T1447" i="1"/>
  <c r="T1446" i="1"/>
  <c r="T1428" i="1"/>
  <c r="T1427" i="1"/>
  <c r="T1426" i="1"/>
  <c r="T1424" i="1"/>
  <c r="T1423" i="1"/>
  <c r="T1422" i="1"/>
  <c r="T1421" i="1"/>
  <c r="T1420" i="1"/>
  <c r="T1419" i="1"/>
  <c r="T1333" i="1"/>
  <c r="T1332" i="1"/>
  <c r="T1331" i="1"/>
  <c r="T1330" i="1"/>
  <c r="T1329" i="1"/>
  <c r="T1328" i="1"/>
  <c r="C1235" i="1"/>
  <c r="T1235" i="1"/>
  <c r="C1236" i="1"/>
  <c r="T1236" i="1"/>
  <c r="C1237" i="1"/>
  <c r="T1237" i="1"/>
  <c r="C1238" i="1"/>
  <c r="T1238" i="1"/>
  <c r="C1239" i="1"/>
  <c r="D1239" i="1" s="1"/>
  <c r="T1239" i="1"/>
  <c r="C1240" i="1"/>
  <c r="D1240" i="1"/>
  <c r="T1240" i="1"/>
  <c r="T1197" i="1"/>
  <c r="T1196" i="1"/>
  <c r="T1195" i="1"/>
  <c r="T1194" i="1"/>
  <c r="AP2641" i="1" l="1"/>
  <c r="AP2639" i="1"/>
  <c r="AN2642" i="1"/>
  <c r="AN2643" i="1" s="1"/>
  <c r="AN2640" i="1"/>
  <c r="AP2640" i="1"/>
  <c r="AM2648" i="1"/>
  <c r="AP2642" i="1"/>
  <c r="AM2608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25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AP2605" i="1" s="1"/>
  <c r="T2606" i="1"/>
  <c r="AP2606" i="1" s="1"/>
  <c r="T2607" i="1"/>
  <c r="AP2607" i="1" s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2" i="1"/>
  <c r="C783" i="1"/>
  <c r="D783" i="1" s="1"/>
  <c r="C701" i="1"/>
  <c r="D701" i="1" s="1"/>
  <c r="C7" i="1"/>
  <c r="C8" i="1"/>
  <c r="D8" i="1" s="1"/>
  <c r="C9" i="1"/>
  <c r="C10" i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C40" i="1"/>
  <c r="D40" i="1" s="1"/>
  <c r="C41" i="1"/>
  <c r="C42" i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C88" i="1"/>
  <c r="D88" i="1" s="1"/>
  <c r="C89" i="1"/>
  <c r="C90" i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C184" i="1"/>
  <c r="D184" i="1" s="1"/>
  <c r="C185" i="1"/>
  <c r="C186" i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C216" i="1"/>
  <c r="D216" i="1" s="1"/>
  <c r="C217" i="1"/>
  <c r="C218" i="1"/>
  <c r="C219" i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C296" i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C311" i="1"/>
  <c r="C312" i="1"/>
  <c r="C313" i="1"/>
  <c r="C314" i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C345" i="1"/>
  <c r="C346" i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C424" i="1"/>
  <c r="C425" i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C475" i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C488" i="1"/>
  <c r="D488" i="1" s="1"/>
  <c r="C489" i="1"/>
  <c r="D489" i="1" s="1"/>
  <c r="C490" i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C504" i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C522" i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C568" i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C600" i="1"/>
  <c r="C601" i="1"/>
  <c r="D601" i="1" s="1"/>
  <c r="C602" i="1"/>
  <c r="D602" i="1" s="1"/>
  <c r="C603" i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C616" i="1"/>
  <c r="C617" i="1"/>
  <c r="D617" i="1" s="1"/>
  <c r="C618" i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C664" i="1"/>
  <c r="C665" i="1"/>
  <c r="D665" i="1" s="1"/>
  <c r="C666" i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C696" i="1"/>
  <c r="D696" i="1" s="1"/>
  <c r="C697" i="1"/>
  <c r="D697" i="1" s="1"/>
  <c r="C698" i="1"/>
  <c r="D698" i="1" s="1"/>
  <c r="C699" i="1"/>
  <c r="D699" i="1" s="1"/>
  <c r="C700" i="1"/>
  <c r="D700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C724" i="1"/>
  <c r="C725" i="1"/>
  <c r="D725" i="1" s="1"/>
  <c r="C726" i="1"/>
  <c r="D726" i="1" s="1"/>
  <c r="C727" i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C744" i="1"/>
  <c r="C745" i="1"/>
  <c r="C746" i="1"/>
  <c r="C747" i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C778" i="1"/>
  <c r="D778" i="1" s="1"/>
  <c r="C779" i="1"/>
  <c r="D779" i="1" s="1"/>
  <c r="C780" i="1"/>
  <c r="D780" i="1" s="1"/>
  <c r="C781" i="1"/>
  <c r="D781" i="1" s="1"/>
  <c r="C782" i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C793" i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C873" i="1"/>
  <c r="C874" i="1"/>
  <c r="C875" i="1"/>
  <c r="C876" i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C892" i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C937" i="1"/>
  <c r="D937" i="1" s="1"/>
  <c r="C938" i="1"/>
  <c r="D938" i="1" s="1"/>
  <c r="C939" i="1"/>
  <c r="D939" i="1" s="1"/>
  <c r="C940" i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C953" i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C985" i="1"/>
  <c r="D985" i="1" s="1"/>
  <c r="C986" i="1"/>
  <c r="D986" i="1" s="1"/>
  <c r="C987" i="1"/>
  <c r="C988" i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C1001" i="1"/>
  <c r="D1001" i="1" s="1"/>
  <c r="C1002" i="1"/>
  <c r="D1002" i="1" s="1"/>
  <c r="C1003" i="1"/>
  <c r="C1004" i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C1049" i="1"/>
  <c r="D1049" i="1" s="1"/>
  <c r="C1050" i="1"/>
  <c r="D1050" i="1" s="1"/>
  <c r="C1051" i="1"/>
  <c r="D1051" i="1" s="1"/>
  <c r="C1052" i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C1068" i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C1130" i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C1145" i="1"/>
  <c r="D1145" i="1" s="1"/>
  <c r="C1146" i="1"/>
  <c r="D1146" i="1" s="1"/>
  <c r="C1147" i="1"/>
  <c r="D1147" i="1" s="1"/>
  <c r="C1148" i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C1177" i="1"/>
  <c r="C1178" i="1"/>
  <c r="D1178" i="1" s="1"/>
  <c r="C1179" i="1"/>
  <c r="C1180" i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C1210" i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C1229" i="1"/>
  <c r="D1229" i="1" s="1"/>
  <c r="C1230" i="1"/>
  <c r="C1231" i="1"/>
  <c r="D1231" i="1" s="1"/>
  <c r="C1232" i="1"/>
  <c r="D1232" i="1" s="1"/>
  <c r="C1233" i="1"/>
  <c r="D1233" i="1" s="1"/>
  <c r="C1234" i="1"/>
  <c r="D1234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C1339" i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C1563" i="1"/>
  <c r="C1564" i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C1676" i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D2249" i="1" s="1"/>
  <c r="C2250" i="1"/>
  <c r="D2250" i="1" s="1"/>
  <c r="C2251" i="1"/>
  <c r="D2251" i="1" s="1"/>
  <c r="C2252" i="1"/>
  <c r="C2253" i="1"/>
  <c r="D2253" i="1" s="1"/>
  <c r="C2254" i="1"/>
  <c r="C2255" i="1"/>
  <c r="D2255" i="1" s="1"/>
  <c r="C2256" i="1"/>
  <c r="D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D2330" i="1" s="1"/>
  <c r="C2331" i="1"/>
  <c r="D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D2368" i="1" s="1"/>
  <c r="C2369" i="1"/>
  <c r="D2369" i="1" s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C2427" i="1"/>
  <c r="C2428" i="1"/>
  <c r="D2428" i="1" s="1"/>
  <c r="C2429" i="1"/>
  <c r="D2429" i="1" s="1"/>
  <c r="C2430" i="1"/>
  <c r="D2430" i="1" s="1"/>
  <c r="C2431" i="1"/>
  <c r="D2431" i="1" s="1"/>
  <c r="C2432" i="1"/>
  <c r="D2432" i="1" s="1"/>
  <c r="C2433" i="1"/>
  <c r="D2433" i="1" s="1"/>
  <c r="C2434" i="1"/>
  <c r="D2434" i="1" s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D2440" i="1" s="1"/>
  <c r="C2441" i="1"/>
  <c r="D2441" i="1" s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 s="1"/>
  <c r="C2471" i="1"/>
  <c r="D2471" i="1" s="1"/>
  <c r="C2472" i="1"/>
  <c r="D2472" i="1" s="1"/>
  <c r="C2473" i="1"/>
  <c r="D2473" i="1" s="1"/>
  <c r="C2474" i="1"/>
  <c r="D2474" i="1" s="1"/>
  <c r="C2475" i="1"/>
  <c r="D2475" i="1" s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D2502" i="1" s="1"/>
  <c r="C2503" i="1"/>
  <c r="D2503" i="1" s="1"/>
  <c r="C2504" i="1"/>
  <c r="D2504" i="1" s="1"/>
  <c r="C2505" i="1"/>
  <c r="D2505" i="1" s="1"/>
  <c r="C2506" i="1"/>
  <c r="C2507" i="1"/>
  <c r="C2508" i="1"/>
  <c r="D2508" i="1" s="1"/>
  <c r="C2509" i="1"/>
  <c r="D2509" i="1" s="1"/>
  <c r="C2510" i="1"/>
  <c r="D2510" i="1" s="1"/>
  <c r="C2511" i="1"/>
  <c r="D2511" i="1" s="1"/>
  <c r="C2512" i="1"/>
  <c r="D2512" i="1" s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C2524" i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D2546" i="1" s="1"/>
  <c r="C2547" i="1"/>
  <c r="D2547" i="1" s="1"/>
  <c r="C2548" i="1"/>
  <c r="D2548" i="1" s="1"/>
  <c r="C2549" i="1"/>
  <c r="D2549" i="1" s="1"/>
  <c r="C2550" i="1"/>
  <c r="D2550" i="1" s="1"/>
  <c r="C2551" i="1"/>
  <c r="D2551" i="1" s="1"/>
  <c r="C2552" i="1"/>
  <c r="D2552" i="1" s="1"/>
  <c r="C2553" i="1"/>
  <c r="D2553" i="1" s="1"/>
  <c r="C2554" i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3" i="1"/>
  <c r="BF3" i="1" s="1"/>
  <c r="C4" i="1"/>
  <c r="D4" i="1" s="1"/>
  <c r="C5" i="1"/>
  <c r="D5" i="1" s="1"/>
  <c r="C6" i="1"/>
  <c r="D6" i="1" s="1"/>
  <c r="C2" i="1"/>
  <c r="D2" i="1" s="1"/>
  <c r="D9" i="1"/>
  <c r="D10" i="1"/>
  <c r="D23" i="1"/>
  <c r="D39" i="1"/>
  <c r="D41" i="1"/>
  <c r="D42" i="1"/>
  <c r="D87" i="1"/>
  <c r="D89" i="1"/>
  <c r="D90" i="1"/>
  <c r="D105" i="1"/>
  <c r="D139" i="1"/>
  <c r="D151" i="1"/>
  <c r="D183" i="1"/>
  <c r="D185" i="1"/>
  <c r="D186" i="1"/>
  <c r="D202" i="1"/>
  <c r="D215" i="1"/>
  <c r="D217" i="1"/>
  <c r="D218" i="1"/>
  <c r="D219" i="1"/>
  <c r="D231" i="1"/>
  <c r="D247" i="1"/>
  <c r="D295" i="1"/>
  <c r="D296" i="1"/>
  <c r="D310" i="1"/>
  <c r="D311" i="1"/>
  <c r="D312" i="1"/>
  <c r="D313" i="1"/>
  <c r="D314" i="1"/>
  <c r="D344" i="1"/>
  <c r="D345" i="1"/>
  <c r="D346" i="1"/>
  <c r="D377" i="1"/>
  <c r="D408" i="1"/>
  <c r="D423" i="1"/>
  <c r="D424" i="1"/>
  <c r="D425" i="1"/>
  <c r="D474" i="1"/>
  <c r="D475" i="1"/>
  <c r="D487" i="1"/>
  <c r="D490" i="1"/>
  <c r="D503" i="1"/>
  <c r="D504" i="1"/>
  <c r="D521" i="1"/>
  <c r="D522" i="1"/>
  <c r="D567" i="1"/>
  <c r="D568" i="1"/>
  <c r="D599" i="1"/>
  <c r="D600" i="1"/>
  <c r="D603" i="1"/>
  <c r="D615" i="1"/>
  <c r="D616" i="1"/>
  <c r="D618" i="1"/>
  <c r="D650" i="1"/>
  <c r="D663" i="1"/>
  <c r="D664" i="1"/>
  <c r="D666" i="1"/>
  <c r="D680" i="1"/>
  <c r="D695" i="1"/>
  <c r="D711" i="1"/>
  <c r="D727" i="1"/>
  <c r="D743" i="1"/>
  <c r="D744" i="1"/>
  <c r="D745" i="1"/>
  <c r="D746" i="1"/>
  <c r="D747" i="1"/>
  <c r="D763" i="1"/>
  <c r="D777" i="1"/>
  <c r="D782" i="1"/>
  <c r="D792" i="1"/>
  <c r="D808" i="1"/>
  <c r="D828" i="1"/>
  <c r="D872" i="1"/>
  <c r="D873" i="1"/>
  <c r="D874" i="1"/>
  <c r="D875" i="1"/>
  <c r="D876" i="1"/>
  <c r="D891" i="1"/>
  <c r="D892" i="1"/>
  <c r="D936" i="1"/>
  <c r="D940" i="1"/>
  <c r="D952" i="1"/>
  <c r="D953" i="1"/>
  <c r="D984" i="1"/>
  <c r="D987" i="1"/>
  <c r="D988" i="1"/>
  <c r="D1000" i="1"/>
  <c r="D1003" i="1"/>
  <c r="D1004" i="1"/>
  <c r="D1016" i="1"/>
  <c r="D1032" i="1"/>
  <c r="D1048" i="1"/>
  <c r="D1052" i="1"/>
  <c r="D1067" i="1"/>
  <c r="D1068" i="1"/>
  <c r="D1100" i="1"/>
  <c r="D1114" i="1"/>
  <c r="D1129" i="1"/>
  <c r="D1130" i="1"/>
  <c r="D1144" i="1"/>
  <c r="D1148" i="1"/>
  <c r="D1176" i="1"/>
  <c r="D1177" i="1"/>
  <c r="D1179" i="1"/>
  <c r="D1180" i="1"/>
  <c r="D1195" i="1"/>
  <c r="D1209" i="1"/>
  <c r="D1210" i="1"/>
  <c r="D1228" i="1"/>
  <c r="D1230" i="1"/>
  <c r="D1246" i="1"/>
  <c r="D1320" i="1"/>
  <c r="D1338" i="1"/>
  <c r="D1339" i="1"/>
  <c r="D1450" i="1"/>
  <c r="D1466" i="1"/>
  <c r="D1522" i="1"/>
  <c r="D1562" i="1"/>
  <c r="D1563" i="1"/>
  <c r="D1564" i="1"/>
  <c r="D1675" i="1"/>
  <c r="D1676" i="1"/>
  <c r="D1728" i="1"/>
  <c r="D1786" i="1"/>
  <c r="D1898" i="1"/>
  <c r="D2026" i="1"/>
  <c r="D2142" i="1"/>
  <c r="D2154" i="1"/>
  <c r="D2252" i="1"/>
  <c r="D2254" i="1"/>
  <c r="D2266" i="1"/>
  <c r="D2426" i="1"/>
  <c r="D2427" i="1"/>
  <c r="D2506" i="1"/>
  <c r="D2507" i="1"/>
  <c r="D2523" i="1"/>
  <c r="D2524" i="1"/>
  <c r="D2538" i="1"/>
  <c r="D2554" i="1"/>
  <c r="D7" i="1"/>
  <c r="CO44" i="4"/>
  <c r="CO45" i="4"/>
  <c r="BF4" i="1"/>
  <c r="BF5" i="1"/>
  <c r="CW3" i="1"/>
  <c r="CW4" i="1"/>
  <c r="CW2" i="1"/>
  <c r="AN2644" i="1" l="1"/>
  <c r="AP2643" i="1"/>
  <c r="AM2649" i="1"/>
  <c r="AP2608" i="1"/>
  <c r="AM2609" i="1"/>
  <c r="D3" i="1"/>
  <c r="BF2" i="1"/>
  <c r="BF6" i="1"/>
  <c r="BE3" i="1"/>
  <c r="BE4" i="1"/>
  <c r="BE5" i="1"/>
  <c r="BE6" i="1"/>
  <c r="BK3" i="1"/>
  <c r="BK2" i="1"/>
  <c r="BJ3" i="1"/>
  <c r="BJ2" i="1"/>
  <c r="BG2" i="1"/>
  <c r="BH2" i="1"/>
  <c r="BI2" i="1"/>
  <c r="BG3" i="1"/>
  <c r="BH3" i="1"/>
  <c r="BI3" i="1"/>
  <c r="BG4" i="1"/>
  <c r="BH4" i="1"/>
  <c r="BI4" i="1"/>
  <c r="BG5" i="1"/>
  <c r="BH5" i="1"/>
  <c r="BI5" i="1"/>
  <c r="BG6" i="1"/>
  <c r="BH6" i="1"/>
  <c r="BI6" i="1"/>
  <c r="BE2" i="1"/>
  <c r="AM6" i="1"/>
  <c r="AN6" i="1"/>
  <c r="AM784" i="1"/>
  <c r="AM785" i="1" s="1"/>
  <c r="AM786" i="1" s="1"/>
  <c r="AM787" i="1" s="1"/>
  <c r="AM788" i="1" s="1"/>
  <c r="AM789" i="1" s="1"/>
  <c r="AM790" i="1" s="1"/>
  <c r="AM791" i="1" s="1"/>
  <c r="AM792" i="1" s="1"/>
  <c r="AM793" i="1" s="1"/>
  <c r="AM794" i="1" s="1"/>
  <c r="AM795" i="1" s="1"/>
  <c r="AM796" i="1" s="1"/>
  <c r="AM797" i="1" s="1"/>
  <c r="AM798" i="1" s="1"/>
  <c r="AM799" i="1" s="1"/>
  <c r="AM800" i="1" s="1"/>
  <c r="AM801" i="1" s="1"/>
  <c r="AM802" i="1" s="1"/>
  <c r="AM803" i="1" s="1"/>
  <c r="AM804" i="1" s="1"/>
  <c r="AM805" i="1" s="1"/>
  <c r="AM806" i="1" s="1"/>
  <c r="AM807" i="1" s="1"/>
  <c r="AM808" i="1" s="1"/>
  <c r="AM809" i="1" s="1"/>
  <c r="AM810" i="1" s="1"/>
  <c r="AM811" i="1" s="1"/>
  <c r="AM812" i="1" s="1"/>
  <c r="AM813" i="1" s="1"/>
  <c r="AM814" i="1" s="1"/>
  <c r="AM815" i="1" s="1"/>
  <c r="AM816" i="1" s="1"/>
  <c r="AM817" i="1" s="1"/>
  <c r="AM818" i="1" s="1"/>
  <c r="AM819" i="1" s="1"/>
  <c r="AM820" i="1" s="1"/>
  <c r="AM821" i="1" s="1"/>
  <c r="AM822" i="1" s="1"/>
  <c r="AM823" i="1" s="1"/>
  <c r="AM824" i="1" s="1"/>
  <c r="AM825" i="1" s="1"/>
  <c r="AM826" i="1" s="1"/>
  <c r="AM827" i="1" s="1"/>
  <c r="AM828" i="1" s="1"/>
  <c r="AM829" i="1" s="1"/>
  <c r="AM830" i="1" s="1"/>
  <c r="AM831" i="1" s="1"/>
  <c r="AM832" i="1" s="1"/>
  <c r="AM833" i="1" s="1"/>
  <c r="AM834" i="1" s="1"/>
  <c r="AM835" i="1" s="1"/>
  <c r="AM836" i="1" s="1"/>
  <c r="AM837" i="1" s="1"/>
  <c r="AM838" i="1" s="1"/>
  <c r="AM839" i="1" s="1"/>
  <c r="AM840" i="1" s="1"/>
  <c r="AM841" i="1" s="1"/>
  <c r="AM842" i="1" s="1"/>
  <c r="AM843" i="1" s="1"/>
  <c r="AM844" i="1" s="1"/>
  <c r="AM845" i="1" s="1"/>
  <c r="AM846" i="1" s="1"/>
  <c r="AM847" i="1" s="1"/>
  <c r="AM848" i="1" s="1"/>
  <c r="AM849" i="1" s="1"/>
  <c r="AM850" i="1" s="1"/>
  <c r="AM851" i="1" s="1"/>
  <c r="AM852" i="1" s="1"/>
  <c r="AM853" i="1" s="1"/>
  <c r="AM854" i="1" s="1"/>
  <c r="AM855" i="1" s="1"/>
  <c r="AM856" i="1" s="1"/>
  <c r="AM857" i="1" s="1"/>
  <c r="AM858" i="1" s="1"/>
  <c r="AM859" i="1" s="1"/>
  <c r="AM860" i="1" s="1"/>
  <c r="AM861" i="1" s="1"/>
  <c r="AM862" i="1" s="1"/>
  <c r="AM863" i="1" s="1"/>
  <c r="AM864" i="1" s="1"/>
  <c r="AM865" i="1" s="1"/>
  <c r="AM866" i="1" s="1"/>
  <c r="AM867" i="1" s="1"/>
  <c r="AM868" i="1" s="1"/>
  <c r="AM869" i="1" s="1"/>
  <c r="AM870" i="1" s="1"/>
  <c r="AM871" i="1" s="1"/>
  <c r="AM872" i="1" s="1"/>
  <c r="AM873" i="1" s="1"/>
  <c r="AM874" i="1" s="1"/>
  <c r="AM875" i="1" s="1"/>
  <c r="AM876" i="1" s="1"/>
  <c r="AM877" i="1" s="1"/>
  <c r="AM878" i="1" s="1"/>
  <c r="AM879" i="1" s="1"/>
  <c r="AM880" i="1" s="1"/>
  <c r="AM881" i="1" s="1"/>
  <c r="AM882" i="1" s="1"/>
  <c r="AM883" i="1" s="1"/>
  <c r="AM884" i="1" s="1"/>
  <c r="AM885" i="1" s="1"/>
  <c r="AM886" i="1" s="1"/>
  <c r="AM887" i="1" s="1"/>
  <c r="AM888" i="1" s="1"/>
  <c r="AM889" i="1" s="1"/>
  <c r="AM890" i="1" s="1"/>
  <c r="AM891" i="1" s="1"/>
  <c r="AM892" i="1" s="1"/>
  <c r="AM893" i="1" s="1"/>
  <c r="AM894" i="1" s="1"/>
  <c r="AM895" i="1" s="1"/>
  <c r="AM896" i="1" s="1"/>
  <c r="AM897" i="1" s="1"/>
  <c r="AM898" i="1" s="1"/>
  <c r="AM899" i="1" s="1"/>
  <c r="AM900" i="1" s="1"/>
  <c r="AM901" i="1" s="1"/>
  <c r="AM902" i="1" s="1"/>
  <c r="AM903" i="1" s="1"/>
  <c r="AM904" i="1" s="1"/>
  <c r="AM905" i="1" s="1"/>
  <c r="AM906" i="1" s="1"/>
  <c r="AM907" i="1" s="1"/>
  <c r="AM908" i="1" s="1"/>
  <c r="AM909" i="1" s="1"/>
  <c r="AM910" i="1" s="1"/>
  <c r="AM911" i="1" s="1"/>
  <c r="AM912" i="1" s="1"/>
  <c r="AM913" i="1" s="1"/>
  <c r="AM914" i="1" s="1"/>
  <c r="AM915" i="1" s="1"/>
  <c r="AM916" i="1" s="1"/>
  <c r="AM917" i="1" s="1"/>
  <c r="AM918" i="1" s="1"/>
  <c r="AM919" i="1" s="1"/>
  <c r="AM920" i="1" s="1"/>
  <c r="AM921" i="1" s="1"/>
  <c r="AM922" i="1" s="1"/>
  <c r="AM923" i="1" s="1"/>
  <c r="AM924" i="1" s="1"/>
  <c r="AM925" i="1" s="1"/>
  <c r="AM926" i="1" s="1"/>
  <c r="AM927" i="1" s="1"/>
  <c r="AM928" i="1" s="1"/>
  <c r="AM929" i="1" s="1"/>
  <c r="AM930" i="1" s="1"/>
  <c r="AM931" i="1" s="1"/>
  <c r="AM932" i="1" s="1"/>
  <c r="AM933" i="1" s="1"/>
  <c r="AM934" i="1" s="1"/>
  <c r="AM935" i="1" s="1"/>
  <c r="AM936" i="1" s="1"/>
  <c r="AM937" i="1" s="1"/>
  <c r="AM938" i="1" s="1"/>
  <c r="AM939" i="1" s="1"/>
  <c r="AM940" i="1" s="1"/>
  <c r="AM941" i="1" s="1"/>
  <c r="AM942" i="1" s="1"/>
  <c r="AM943" i="1" s="1"/>
  <c r="AM944" i="1" s="1"/>
  <c r="AM945" i="1" s="1"/>
  <c r="AM946" i="1" s="1"/>
  <c r="AM947" i="1" s="1"/>
  <c r="AM948" i="1" s="1"/>
  <c r="AM949" i="1" s="1"/>
  <c r="AM950" i="1" s="1"/>
  <c r="AM951" i="1" s="1"/>
  <c r="AM952" i="1" s="1"/>
  <c r="AM953" i="1" s="1"/>
  <c r="AM954" i="1" s="1"/>
  <c r="AM955" i="1" s="1"/>
  <c r="AM956" i="1" s="1"/>
  <c r="AM957" i="1" s="1"/>
  <c r="AM958" i="1" s="1"/>
  <c r="AM959" i="1" s="1"/>
  <c r="AM960" i="1" s="1"/>
  <c r="AM961" i="1" s="1"/>
  <c r="AM962" i="1" s="1"/>
  <c r="AM963" i="1" s="1"/>
  <c r="AM964" i="1" s="1"/>
  <c r="AM965" i="1" s="1"/>
  <c r="AM966" i="1" s="1"/>
  <c r="AM967" i="1" s="1"/>
  <c r="AM968" i="1" s="1"/>
  <c r="AM969" i="1" s="1"/>
  <c r="AM970" i="1" s="1"/>
  <c r="AM971" i="1" s="1"/>
  <c r="AM972" i="1" s="1"/>
  <c r="AM973" i="1" s="1"/>
  <c r="AM974" i="1" s="1"/>
  <c r="AM975" i="1" s="1"/>
  <c r="AM976" i="1" s="1"/>
  <c r="AM977" i="1" s="1"/>
  <c r="AM978" i="1" s="1"/>
  <c r="AM979" i="1" s="1"/>
  <c r="AM980" i="1" s="1"/>
  <c r="AM981" i="1" s="1"/>
  <c r="AM982" i="1" s="1"/>
  <c r="AM983" i="1" s="1"/>
  <c r="AM984" i="1" s="1"/>
  <c r="AM985" i="1" s="1"/>
  <c r="AM986" i="1" s="1"/>
  <c r="AM987" i="1" s="1"/>
  <c r="AM988" i="1" s="1"/>
  <c r="AM989" i="1" s="1"/>
  <c r="AM990" i="1" s="1"/>
  <c r="AM991" i="1" s="1"/>
  <c r="AM992" i="1" s="1"/>
  <c r="AM993" i="1" s="1"/>
  <c r="AM994" i="1" s="1"/>
  <c r="AM995" i="1" s="1"/>
  <c r="AM996" i="1" s="1"/>
  <c r="AM997" i="1" s="1"/>
  <c r="AM998" i="1" s="1"/>
  <c r="AM999" i="1" s="1"/>
  <c r="AM1000" i="1" s="1"/>
  <c r="AM1001" i="1" s="1"/>
  <c r="AM1002" i="1" s="1"/>
  <c r="AM1003" i="1" s="1"/>
  <c r="AM1004" i="1" s="1"/>
  <c r="AM1005" i="1" s="1"/>
  <c r="AM1006" i="1" s="1"/>
  <c r="AM1007" i="1" s="1"/>
  <c r="AM1008" i="1" s="1"/>
  <c r="AM1009" i="1" s="1"/>
  <c r="AM1010" i="1" s="1"/>
  <c r="AM1011" i="1" s="1"/>
  <c r="AM1012" i="1" s="1"/>
  <c r="AM1013" i="1" s="1"/>
  <c r="AM1014" i="1" s="1"/>
  <c r="AM1015" i="1" s="1"/>
  <c r="AM1016" i="1" s="1"/>
  <c r="AM1017" i="1" s="1"/>
  <c r="AM1018" i="1" s="1"/>
  <c r="AM1019" i="1" s="1"/>
  <c r="AM1020" i="1" s="1"/>
  <c r="AM1021" i="1" s="1"/>
  <c r="AM1022" i="1" s="1"/>
  <c r="AM1023" i="1" s="1"/>
  <c r="AM1024" i="1" s="1"/>
  <c r="AM1025" i="1" s="1"/>
  <c r="AM1026" i="1" s="1"/>
  <c r="AM1027" i="1" s="1"/>
  <c r="AM1028" i="1" s="1"/>
  <c r="AM1029" i="1" s="1"/>
  <c r="AM1030" i="1" s="1"/>
  <c r="AM1031" i="1" s="1"/>
  <c r="AM1032" i="1" s="1"/>
  <c r="AM1033" i="1" s="1"/>
  <c r="AM1034" i="1" s="1"/>
  <c r="AM1035" i="1" s="1"/>
  <c r="AM1036" i="1" s="1"/>
  <c r="AM1037" i="1" s="1"/>
  <c r="AM1038" i="1" s="1"/>
  <c r="AM1039" i="1" s="1"/>
  <c r="AM1040" i="1" s="1"/>
  <c r="AM1041" i="1" s="1"/>
  <c r="AM1042" i="1" s="1"/>
  <c r="AM1043" i="1" s="1"/>
  <c r="AM1044" i="1" s="1"/>
  <c r="AM1045" i="1" s="1"/>
  <c r="AM1046" i="1" s="1"/>
  <c r="AM1047" i="1" s="1"/>
  <c r="AM1048" i="1" s="1"/>
  <c r="AM1049" i="1" s="1"/>
  <c r="AM1050" i="1" s="1"/>
  <c r="AM1051" i="1" s="1"/>
  <c r="AM1052" i="1" s="1"/>
  <c r="AM1053" i="1" s="1"/>
  <c r="AM1054" i="1" s="1"/>
  <c r="AM1055" i="1" s="1"/>
  <c r="AM1056" i="1" s="1"/>
  <c r="AM1057" i="1" s="1"/>
  <c r="AM1058" i="1" s="1"/>
  <c r="AM1059" i="1" s="1"/>
  <c r="AM1060" i="1" s="1"/>
  <c r="AM1061" i="1" s="1"/>
  <c r="AM1062" i="1" s="1"/>
  <c r="AM1063" i="1" s="1"/>
  <c r="AM1064" i="1" s="1"/>
  <c r="AM1065" i="1" s="1"/>
  <c r="AM1066" i="1" s="1"/>
  <c r="AM1067" i="1" s="1"/>
  <c r="AM1068" i="1" s="1"/>
  <c r="AM1069" i="1" s="1"/>
  <c r="AM1070" i="1" s="1"/>
  <c r="AM1071" i="1" s="1"/>
  <c r="AM1072" i="1" s="1"/>
  <c r="AM1073" i="1" s="1"/>
  <c r="AM1074" i="1" s="1"/>
  <c r="AM1075" i="1" s="1"/>
  <c r="AM1076" i="1" s="1"/>
  <c r="AM1077" i="1" s="1"/>
  <c r="AM1078" i="1" s="1"/>
  <c r="AM1079" i="1" s="1"/>
  <c r="AM1080" i="1" s="1"/>
  <c r="AM1081" i="1" s="1"/>
  <c r="AM1082" i="1" s="1"/>
  <c r="AM1083" i="1" s="1"/>
  <c r="AM1084" i="1" s="1"/>
  <c r="AM1085" i="1" s="1"/>
  <c r="AM1086" i="1" s="1"/>
  <c r="AM1087" i="1" s="1"/>
  <c r="AM1088" i="1" s="1"/>
  <c r="AM1089" i="1" s="1"/>
  <c r="AM1090" i="1" s="1"/>
  <c r="AM1091" i="1" s="1"/>
  <c r="AM1092" i="1" s="1"/>
  <c r="AM1093" i="1" s="1"/>
  <c r="AM1094" i="1" s="1"/>
  <c r="AM1095" i="1" s="1"/>
  <c r="AM1096" i="1" s="1"/>
  <c r="AM1097" i="1" s="1"/>
  <c r="AM1098" i="1" s="1"/>
  <c r="AM1099" i="1" s="1"/>
  <c r="AM1100" i="1" s="1"/>
  <c r="AM1101" i="1" s="1"/>
  <c r="AM1102" i="1" s="1"/>
  <c r="AM1103" i="1" s="1"/>
  <c r="AM1104" i="1" s="1"/>
  <c r="AM1105" i="1" s="1"/>
  <c r="AM1106" i="1" s="1"/>
  <c r="AM1107" i="1" s="1"/>
  <c r="AM1108" i="1" s="1"/>
  <c r="AM1109" i="1" s="1"/>
  <c r="AM1110" i="1" s="1"/>
  <c r="AM1111" i="1" s="1"/>
  <c r="AM1112" i="1" s="1"/>
  <c r="AM1113" i="1" s="1"/>
  <c r="AM1114" i="1" s="1"/>
  <c r="AM1115" i="1" s="1"/>
  <c r="AM1116" i="1" s="1"/>
  <c r="AM1117" i="1" s="1"/>
  <c r="AM1118" i="1" s="1"/>
  <c r="AM1119" i="1" s="1"/>
  <c r="AM1120" i="1" s="1"/>
  <c r="AM1121" i="1" s="1"/>
  <c r="AM1122" i="1" s="1"/>
  <c r="AM1123" i="1" s="1"/>
  <c r="AM1124" i="1" s="1"/>
  <c r="AM1125" i="1" s="1"/>
  <c r="AM1126" i="1" s="1"/>
  <c r="AM1127" i="1" s="1"/>
  <c r="AM1128" i="1" s="1"/>
  <c r="AM1129" i="1" s="1"/>
  <c r="AM1130" i="1" s="1"/>
  <c r="AM1131" i="1" s="1"/>
  <c r="AM1132" i="1" s="1"/>
  <c r="AM1133" i="1" s="1"/>
  <c r="AM1134" i="1" s="1"/>
  <c r="AM1135" i="1" s="1"/>
  <c r="AM1136" i="1" s="1"/>
  <c r="AM1137" i="1" s="1"/>
  <c r="AM1138" i="1" s="1"/>
  <c r="AM1139" i="1" s="1"/>
  <c r="AM1140" i="1" s="1"/>
  <c r="AM1141" i="1" s="1"/>
  <c r="AM1142" i="1" s="1"/>
  <c r="AM1143" i="1" s="1"/>
  <c r="AM1144" i="1" s="1"/>
  <c r="AM1145" i="1" s="1"/>
  <c r="AM1146" i="1" s="1"/>
  <c r="AM1147" i="1" s="1"/>
  <c r="AM1148" i="1" s="1"/>
  <c r="AM1149" i="1" s="1"/>
  <c r="AM1150" i="1" s="1"/>
  <c r="AM1151" i="1" s="1"/>
  <c r="AM1152" i="1" s="1"/>
  <c r="AM1153" i="1" s="1"/>
  <c r="AM1154" i="1" s="1"/>
  <c r="AM1155" i="1" s="1"/>
  <c r="AM1156" i="1" s="1"/>
  <c r="AM1157" i="1" s="1"/>
  <c r="AM1158" i="1" s="1"/>
  <c r="AM1159" i="1" s="1"/>
  <c r="AM1160" i="1" s="1"/>
  <c r="AM1161" i="1" s="1"/>
  <c r="AM1162" i="1" s="1"/>
  <c r="AM1163" i="1" s="1"/>
  <c r="AM1164" i="1" s="1"/>
  <c r="AM1165" i="1" s="1"/>
  <c r="AM1166" i="1" s="1"/>
  <c r="AM1167" i="1" s="1"/>
  <c r="AM1168" i="1" s="1"/>
  <c r="AM1169" i="1" s="1"/>
  <c r="AM1170" i="1" s="1"/>
  <c r="AM1171" i="1" s="1"/>
  <c r="AM1172" i="1" s="1"/>
  <c r="AM1173" i="1" s="1"/>
  <c r="AM1174" i="1" s="1"/>
  <c r="AM1175" i="1" s="1"/>
  <c r="AM1176" i="1" s="1"/>
  <c r="AM1177" i="1" s="1"/>
  <c r="AM1178" i="1" s="1"/>
  <c r="AM1179" i="1" s="1"/>
  <c r="AM1180" i="1" s="1"/>
  <c r="AM1181" i="1" s="1"/>
  <c r="AM1182" i="1" s="1"/>
  <c r="AM1183" i="1" s="1"/>
  <c r="AM1184" i="1" s="1"/>
  <c r="AM1185" i="1" s="1"/>
  <c r="AM1186" i="1" s="1"/>
  <c r="AM1187" i="1" s="1"/>
  <c r="AM1188" i="1" s="1"/>
  <c r="AM1189" i="1" s="1"/>
  <c r="AM1190" i="1" s="1"/>
  <c r="AM1191" i="1" s="1"/>
  <c r="AM1192" i="1" s="1"/>
  <c r="AM1193" i="1" s="1"/>
  <c r="AM1194" i="1" s="1"/>
  <c r="AM1195" i="1" s="1"/>
  <c r="AM1196" i="1" s="1"/>
  <c r="AM1197" i="1" s="1"/>
  <c r="AM1198" i="1" s="1"/>
  <c r="AM1199" i="1" s="1"/>
  <c r="AM1200" i="1" s="1"/>
  <c r="AM1201" i="1" s="1"/>
  <c r="AM1202" i="1" s="1"/>
  <c r="AM1203" i="1" s="1"/>
  <c r="AM1204" i="1" s="1"/>
  <c r="AM1205" i="1" s="1"/>
  <c r="AM1206" i="1" s="1"/>
  <c r="AM1207" i="1" s="1"/>
  <c r="AM1208" i="1" s="1"/>
  <c r="AM1209" i="1" s="1"/>
  <c r="AM1210" i="1" s="1"/>
  <c r="AM1211" i="1" s="1"/>
  <c r="AM1212" i="1" s="1"/>
  <c r="AM1213" i="1" s="1"/>
  <c r="AM1214" i="1" s="1"/>
  <c r="AM1215" i="1" s="1"/>
  <c r="AM1216" i="1" s="1"/>
  <c r="AM1217" i="1" s="1"/>
  <c r="AM1218" i="1" s="1"/>
  <c r="AM1219" i="1" s="1"/>
  <c r="AM1220" i="1" s="1"/>
  <c r="AM1221" i="1" s="1"/>
  <c r="AM1222" i="1" s="1"/>
  <c r="AM1223" i="1" s="1"/>
  <c r="AM1224" i="1" s="1"/>
  <c r="AM1225" i="1" s="1"/>
  <c r="AM1226" i="1" s="1"/>
  <c r="AM1227" i="1" s="1"/>
  <c r="AM1228" i="1" s="1"/>
  <c r="AM1229" i="1" s="1"/>
  <c r="AM1230" i="1" s="1"/>
  <c r="AM1231" i="1" s="1"/>
  <c r="AM1232" i="1" s="1"/>
  <c r="AM1233" i="1" s="1"/>
  <c r="AM1234" i="1" s="1"/>
  <c r="AM1235" i="1" s="1"/>
  <c r="AM1236" i="1" s="1"/>
  <c r="AM1237" i="1" s="1"/>
  <c r="AM1238" i="1" s="1"/>
  <c r="AM1239" i="1" s="1"/>
  <c r="AM1240" i="1" s="1"/>
  <c r="AM1241" i="1" s="1"/>
  <c r="AM1242" i="1" s="1"/>
  <c r="AM1243" i="1" s="1"/>
  <c r="AM1244" i="1" s="1"/>
  <c r="AM1245" i="1" s="1"/>
  <c r="AM1246" i="1" s="1"/>
  <c r="AM1247" i="1" s="1"/>
  <c r="AM1248" i="1" s="1"/>
  <c r="AM1249" i="1" s="1"/>
  <c r="AM1250" i="1" s="1"/>
  <c r="AM1251" i="1" s="1"/>
  <c r="AM1252" i="1" s="1"/>
  <c r="AM1253" i="1" s="1"/>
  <c r="AM1254" i="1" s="1"/>
  <c r="AM1255" i="1" s="1"/>
  <c r="AM1256" i="1" s="1"/>
  <c r="AM1257" i="1" s="1"/>
  <c r="AM1258" i="1" s="1"/>
  <c r="AM1259" i="1" s="1"/>
  <c r="AM1260" i="1" s="1"/>
  <c r="AM1261" i="1" s="1"/>
  <c r="AM1262" i="1" s="1"/>
  <c r="AM1263" i="1" s="1"/>
  <c r="AM1264" i="1" s="1"/>
  <c r="AM1265" i="1" s="1"/>
  <c r="AM1266" i="1" s="1"/>
  <c r="AM1267" i="1" s="1"/>
  <c r="AM1268" i="1" s="1"/>
  <c r="AM1269" i="1" s="1"/>
  <c r="AM1270" i="1" s="1"/>
  <c r="AM1271" i="1" s="1"/>
  <c r="AM1272" i="1" s="1"/>
  <c r="AM1273" i="1" s="1"/>
  <c r="AM1274" i="1" s="1"/>
  <c r="AM1275" i="1" s="1"/>
  <c r="AM1276" i="1" s="1"/>
  <c r="AM1277" i="1" s="1"/>
  <c r="AM1278" i="1" s="1"/>
  <c r="AM1279" i="1" s="1"/>
  <c r="AM1280" i="1" s="1"/>
  <c r="AM1281" i="1" s="1"/>
  <c r="AM1282" i="1" s="1"/>
  <c r="AM1283" i="1" s="1"/>
  <c r="AM1284" i="1" s="1"/>
  <c r="AM1285" i="1" s="1"/>
  <c r="AM1286" i="1" s="1"/>
  <c r="AM1287" i="1" s="1"/>
  <c r="AM1288" i="1" s="1"/>
  <c r="AM1289" i="1" s="1"/>
  <c r="AM1290" i="1" s="1"/>
  <c r="AM1291" i="1" s="1"/>
  <c r="AM1292" i="1" s="1"/>
  <c r="AM1293" i="1" s="1"/>
  <c r="AM1294" i="1" s="1"/>
  <c r="AM1295" i="1" s="1"/>
  <c r="AM1296" i="1" s="1"/>
  <c r="AM1297" i="1" s="1"/>
  <c r="AM1298" i="1" s="1"/>
  <c r="AM1299" i="1" s="1"/>
  <c r="AM1300" i="1" s="1"/>
  <c r="AM1301" i="1" s="1"/>
  <c r="AM1302" i="1" s="1"/>
  <c r="AM1303" i="1" s="1"/>
  <c r="AM1304" i="1" s="1"/>
  <c r="AM1305" i="1" s="1"/>
  <c r="AM1306" i="1" s="1"/>
  <c r="AM1307" i="1" s="1"/>
  <c r="AM1308" i="1" s="1"/>
  <c r="AM1309" i="1" s="1"/>
  <c r="AM1310" i="1" s="1"/>
  <c r="AM1311" i="1" s="1"/>
  <c r="AM1312" i="1" s="1"/>
  <c r="AM1313" i="1" s="1"/>
  <c r="AM1314" i="1" s="1"/>
  <c r="AM1315" i="1" s="1"/>
  <c r="AM1316" i="1" s="1"/>
  <c r="AM1317" i="1" s="1"/>
  <c r="AM1318" i="1" s="1"/>
  <c r="AM1319" i="1" s="1"/>
  <c r="AM1320" i="1" s="1"/>
  <c r="AM1321" i="1" s="1"/>
  <c r="AM1322" i="1" s="1"/>
  <c r="AM1323" i="1" s="1"/>
  <c r="AM1324" i="1" s="1"/>
  <c r="AM1325" i="1" s="1"/>
  <c r="AM1326" i="1" s="1"/>
  <c r="AM1327" i="1" s="1"/>
  <c r="AM1328" i="1" s="1"/>
  <c r="AM1329" i="1" s="1"/>
  <c r="AM1330" i="1" s="1"/>
  <c r="AM1331" i="1" s="1"/>
  <c r="AM1332" i="1" s="1"/>
  <c r="AM1333" i="1" s="1"/>
  <c r="AM1334" i="1" s="1"/>
  <c r="AM1335" i="1" s="1"/>
  <c r="AM1336" i="1" s="1"/>
  <c r="AM1337" i="1" s="1"/>
  <c r="AM1338" i="1" s="1"/>
  <c r="AM1339" i="1" s="1"/>
  <c r="AM1340" i="1" s="1"/>
  <c r="AM1341" i="1" s="1"/>
  <c r="AM1342" i="1" s="1"/>
  <c r="AM1343" i="1" s="1"/>
  <c r="AM1344" i="1" s="1"/>
  <c r="AM1345" i="1" s="1"/>
  <c r="AM1346" i="1" s="1"/>
  <c r="AM1347" i="1" s="1"/>
  <c r="AM1348" i="1" s="1"/>
  <c r="AM1349" i="1" s="1"/>
  <c r="AM1350" i="1" s="1"/>
  <c r="AM1351" i="1" s="1"/>
  <c r="AM1352" i="1" s="1"/>
  <c r="AM1353" i="1" s="1"/>
  <c r="AM1354" i="1" s="1"/>
  <c r="AM1355" i="1" s="1"/>
  <c r="AM1356" i="1" s="1"/>
  <c r="AM1357" i="1" s="1"/>
  <c r="AM1358" i="1" s="1"/>
  <c r="AM1359" i="1" s="1"/>
  <c r="AM1360" i="1" s="1"/>
  <c r="AM1361" i="1" s="1"/>
  <c r="AM1362" i="1" s="1"/>
  <c r="AM1363" i="1" s="1"/>
  <c r="AM1364" i="1" s="1"/>
  <c r="AM1365" i="1" s="1"/>
  <c r="AM1366" i="1" s="1"/>
  <c r="AM1367" i="1" s="1"/>
  <c r="AM1368" i="1" s="1"/>
  <c r="AM1369" i="1" s="1"/>
  <c r="AM1370" i="1" s="1"/>
  <c r="AM1371" i="1" s="1"/>
  <c r="AM1372" i="1" s="1"/>
  <c r="AM1373" i="1" s="1"/>
  <c r="AM1374" i="1" s="1"/>
  <c r="AM1375" i="1" s="1"/>
  <c r="AM1376" i="1" s="1"/>
  <c r="AM1377" i="1" s="1"/>
  <c r="AM1378" i="1" s="1"/>
  <c r="AM1379" i="1" s="1"/>
  <c r="AM1380" i="1" s="1"/>
  <c r="AM1381" i="1" s="1"/>
  <c r="AM1382" i="1" s="1"/>
  <c r="AM1383" i="1" s="1"/>
  <c r="AM1384" i="1" s="1"/>
  <c r="AM1385" i="1" s="1"/>
  <c r="AM1386" i="1" s="1"/>
  <c r="AM1387" i="1" s="1"/>
  <c r="AM1388" i="1" s="1"/>
  <c r="AM1389" i="1" s="1"/>
  <c r="AM1390" i="1" s="1"/>
  <c r="AM1391" i="1" s="1"/>
  <c r="AM1392" i="1" s="1"/>
  <c r="AM1393" i="1" s="1"/>
  <c r="AM1394" i="1" s="1"/>
  <c r="AM1395" i="1" s="1"/>
  <c r="AM1396" i="1" s="1"/>
  <c r="AM1397" i="1" s="1"/>
  <c r="AM1398" i="1" s="1"/>
  <c r="AM1399" i="1" s="1"/>
  <c r="AM1400" i="1" s="1"/>
  <c r="AM1401" i="1" s="1"/>
  <c r="AM1402" i="1" s="1"/>
  <c r="AM1403" i="1" s="1"/>
  <c r="AM1404" i="1" s="1"/>
  <c r="AM1405" i="1" s="1"/>
  <c r="AM1406" i="1" s="1"/>
  <c r="AM1407" i="1" s="1"/>
  <c r="AM1408" i="1" s="1"/>
  <c r="AM1409" i="1" s="1"/>
  <c r="AM1410" i="1" s="1"/>
  <c r="AM1411" i="1" s="1"/>
  <c r="AM1412" i="1" s="1"/>
  <c r="AM1413" i="1" s="1"/>
  <c r="AM1414" i="1" s="1"/>
  <c r="AM1415" i="1" s="1"/>
  <c r="AM1416" i="1" s="1"/>
  <c r="AM1417" i="1" s="1"/>
  <c r="AM1418" i="1" s="1"/>
  <c r="AM1419" i="1" s="1"/>
  <c r="AM1420" i="1" s="1"/>
  <c r="AM1421" i="1" s="1"/>
  <c r="AM1422" i="1" s="1"/>
  <c r="AM1423" i="1" s="1"/>
  <c r="AM1424" i="1" s="1"/>
  <c r="AM1425" i="1" s="1"/>
  <c r="AM1426" i="1" s="1"/>
  <c r="AM1427" i="1" s="1"/>
  <c r="AM1428" i="1" s="1"/>
  <c r="AM1429" i="1" s="1"/>
  <c r="AM1430" i="1" s="1"/>
  <c r="AM1431" i="1" s="1"/>
  <c r="AM1432" i="1" s="1"/>
  <c r="AM1433" i="1" s="1"/>
  <c r="AM1434" i="1" s="1"/>
  <c r="AM1435" i="1" s="1"/>
  <c r="AM1436" i="1" s="1"/>
  <c r="AM1437" i="1" s="1"/>
  <c r="AM1438" i="1" s="1"/>
  <c r="AM1439" i="1" s="1"/>
  <c r="AM1440" i="1" s="1"/>
  <c r="AM1441" i="1" s="1"/>
  <c r="AM1442" i="1" s="1"/>
  <c r="AM1443" i="1" s="1"/>
  <c r="AM1444" i="1" s="1"/>
  <c r="AM1445" i="1" s="1"/>
  <c r="AM1446" i="1" s="1"/>
  <c r="AM1447" i="1" s="1"/>
  <c r="AM1448" i="1" s="1"/>
  <c r="AM1449" i="1" s="1"/>
  <c r="AM1450" i="1" s="1"/>
  <c r="AM1451" i="1" s="1"/>
  <c r="AM1452" i="1" s="1"/>
  <c r="AM1453" i="1" s="1"/>
  <c r="AM1454" i="1" s="1"/>
  <c r="AM1455" i="1" s="1"/>
  <c r="AM1456" i="1" s="1"/>
  <c r="AM1457" i="1" s="1"/>
  <c r="AM1458" i="1" s="1"/>
  <c r="AM1459" i="1" s="1"/>
  <c r="AM1460" i="1" s="1"/>
  <c r="AM1461" i="1" s="1"/>
  <c r="AM1462" i="1" s="1"/>
  <c r="AM1463" i="1" s="1"/>
  <c r="AM1464" i="1" s="1"/>
  <c r="AM1465" i="1" s="1"/>
  <c r="AM1466" i="1" s="1"/>
  <c r="AM1467" i="1" s="1"/>
  <c r="AM1468" i="1" s="1"/>
  <c r="AM1469" i="1" s="1"/>
  <c r="AM1470" i="1" s="1"/>
  <c r="AM1471" i="1" s="1"/>
  <c r="AM1472" i="1" s="1"/>
  <c r="AM1473" i="1" s="1"/>
  <c r="AM1474" i="1" s="1"/>
  <c r="AM1475" i="1" s="1"/>
  <c r="AM1476" i="1" s="1"/>
  <c r="AM1477" i="1" s="1"/>
  <c r="AM1478" i="1" s="1"/>
  <c r="AM1479" i="1" s="1"/>
  <c r="AM1480" i="1" s="1"/>
  <c r="AM1481" i="1" s="1"/>
  <c r="AM1482" i="1" s="1"/>
  <c r="AM1483" i="1" s="1"/>
  <c r="AM1484" i="1" s="1"/>
  <c r="AM1485" i="1" s="1"/>
  <c r="AM1486" i="1" s="1"/>
  <c r="AM1487" i="1" s="1"/>
  <c r="AM1488" i="1" s="1"/>
  <c r="AM1489" i="1" s="1"/>
  <c r="AM1490" i="1" s="1"/>
  <c r="AM1491" i="1" s="1"/>
  <c r="AM1492" i="1" s="1"/>
  <c r="AM1493" i="1" s="1"/>
  <c r="AM1494" i="1" s="1"/>
  <c r="AM1495" i="1" s="1"/>
  <c r="AM1496" i="1" s="1"/>
  <c r="AM1497" i="1" s="1"/>
  <c r="AM1498" i="1" s="1"/>
  <c r="AM1499" i="1" s="1"/>
  <c r="AM1500" i="1" s="1"/>
  <c r="AM1501" i="1" s="1"/>
  <c r="AM1502" i="1" s="1"/>
  <c r="AM1503" i="1" s="1"/>
  <c r="AM1504" i="1" s="1"/>
  <c r="AM1505" i="1" s="1"/>
  <c r="AM1506" i="1" s="1"/>
  <c r="AM1507" i="1" s="1"/>
  <c r="AM1508" i="1" s="1"/>
  <c r="AM1509" i="1" s="1"/>
  <c r="AM1510" i="1" s="1"/>
  <c r="AM1511" i="1" s="1"/>
  <c r="AM1512" i="1" s="1"/>
  <c r="AM1513" i="1" s="1"/>
  <c r="AM1514" i="1" s="1"/>
  <c r="AM1515" i="1" s="1"/>
  <c r="AM1516" i="1" s="1"/>
  <c r="AM1517" i="1" s="1"/>
  <c r="AM1518" i="1" s="1"/>
  <c r="AM1519" i="1" s="1"/>
  <c r="AM1520" i="1" s="1"/>
  <c r="AM1521" i="1" s="1"/>
  <c r="AM1522" i="1" s="1"/>
  <c r="AM1523" i="1" s="1"/>
  <c r="AM1524" i="1" s="1"/>
  <c r="AM1525" i="1" s="1"/>
  <c r="AM1526" i="1" s="1"/>
  <c r="AM1527" i="1" s="1"/>
  <c r="AM1528" i="1" s="1"/>
  <c r="AM1529" i="1" s="1"/>
  <c r="AM1530" i="1" s="1"/>
  <c r="AM1531" i="1" s="1"/>
  <c r="AM1532" i="1" s="1"/>
  <c r="AM1533" i="1" s="1"/>
  <c r="AM1534" i="1" s="1"/>
  <c r="AM1535" i="1" s="1"/>
  <c r="AM1536" i="1" s="1"/>
  <c r="AM1537" i="1" s="1"/>
  <c r="AM1538" i="1" s="1"/>
  <c r="AM1539" i="1" s="1"/>
  <c r="AM1540" i="1" s="1"/>
  <c r="AM1541" i="1" s="1"/>
  <c r="AM1542" i="1" s="1"/>
  <c r="AM1543" i="1" s="1"/>
  <c r="AM1544" i="1" s="1"/>
  <c r="AM1545" i="1" s="1"/>
  <c r="AM1546" i="1" s="1"/>
  <c r="AM1547" i="1" s="1"/>
  <c r="AM1548" i="1" s="1"/>
  <c r="AM1549" i="1" s="1"/>
  <c r="AM1550" i="1" s="1"/>
  <c r="AM1551" i="1" s="1"/>
  <c r="AM1552" i="1" s="1"/>
  <c r="AM1553" i="1" s="1"/>
  <c r="AM1554" i="1" s="1"/>
  <c r="AM1555" i="1" s="1"/>
  <c r="AM1556" i="1" s="1"/>
  <c r="AM1557" i="1" s="1"/>
  <c r="AM1558" i="1" s="1"/>
  <c r="AM1559" i="1" s="1"/>
  <c r="AM1560" i="1" s="1"/>
  <c r="AM1561" i="1" s="1"/>
  <c r="AM1562" i="1" s="1"/>
  <c r="AM1563" i="1" s="1"/>
  <c r="AM1564" i="1" s="1"/>
  <c r="AM1565" i="1" s="1"/>
  <c r="AM1566" i="1" s="1"/>
  <c r="AM1567" i="1" s="1"/>
  <c r="AM1568" i="1" s="1"/>
  <c r="AM1569" i="1" s="1"/>
  <c r="AM1570" i="1" s="1"/>
  <c r="AM1571" i="1" s="1"/>
  <c r="AM1572" i="1" s="1"/>
  <c r="AM1573" i="1" s="1"/>
  <c r="AM1574" i="1" s="1"/>
  <c r="AM1575" i="1" s="1"/>
  <c r="AM1576" i="1" s="1"/>
  <c r="AM1577" i="1" s="1"/>
  <c r="AM1578" i="1" s="1"/>
  <c r="AM1579" i="1" s="1"/>
  <c r="AM1580" i="1" s="1"/>
  <c r="AM1581" i="1" s="1"/>
  <c r="AM1582" i="1" s="1"/>
  <c r="AM1583" i="1" s="1"/>
  <c r="AM1584" i="1" s="1"/>
  <c r="AM1585" i="1" s="1"/>
  <c r="AM1586" i="1" s="1"/>
  <c r="AM1587" i="1" s="1"/>
  <c r="AM1588" i="1" s="1"/>
  <c r="AM1589" i="1" s="1"/>
  <c r="AM1590" i="1" s="1"/>
  <c r="AM1591" i="1" s="1"/>
  <c r="AM1592" i="1" s="1"/>
  <c r="AM1593" i="1" s="1"/>
  <c r="AM1594" i="1" s="1"/>
  <c r="AM1595" i="1" s="1"/>
  <c r="AM1596" i="1" s="1"/>
  <c r="AM1597" i="1" s="1"/>
  <c r="AM1598" i="1" s="1"/>
  <c r="AM1599" i="1" s="1"/>
  <c r="AM1600" i="1" s="1"/>
  <c r="AM1601" i="1" s="1"/>
  <c r="AM1602" i="1" s="1"/>
  <c r="AM1603" i="1" s="1"/>
  <c r="AM1604" i="1" s="1"/>
  <c r="AM1605" i="1" s="1"/>
  <c r="AM1606" i="1" s="1"/>
  <c r="AM1607" i="1" s="1"/>
  <c r="AM1608" i="1" s="1"/>
  <c r="AM1609" i="1" s="1"/>
  <c r="AM1610" i="1" s="1"/>
  <c r="AM1611" i="1" s="1"/>
  <c r="AM1612" i="1" s="1"/>
  <c r="AM1613" i="1" s="1"/>
  <c r="AM1614" i="1" s="1"/>
  <c r="AM1615" i="1" s="1"/>
  <c r="AM1616" i="1" s="1"/>
  <c r="AM1617" i="1" s="1"/>
  <c r="AM1618" i="1" s="1"/>
  <c r="AM1619" i="1" s="1"/>
  <c r="AM1620" i="1" s="1"/>
  <c r="AM1621" i="1" s="1"/>
  <c r="AM1622" i="1" s="1"/>
  <c r="AM1623" i="1" s="1"/>
  <c r="AM1624" i="1" s="1"/>
  <c r="AM1625" i="1" s="1"/>
  <c r="AM1626" i="1" s="1"/>
  <c r="AM1627" i="1" s="1"/>
  <c r="AM1628" i="1" s="1"/>
  <c r="AM1629" i="1" s="1"/>
  <c r="AM1630" i="1" s="1"/>
  <c r="AM1631" i="1" s="1"/>
  <c r="AM1632" i="1" s="1"/>
  <c r="AM1633" i="1" s="1"/>
  <c r="AM1634" i="1" s="1"/>
  <c r="AM1635" i="1" s="1"/>
  <c r="AM1636" i="1" s="1"/>
  <c r="AM1637" i="1" s="1"/>
  <c r="AM1638" i="1" s="1"/>
  <c r="AM1639" i="1" s="1"/>
  <c r="AM1640" i="1" s="1"/>
  <c r="AM1641" i="1" s="1"/>
  <c r="AM1642" i="1" s="1"/>
  <c r="AM1643" i="1" s="1"/>
  <c r="AM1644" i="1" s="1"/>
  <c r="AM1645" i="1" s="1"/>
  <c r="AM1646" i="1" s="1"/>
  <c r="AM1647" i="1" s="1"/>
  <c r="AM1648" i="1" s="1"/>
  <c r="AM1649" i="1" s="1"/>
  <c r="AM1650" i="1" s="1"/>
  <c r="AM1651" i="1" s="1"/>
  <c r="AM1652" i="1" s="1"/>
  <c r="AM1653" i="1" s="1"/>
  <c r="AM1654" i="1" s="1"/>
  <c r="AM1655" i="1" s="1"/>
  <c r="AM1656" i="1" s="1"/>
  <c r="AM1657" i="1" s="1"/>
  <c r="AM1658" i="1" s="1"/>
  <c r="AM1659" i="1" s="1"/>
  <c r="AM1660" i="1" s="1"/>
  <c r="AM1661" i="1" s="1"/>
  <c r="AM1662" i="1" s="1"/>
  <c r="AM1663" i="1" s="1"/>
  <c r="AM1664" i="1" s="1"/>
  <c r="AM1665" i="1" s="1"/>
  <c r="AM1666" i="1" s="1"/>
  <c r="AM1667" i="1" s="1"/>
  <c r="AM1668" i="1" s="1"/>
  <c r="AM1669" i="1" s="1"/>
  <c r="AM1670" i="1" s="1"/>
  <c r="AM1671" i="1" s="1"/>
  <c r="AM1672" i="1" s="1"/>
  <c r="AM1673" i="1" s="1"/>
  <c r="AM1674" i="1" s="1"/>
  <c r="AM1675" i="1" s="1"/>
  <c r="AM1676" i="1" s="1"/>
  <c r="AM1677" i="1" s="1"/>
  <c r="AM1678" i="1" s="1"/>
  <c r="AM1679" i="1" s="1"/>
  <c r="AM1680" i="1" s="1"/>
  <c r="AM1681" i="1" s="1"/>
  <c r="AM1682" i="1" s="1"/>
  <c r="AM1683" i="1" s="1"/>
  <c r="AM1684" i="1" s="1"/>
  <c r="AM1685" i="1" s="1"/>
  <c r="AM1686" i="1" s="1"/>
  <c r="AM1687" i="1" s="1"/>
  <c r="AM1688" i="1" s="1"/>
  <c r="AM1689" i="1" s="1"/>
  <c r="AM1690" i="1" s="1"/>
  <c r="AM1691" i="1" s="1"/>
  <c r="AM1692" i="1" s="1"/>
  <c r="AM1693" i="1" s="1"/>
  <c r="AM1694" i="1" s="1"/>
  <c r="AM1695" i="1" s="1"/>
  <c r="AM1696" i="1" s="1"/>
  <c r="AM1697" i="1" s="1"/>
  <c r="AM1698" i="1" s="1"/>
  <c r="AM1699" i="1" s="1"/>
  <c r="AM1700" i="1" s="1"/>
  <c r="AM1701" i="1" s="1"/>
  <c r="AM1702" i="1" s="1"/>
  <c r="AM1703" i="1" s="1"/>
  <c r="AM1704" i="1" s="1"/>
  <c r="AM1705" i="1" s="1"/>
  <c r="AM1706" i="1" s="1"/>
  <c r="AM1707" i="1" s="1"/>
  <c r="AM1708" i="1" s="1"/>
  <c r="AM1709" i="1" s="1"/>
  <c r="AM1710" i="1" s="1"/>
  <c r="AM1711" i="1" s="1"/>
  <c r="AM1712" i="1" s="1"/>
  <c r="AM1713" i="1" s="1"/>
  <c r="AM1714" i="1" s="1"/>
  <c r="AM1715" i="1" s="1"/>
  <c r="AM1716" i="1" s="1"/>
  <c r="AM1717" i="1" s="1"/>
  <c r="AM1718" i="1" s="1"/>
  <c r="AM1719" i="1" s="1"/>
  <c r="AM1720" i="1" s="1"/>
  <c r="AM1721" i="1" s="1"/>
  <c r="AM1722" i="1" s="1"/>
  <c r="AM1723" i="1" s="1"/>
  <c r="AM1724" i="1" s="1"/>
  <c r="AM1725" i="1" s="1"/>
  <c r="AM1726" i="1" s="1"/>
  <c r="AM1727" i="1" s="1"/>
  <c r="AM1728" i="1" s="1"/>
  <c r="AM1729" i="1" s="1"/>
  <c r="AM1730" i="1" s="1"/>
  <c r="AM1731" i="1" s="1"/>
  <c r="AM1732" i="1" s="1"/>
  <c r="AM1733" i="1" s="1"/>
  <c r="AM1734" i="1" s="1"/>
  <c r="AM1735" i="1" s="1"/>
  <c r="AM1736" i="1" s="1"/>
  <c r="AM1737" i="1" s="1"/>
  <c r="AM1738" i="1" s="1"/>
  <c r="AM1739" i="1" s="1"/>
  <c r="AM1740" i="1" s="1"/>
  <c r="AM1741" i="1" s="1"/>
  <c r="AM1742" i="1" s="1"/>
  <c r="AM1743" i="1" s="1"/>
  <c r="AM1744" i="1" s="1"/>
  <c r="AM1745" i="1" s="1"/>
  <c r="AM1746" i="1" s="1"/>
  <c r="AM1747" i="1" s="1"/>
  <c r="AM1748" i="1" s="1"/>
  <c r="AM1749" i="1" s="1"/>
  <c r="AM1750" i="1" s="1"/>
  <c r="AM1751" i="1" s="1"/>
  <c r="AM1752" i="1" s="1"/>
  <c r="AM1753" i="1" s="1"/>
  <c r="AM1754" i="1" s="1"/>
  <c r="AM1755" i="1" s="1"/>
  <c r="AM1756" i="1" s="1"/>
  <c r="AM1757" i="1" s="1"/>
  <c r="AM1758" i="1" s="1"/>
  <c r="AM1759" i="1" s="1"/>
  <c r="AM1760" i="1" s="1"/>
  <c r="AM1761" i="1" s="1"/>
  <c r="AM1762" i="1" s="1"/>
  <c r="AM1763" i="1" s="1"/>
  <c r="AM1764" i="1" s="1"/>
  <c r="AM1765" i="1" s="1"/>
  <c r="AM1766" i="1" s="1"/>
  <c r="AM1767" i="1" s="1"/>
  <c r="AM1768" i="1" s="1"/>
  <c r="AM1769" i="1" s="1"/>
  <c r="AM1770" i="1" s="1"/>
  <c r="AM1771" i="1" s="1"/>
  <c r="AM1772" i="1" s="1"/>
  <c r="AM1773" i="1" s="1"/>
  <c r="AM1774" i="1" s="1"/>
  <c r="AM1775" i="1" s="1"/>
  <c r="AM1776" i="1" s="1"/>
  <c r="AM1777" i="1" s="1"/>
  <c r="AM1778" i="1" s="1"/>
  <c r="AM1779" i="1" s="1"/>
  <c r="AM1780" i="1" s="1"/>
  <c r="AM1781" i="1" s="1"/>
  <c r="AM1782" i="1" s="1"/>
  <c r="AM1783" i="1" s="1"/>
  <c r="AM1784" i="1" s="1"/>
  <c r="AM1785" i="1" s="1"/>
  <c r="AM1786" i="1" s="1"/>
  <c r="AM1787" i="1" s="1"/>
  <c r="AM1788" i="1" s="1"/>
  <c r="AM1789" i="1" s="1"/>
  <c r="AM1790" i="1" s="1"/>
  <c r="AM1791" i="1" s="1"/>
  <c r="AM1792" i="1" s="1"/>
  <c r="AM1793" i="1" s="1"/>
  <c r="AM1794" i="1" s="1"/>
  <c r="AM1795" i="1" s="1"/>
  <c r="AM1796" i="1" s="1"/>
  <c r="AM1797" i="1" s="1"/>
  <c r="AM1798" i="1" s="1"/>
  <c r="AM1799" i="1" s="1"/>
  <c r="AM1800" i="1" s="1"/>
  <c r="AM1801" i="1" s="1"/>
  <c r="AM1802" i="1" s="1"/>
  <c r="AM1803" i="1" s="1"/>
  <c r="AM1804" i="1" s="1"/>
  <c r="AM1805" i="1" s="1"/>
  <c r="AM1806" i="1" s="1"/>
  <c r="AM1807" i="1" s="1"/>
  <c r="AM1808" i="1" s="1"/>
  <c r="AM1809" i="1" s="1"/>
  <c r="AM1810" i="1" s="1"/>
  <c r="AM1811" i="1" s="1"/>
  <c r="AM1812" i="1" s="1"/>
  <c r="AM1813" i="1" s="1"/>
  <c r="AM1814" i="1" s="1"/>
  <c r="AM1815" i="1" s="1"/>
  <c r="AM1816" i="1" s="1"/>
  <c r="AM1817" i="1" s="1"/>
  <c r="AM1818" i="1" s="1"/>
  <c r="AM1819" i="1" s="1"/>
  <c r="AM1820" i="1" s="1"/>
  <c r="AM1821" i="1" s="1"/>
  <c r="AM1822" i="1" s="1"/>
  <c r="AM1823" i="1" s="1"/>
  <c r="AM1824" i="1" s="1"/>
  <c r="AM1825" i="1" s="1"/>
  <c r="AM1826" i="1" s="1"/>
  <c r="AM1827" i="1" s="1"/>
  <c r="AM1828" i="1" s="1"/>
  <c r="AM1829" i="1" s="1"/>
  <c r="AM1830" i="1" s="1"/>
  <c r="AM1831" i="1" s="1"/>
  <c r="AM1832" i="1" s="1"/>
  <c r="AM1833" i="1" s="1"/>
  <c r="AM1834" i="1" s="1"/>
  <c r="AM1835" i="1" s="1"/>
  <c r="AM1836" i="1" s="1"/>
  <c r="AM1837" i="1" s="1"/>
  <c r="AM1838" i="1" s="1"/>
  <c r="AM1839" i="1" s="1"/>
  <c r="AM1840" i="1" s="1"/>
  <c r="AM1841" i="1" s="1"/>
  <c r="AM1842" i="1" s="1"/>
  <c r="AM1843" i="1" s="1"/>
  <c r="AM1844" i="1" s="1"/>
  <c r="AM1845" i="1" s="1"/>
  <c r="AM1846" i="1" s="1"/>
  <c r="AM1847" i="1" s="1"/>
  <c r="AM1848" i="1" s="1"/>
  <c r="AM1849" i="1" s="1"/>
  <c r="AM1850" i="1" s="1"/>
  <c r="AM1851" i="1" s="1"/>
  <c r="AM1852" i="1" s="1"/>
  <c r="AM1853" i="1" s="1"/>
  <c r="AM1854" i="1" s="1"/>
  <c r="AM1855" i="1" s="1"/>
  <c r="AM1856" i="1" s="1"/>
  <c r="AM1857" i="1" s="1"/>
  <c r="AM1858" i="1" s="1"/>
  <c r="AM1859" i="1" s="1"/>
  <c r="AM1860" i="1" s="1"/>
  <c r="AM1861" i="1" s="1"/>
  <c r="AM1862" i="1" s="1"/>
  <c r="AM1863" i="1" s="1"/>
  <c r="AM1864" i="1" s="1"/>
  <c r="AM1865" i="1" s="1"/>
  <c r="AM1866" i="1" s="1"/>
  <c r="AM1867" i="1" s="1"/>
  <c r="AM1868" i="1" s="1"/>
  <c r="AM1869" i="1" s="1"/>
  <c r="AM1870" i="1" s="1"/>
  <c r="AM1871" i="1" s="1"/>
  <c r="AM1872" i="1" s="1"/>
  <c r="AM1873" i="1" s="1"/>
  <c r="AM1874" i="1" s="1"/>
  <c r="AM1875" i="1" s="1"/>
  <c r="AM1876" i="1" s="1"/>
  <c r="AM1877" i="1" s="1"/>
  <c r="AM1878" i="1" s="1"/>
  <c r="AM1879" i="1" s="1"/>
  <c r="AM1880" i="1" s="1"/>
  <c r="AM1881" i="1" s="1"/>
  <c r="AM1882" i="1" s="1"/>
  <c r="AM1883" i="1" s="1"/>
  <c r="AM1884" i="1" s="1"/>
  <c r="AM1885" i="1" s="1"/>
  <c r="AM1886" i="1" s="1"/>
  <c r="AM1887" i="1" s="1"/>
  <c r="AM1888" i="1" s="1"/>
  <c r="AM1889" i="1" s="1"/>
  <c r="AM1890" i="1" s="1"/>
  <c r="AM1891" i="1" s="1"/>
  <c r="AM1892" i="1" s="1"/>
  <c r="AM1893" i="1" s="1"/>
  <c r="AM1894" i="1" s="1"/>
  <c r="AM1895" i="1" s="1"/>
  <c r="AM1896" i="1" s="1"/>
  <c r="AM1897" i="1" s="1"/>
  <c r="AM1898" i="1" s="1"/>
  <c r="AM1899" i="1" s="1"/>
  <c r="AM1900" i="1" s="1"/>
  <c r="AM1901" i="1" s="1"/>
  <c r="AM1902" i="1" s="1"/>
  <c r="AM1903" i="1" s="1"/>
  <c r="AM1904" i="1" s="1"/>
  <c r="AM1905" i="1" s="1"/>
  <c r="AM1906" i="1" s="1"/>
  <c r="AM1907" i="1" s="1"/>
  <c r="AM1908" i="1" s="1"/>
  <c r="AM1909" i="1" s="1"/>
  <c r="AM1910" i="1" s="1"/>
  <c r="AM1911" i="1" s="1"/>
  <c r="AM1912" i="1" s="1"/>
  <c r="AM1913" i="1" s="1"/>
  <c r="AM1914" i="1" s="1"/>
  <c r="AM1915" i="1" s="1"/>
  <c r="AM1916" i="1" s="1"/>
  <c r="AM1917" i="1" s="1"/>
  <c r="AM1918" i="1" s="1"/>
  <c r="AM1919" i="1" s="1"/>
  <c r="AM1920" i="1" s="1"/>
  <c r="AM1921" i="1" s="1"/>
  <c r="AM1922" i="1" s="1"/>
  <c r="AM1923" i="1" s="1"/>
  <c r="AM1924" i="1" s="1"/>
  <c r="AM1925" i="1" s="1"/>
  <c r="AM1926" i="1" s="1"/>
  <c r="AM1927" i="1" s="1"/>
  <c r="AM1928" i="1" s="1"/>
  <c r="AM1929" i="1" s="1"/>
  <c r="AM1930" i="1" s="1"/>
  <c r="AM1931" i="1" s="1"/>
  <c r="AM1932" i="1" s="1"/>
  <c r="AM1933" i="1" s="1"/>
  <c r="AM1934" i="1" s="1"/>
  <c r="AM1935" i="1" s="1"/>
  <c r="AM1936" i="1" s="1"/>
  <c r="AM1937" i="1" s="1"/>
  <c r="AM1938" i="1" s="1"/>
  <c r="AM1939" i="1" s="1"/>
  <c r="AM1940" i="1" s="1"/>
  <c r="AM1941" i="1" s="1"/>
  <c r="AM1942" i="1" s="1"/>
  <c r="AM1943" i="1" s="1"/>
  <c r="AM1944" i="1" s="1"/>
  <c r="AM1945" i="1" s="1"/>
  <c r="AM1946" i="1" s="1"/>
  <c r="AM1947" i="1" s="1"/>
  <c r="AM1948" i="1" s="1"/>
  <c r="AM1949" i="1" s="1"/>
  <c r="AM1950" i="1" s="1"/>
  <c r="AM1951" i="1" s="1"/>
  <c r="AM1952" i="1" s="1"/>
  <c r="AM1953" i="1" s="1"/>
  <c r="AM1954" i="1" s="1"/>
  <c r="AM1955" i="1" s="1"/>
  <c r="AM1956" i="1" s="1"/>
  <c r="AM1957" i="1" s="1"/>
  <c r="AM1958" i="1" s="1"/>
  <c r="AM1959" i="1" s="1"/>
  <c r="AM1960" i="1" s="1"/>
  <c r="AM1961" i="1" s="1"/>
  <c r="AM1962" i="1" s="1"/>
  <c r="AM1963" i="1" s="1"/>
  <c r="AM1964" i="1" s="1"/>
  <c r="AM1965" i="1" s="1"/>
  <c r="AM1966" i="1" s="1"/>
  <c r="AM1967" i="1" s="1"/>
  <c r="AM1968" i="1" s="1"/>
  <c r="AM1969" i="1" s="1"/>
  <c r="AM1970" i="1" s="1"/>
  <c r="AM1971" i="1" s="1"/>
  <c r="AM1972" i="1" s="1"/>
  <c r="AM1973" i="1" s="1"/>
  <c r="AM1974" i="1" s="1"/>
  <c r="AM1975" i="1" s="1"/>
  <c r="AM1976" i="1" s="1"/>
  <c r="AM1977" i="1" s="1"/>
  <c r="AM1978" i="1" s="1"/>
  <c r="AM1979" i="1" s="1"/>
  <c r="AM1980" i="1" s="1"/>
  <c r="AM1981" i="1" s="1"/>
  <c r="AM1982" i="1" s="1"/>
  <c r="AM1983" i="1" s="1"/>
  <c r="AM1984" i="1" s="1"/>
  <c r="AM1985" i="1" s="1"/>
  <c r="AM1986" i="1" s="1"/>
  <c r="AM1987" i="1" s="1"/>
  <c r="AM1988" i="1" s="1"/>
  <c r="AM1989" i="1" s="1"/>
  <c r="AM1990" i="1" s="1"/>
  <c r="AM1991" i="1" s="1"/>
  <c r="AM1992" i="1" s="1"/>
  <c r="AM1993" i="1" s="1"/>
  <c r="AM1994" i="1" s="1"/>
  <c r="AM1995" i="1" s="1"/>
  <c r="AM1996" i="1" s="1"/>
  <c r="AM1997" i="1" s="1"/>
  <c r="AM1998" i="1" s="1"/>
  <c r="AM1999" i="1" s="1"/>
  <c r="AM2000" i="1" s="1"/>
  <c r="AM2001" i="1" s="1"/>
  <c r="AM2002" i="1" s="1"/>
  <c r="AM2003" i="1" s="1"/>
  <c r="AM2004" i="1" s="1"/>
  <c r="AM2005" i="1" s="1"/>
  <c r="AM2006" i="1" s="1"/>
  <c r="AM2007" i="1" s="1"/>
  <c r="AM2008" i="1" s="1"/>
  <c r="AM2009" i="1" s="1"/>
  <c r="AM2010" i="1" s="1"/>
  <c r="AM2011" i="1" s="1"/>
  <c r="AN784" i="1"/>
  <c r="AN785" i="1" s="1"/>
  <c r="AN786" i="1" s="1"/>
  <c r="AN787" i="1" s="1"/>
  <c r="AN788" i="1" s="1"/>
  <c r="AN789" i="1" s="1"/>
  <c r="AN790" i="1" s="1"/>
  <c r="AN791" i="1" s="1"/>
  <c r="AN792" i="1" s="1"/>
  <c r="AN793" i="1" s="1"/>
  <c r="AN794" i="1" s="1"/>
  <c r="AN795" i="1" s="1"/>
  <c r="AN796" i="1" s="1"/>
  <c r="AN797" i="1" s="1"/>
  <c r="AN798" i="1" s="1"/>
  <c r="AN799" i="1" s="1"/>
  <c r="AN800" i="1" s="1"/>
  <c r="AN801" i="1" s="1"/>
  <c r="AN802" i="1" s="1"/>
  <c r="AN803" i="1" s="1"/>
  <c r="AN804" i="1" s="1"/>
  <c r="AN805" i="1" s="1"/>
  <c r="AN806" i="1" s="1"/>
  <c r="AN807" i="1" s="1"/>
  <c r="AN808" i="1" s="1"/>
  <c r="AN809" i="1" s="1"/>
  <c r="AN810" i="1" s="1"/>
  <c r="AN811" i="1" s="1"/>
  <c r="AN812" i="1" s="1"/>
  <c r="AN813" i="1" s="1"/>
  <c r="AN814" i="1" s="1"/>
  <c r="AN815" i="1" s="1"/>
  <c r="AN816" i="1" s="1"/>
  <c r="AN817" i="1" s="1"/>
  <c r="AN818" i="1" s="1"/>
  <c r="AN819" i="1" s="1"/>
  <c r="AN820" i="1" s="1"/>
  <c r="AN821" i="1" s="1"/>
  <c r="AN822" i="1" s="1"/>
  <c r="AN823" i="1" s="1"/>
  <c r="AN824" i="1" s="1"/>
  <c r="AN825" i="1" s="1"/>
  <c r="AN826" i="1" s="1"/>
  <c r="AN827" i="1" s="1"/>
  <c r="AN828" i="1" s="1"/>
  <c r="AN829" i="1" s="1"/>
  <c r="AN830" i="1" s="1"/>
  <c r="AN831" i="1" s="1"/>
  <c r="AN832" i="1" s="1"/>
  <c r="AN833" i="1" s="1"/>
  <c r="AN834" i="1" s="1"/>
  <c r="AN835" i="1" s="1"/>
  <c r="AN836" i="1" s="1"/>
  <c r="AN837" i="1" s="1"/>
  <c r="AN838" i="1" s="1"/>
  <c r="AN839" i="1" s="1"/>
  <c r="AN840" i="1" s="1"/>
  <c r="AN841" i="1" s="1"/>
  <c r="AN842" i="1" s="1"/>
  <c r="AN843" i="1" s="1"/>
  <c r="AN844" i="1" s="1"/>
  <c r="AN845" i="1" s="1"/>
  <c r="AN846" i="1" s="1"/>
  <c r="AN847" i="1" s="1"/>
  <c r="AN848" i="1" s="1"/>
  <c r="AN849" i="1" s="1"/>
  <c r="AN850" i="1" s="1"/>
  <c r="AN851" i="1" s="1"/>
  <c r="AN852" i="1" s="1"/>
  <c r="AN853" i="1" s="1"/>
  <c r="AN854" i="1" s="1"/>
  <c r="AN855" i="1" s="1"/>
  <c r="AN856" i="1" s="1"/>
  <c r="AN857" i="1" s="1"/>
  <c r="AN858" i="1" s="1"/>
  <c r="AN859" i="1" s="1"/>
  <c r="AN860" i="1" s="1"/>
  <c r="AN861" i="1" s="1"/>
  <c r="AN862" i="1" s="1"/>
  <c r="AN863" i="1" s="1"/>
  <c r="AN864" i="1" s="1"/>
  <c r="AN865" i="1" s="1"/>
  <c r="AN866" i="1" s="1"/>
  <c r="AN867" i="1" s="1"/>
  <c r="AN868" i="1" s="1"/>
  <c r="AN869" i="1" s="1"/>
  <c r="AN870" i="1" s="1"/>
  <c r="AN871" i="1" s="1"/>
  <c r="AN872" i="1" s="1"/>
  <c r="AN873" i="1" s="1"/>
  <c r="AN874" i="1" s="1"/>
  <c r="AN875" i="1" s="1"/>
  <c r="AN876" i="1" s="1"/>
  <c r="AN877" i="1" s="1"/>
  <c r="AN878" i="1" s="1"/>
  <c r="AN879" i="1" s="1"/>
  <c r="AN880" i="1" s="1"/>
  <c r="AN881" i="1" s="1"/>
  <c r="AN882" i="1" s="1"/>
  <c r="AN883" i="1" s="1"/>
  <c r="AN884" i="1" s="1"/>
  <c r="AN885" i="1" s="1"/>
  <c r="AN886" i="1" s="1"/>
  <c r="AN887" i="1" s="1"/>
  <c r="AN888" i="1" s="1"/>
  <c r="AN889" i="1" s="1"/>
  <c r="AN890" i="1" s="1"/>
  <c r="AN891" i="1" s="1"/>
  <c r="AN892" i="1" s="1"/>
  <c r="AN893" i="1" s="1"/>
  <c r="AN894" i="1" s="1"/>
  <c r="AN895" i="1" s="1"/>
  <c r="AN896" i="1" s="1"/>
  <c r="AN897" i="1" s="1"/>
  <c r="AN898" i="1" s="1"/>
  <c r="AN899" i="1" s="1"/>
  <c r="AN900" i="1" s="1"/>
  <c r="AN901" i="1" s="1"/>
  <c r="AN902" i="1" s="1"/>
  <c r="AN903" i="1" s="1"/>
  <c r="AN904" i="1" s="1"/>
  <c r="AN905" i="1" s="1"/>
  <c r="AN906" i="1" s="1"/>
  <c r="AN907" i="1" s="1"/>
  <c r="AN908" i="1" s="1"/>
  <c r="AN909" i="1" s="1"/>
  <c r="AN910" i="1" s="1"/>
  <c r="AN911" i="1" s="1"/>
  <c r="AN912" i="1" s="1"/>
  <c r="AN913" i="1" s="1"/>
  <c r="AN914" i="1" s="1"/>
  <c r="AN915" i="1" s="1"/>
  <c r="AN916" i="1" s="1"/>
  <c r="AN917" i="1" s="1"/>
  <c r="AN918" i="1" s="1"/>
  <c r="AN919" i="1" s="1"/>
  <c r="AN920" i="1" s="1"/>
  <c r="AN921" i="1" s="1"/>
  <c r="AN922" i="1" s="1"/>
  <c r="AN923" i="1" s="1"/>
  <c r="AN924" i="1" s="1"/>
  <c r="AN925" i="1" s="1"/>
  <c r="AN926" i="1" s="1"/>
  <c r="AN927" i="1" s="1"/>
  <c r="AN928" i="1" s="1"/>
  <c r="AN929" i="1" s="1"/>
  <c r="AN930" i="1" s="1"/>
  <c r="AN931" i="1" s="1"/>
  <c r="AN932" i="1" s="1"/>
  <c r="AN933" i="1" s="1"/>
  <c r="AN934" i="1" s="1"/>
  <c r="AN935" i="1" s="1"/>
  <c r="AN936" i="1" s="1"/>
  <c r="AN937" i="1" s="1"/>
  <c r="AN938" i="1" s="1"/>
  <c r="AN939" i="1" s="1"/>
  <c r="AN940" i="1" s="1"/>
  <c r="AN941" i="1" s="1"/>
  <c r="AN942" i="1" s="1"/>
  <c r="AN943" i="1" s="1"/>
  <c r="AN944" i="1" s="1"/>
  <c r="AN945" i="1" s="1"/>
  <c r="AN946" i="1" s="1"/>
  <c r="AN947" i="1" s="1"/>
  <c r="AN948" i="1" s="1"/>
  <c r="AN949" i="1" s="1"/>
  <c r="AN950" i="1" s="1"/>
  <c r="AN951" i="1" s="1"/>
  <c r="AN952" i="1" s="1"/>
  <c r="AN953" i="1" s="1"/>
  <c r="AN954" i="1" s="1"/>
  <c r="AN955" i="1" s="1"/>
  <c r="AN956" i="1" s="1"/>
  <c r="AN957" i="1" s="1"/>
  <c r="AN958" i="1" s="1"/>
  <c r="AN959" i="1" s="1"/>
  <c r="AN960" i="1" s="1"/>
  <c r="AN961" i="1" s="1"/>
  <c r="AN962" i="1" s="1"/>
  <c r="AN963" i="1" s="1"/>
  <c r="AN964" i="1" s="1"/>
  <c r="AN965" i="1" s="1"/>
  <c r="AN966" i="1" s="1"/>
  <c r="AN967" i="1" s="1"/>
  <c r="AN968" i="1" s="1"/>
  <c r="AN969" i="1" s="1"/>
  <c r="AN970" i="1" s="1"/>
  <c r="AN971" i="1" s="1"/>
  <c r="AN972" i="1" s="1"/>
  <c r="AN973" i="1" s="1"/>
  <c r="AN974" i="1" s="1"/>
  <c r="AN975" i="1" s="1"/>
  <c r="AN976" i="1" s="1"/>
  <c r="AN977" i="1" s="1"/>
  <c r="AN978" i="1" s="1"/>
  <c r="AN979" i="1" s="1"/>
  <c r="AN980" i="1" s="1"/>
  <c r="AN981" i="1" s="1"/>
  <c r="AN982" i="1" s="1"/>
  <c r="AN983" i="1" s="1"/>
  <c r="AN984" i="1" s="1"/>
  <c r="AN985" i="1" s="1"/>
  <c r="AN986" i="1" s="1"/>
  <c r="AN987" i="1" s="1"/>
  <c r="AN988" i="1" s="1"/>
  <c r="AN989" i="1" s="1"/>
  <c r="AN990" i="1" s="1"/>
  <c r="AN991" i="1" s="1"/>
  <c r="AN992" i="1" s="1"/>
  <c r="AN993" i="1" s="1"/>
  <c r="AN994" i="1" s="1"/>
  <c r="AN995" i="1" s="1"/>
  <c r="AN996" i="1" s="1"/>
  <c r="AN997" i="1" s="1"/>
  <c r="AN998" i="1" s="1"/>
  <c r="AN999" i="1" s="1"/>
  <c r="AN1000" i="1" s="1"/>
  <c r="AN1001" i="1" s="1"/>
  <c r="AN1002" i="1" s="1"/>
  <c r="AN1003" i="1" s="1"/>
  <c r="AN1004" i="1" s="1"/>
  <c r="AN1005" i="1" s="1"/>
  <c r="AN1006" i="1" s="1"/>
  <c r="AN1007" i="1" s="1"/>
  <c r="AN1008" i="1" s="1"/>
  <c r="AN1009" i="1" s="1"/>
  <c r="AN1010" i="1" s="1"/>
  <c r="AN1011" i="1" s="1"/>
  <c r="AN1012" i="1" s="1"/>
  <c r="AN1013" i="1" s="1"/>
  <c r="AN1014" i="1" s="1"/>
  <c r="AN1015" i="1" s="1"/>
  <c r="AN1016" i="1" s="1"/>
  <c r="AN1017" i="1" s="1"/>
  <c r="AN1018" i="1" s="1"/>
  <c r="AN1019" i="1" s="1"/>
  <c r="AN1020" i="1" s="1"/>
  <c r="AN1021" i="1" s="1"/>
  <c r="AN1022" i="1" s="1"/>
  <c r="AN1023" i="1" s="1"/>
  <c r="AN1024" i="1" s="1"/>
  <c r="AN1025" i="1" s="1"/>
  <c r="AN1026" i="1" s="1"/>
  <c r="AN1027" i="1" s="1"/>
  <c r="AN1028" i="1" s="1"/>
  <c r="AN1029" i="1" s="1"/>
  <c r="AN1030" i="1" s="1"/>
  <c r="AN1031" i="1" s="1"/>
  <c r="AN1032" i="1" s="1"/>
  <c r="AN1033" i="1" s="1"/>
  <c r="AN1034" i="1" s="1"/>
  <c r="AN1035" i="1" s="1"/>
  <c r="AN1036" i="1" s="1"/>
  <c r="AN1037" i="1" s="1"/>
  <c r="AN1038" i="1" s="1"/>
  <c r="AN1039" i="1" s="1"/>
  <c r="AN1040" i="1" s="1"/>
  <c r="AN1041" i="1" s="1"/>
  <c r="AN1042" i="1" s="1"/>
  <c r="AN1043" i="1" s="1"/>
  <c r="AN1044" i="1" s="1"/>
  <c r="AN1045" i="1" s="1"/>
  <c r="AN1046" i="1" s="1"/>
  <c r="AN1047" i="1" s="1"/>
  <c r="AN1048" i="1" s="1"/>
  <c r="AN1049" i="1" s="1"/>
  <c r="AN1050" i="1" s="1"/>
  <c r="AN1051" i="1" s="1"/>
  <c r="AN1052" i="1" s="1"/>
  <c r="AN1053" i="1" s="1"/>
  <c r="AN1054" i="1" s="1"/>
  <c r="AN1055" i="1" s="1"/>
  <c r="AN1056" i="1" s="1"/>
  <c r="AN1057" i="1" s="1"/>
  <c r="AN1058" i="1" s="1"/>
  <c r="AN1059" i="1" s="1"/>
  <c r="AN1060" i="1" s="1"/>
  <c r="AN1061" i="1" s="1"/>
  <c r="AN1062" i="1" s="1"/>
  <c r="AN1063" i="1" s="1"/>
  <c r="AN1064" i="1" s="1"/>
  <c r="AN1065" i="1" s="1"/>
  <c r="AN1066" i="1" s="1"/>
  <c r="AN1067" i="1" s="1"/>
  <c r="AN1068" i="1" s="1"/>
  <c r="AN1069" i="1" s="1"/>
  <c r="AN1070" i="1" s="1"/>
  <c r="AN1071" i="1" s="1"/>
  <c r="AN1072" i="1" s="1"/>
  <c r="AN1073" i="1" s="1"/>
  <c r="AN1074" i="1" s="1"/>
  <c r="AN1075" i="1" s="1"/>
  <c r="AN1076" i="1" s="1"/>
  <c r="AN1077" i="1" s="1"/>
  <c r="AN1078" i="1" s="1"/>
  <c r="AN1079" i="1" s="1"/>
  <c r="AN1080" i="1" s="1"/>
  <c r="AN1081" i="1" s="1"/>
  <c r="AN1082" i="1" s="1"/>
  <c r="AN1083" i="1" s="1"/>
  <c r="AN1084" i="1" s="1"/>
  <c r="AN1085" i="1" s="1"/>
  <c r="AN1086" i="1" s="1"/>
  <c r="AN1087" i="1" s="1"/>
  <c r="AN1088" i="1" s="1"/>
  <c r="AN1089" i="1" s="1"/>
  <c r="AN1090" i="1" s="1"/>
  <c r="AN1091" i="1" s="1"/>
  <c r="AN1092" i="1" s="1"/>
  <c r="AN1093" i="1" s="1"/>
  <c r="AN1094" i="1" s="1"/>
  <c r="AN1095" i="1" s="1"/>
  <c r="AN1096" i="1" s="1"/>
  <c r="AN1097" i="1" s="1"/>
  <c r="AN1098" i="1" s="1"/>
  <c r="AN1099" i="1" s="1"/>
  <c r="AN1100" i="1" s="1"/>
  <c r="AN1101" i="1" s="1"/>
  <c r="AN1102" i="1" s="1"/>
  <c r="AN1103" i="1" s="1"/>
  <c r="AN1104" i="1" s="1"/>
  <c r="AN1105" i="1" s="1"/>
  <c r="AN1106" i="1" s="1"/>
  <c r="AN1107" i="1" s="1"/>
  <c r="AN1108" i="1" s="1"/>
  <c r="AN1109" i="1" s="1"/>
  <c r="AN1110" i="1" s="1"/>
  <c r="AN1111" i="1" s="1"/>
  <c r="AN1112" i="1" s="1"/>
  <c r="AN1113" i="1" s="1"/>
  <c r="AN1114" i="1" s="1"/>
  <c r="AN1115" i="1" s="1"/>
  <c r="AN1116" i="1" s="1"/>
  <c r="AN1117" i="1" s="1"/>
  <c r="AN1118" i="1" s="1"/>
  <c r="AN1119" i="1" s="1"/>
  <c r="AN1120" i="1" s="1"/>
  <c r="AN1121" i="1" s="1"/>
  <c r="AN1122" i="1" s="1"/>
  <c r="AN1123" i="1" s="1"/>
  <c r="AN1124" i="1" s="1"/>
  <c r="AN1125" i="1" s="1"/>
  <c r="AN1126" i="1" s="1"/>
  <c r="AN1127" i="1" s="1"/>
  <c r="AN1128" i="1" s="1"/>
  <c r="AN1129" i="1" s="1"/>
  <c r="AN1130" i="1" s="1"/>
  <c r="AN1131" i="1" s="1"/>
  <c r="AN1132" i="1" s="1"/>
  <c r="AN1133" i="1" s="1"/>
  <c r="AN1134" i="1" s="1"/>
  <c r="AN1135" i="1" s="1"/>
  <c r="AN1136" i="1" s="1"/>
  <c r="AN1137" i="1" s="1"/>
  <c r="AN1138" i="1" s="1"/>
  <c r="AN1139" i="1" s="1"/>
  <c r="AN1140" i="1" s="1"/>
  <c r="AN1141" i="1" s="1"/>
  <c r="AN1142" i="1" s="1"/>
  <c r="AN1143" i="1" s="1"/>
  <c r="AN1144" i="1" s="1"/>
  <c r="AN1145" i="1" s="1"/>
  <c r="AN1146" i="1" s="1"/>
  <c r="AN1147" i="1" s="1"/>
  <c r="AN1148" i="1" s="1"/>
  <c r="AN1149" i="1" s="1"/>
  <c r="AN1150" i="1" s="1"/>
  <c r="AN1151" i="1" s="1"/>
  <c r="AN1152" i="1" s="1"/>
  <c r="AN1153" i="1" s="1"/>
  <c r="AN1154" i="1" s="1"/>
  <c r="AN1155" i="1" s="1"/>
  <c r="AN1156" i="1" s="1"/>
  <c r="AN1157" i="1" s="1"/>
  <c r="AN1158" i="1" s="1"/>
  <c r="AN1159" i="1" s="1"/>
  <c r="AN1160" i="1" s="1"/>
  <c r="AN1161" i="1" s="1"/>
  <c r="AN1162" i="1" s="1"/>
  <c r="AN1163" i="1" s="1"/>
  <c r="AN1164" i="1" s="1"/>
  <c r="AN1165" i="1" s="1"/>
  <c r="AN1166" i="1" s="1"/>
  <c r="AN1167" i="1" s="1"/>
  <c r="AN1168" i="1" s="1"/>
  <c r="AN1169" i="1" s="1"/>
  <c r="AN1170" i="1" s="1"/>
  <c r="AN1171" i="1" s="1"/>
  <c r="AN1172" i="1" s="1"/>
  <c r="AN1173" i="1" s="1"/>
  <c r="AN1174" i="1" s="1"/>
  <c r="AN1175" i="1" s="1"/>
  <c r="AN1176" i="1" s="1"/>
  <c r="AN1177" i="1" s="1"/>
  <c r="AN1178" i="1" s="1"/>
  <c r="AN1179" i="1" s="1"/>
  <c r="AN1180" i="1" s="1"/>
  <c r="AN1181" i="1" s="1"/>
  <c r="AN1182" i="1" s="1"/>
  <c r="AN1183" i="1" s="1"/>
  <c r="AN1184" i="1" s="1"/>
  <c r="AN1185" i="1" s="1"/>
  <c r="AN1186" i="1" s="1"/>
  <c r="AN1187" i="1" s="1"/>
  <c r="AN1188" i="1" s="1"/>
  <c r="AN1189" i="1" s="1"/>
  <c r="AN1190" i="1" s="1"/>
  <c r="AN1191" i="1" s="1"/>
  <c r="AN1192" i="1" s="1"/>
  <c r="AN1193" i="1" s="1"/>
  <c r="AN1194" i="1" s="1"/>
  <c r="AN1195" i="1" s="1"/>
  <c r="AN1196" i="1" s="1"/>
  <c r="AN1197" i="1" s="1"/>
  <c r="AN1198" i="1" s="1"/>
  <c r="AN1199" i="1" s="1"/>
  <c r="AN1200" i="1" s="1"/>
  <c r="AN1201" i="1" s="1"/>
  <c r="AN1202" i="1" s="1"/>
  <c r="AN1203" i="1" s="1"/>
  <c r="AN1204" i="1" s="1"/>
  <c r="AN1205" i="1" s="1"/>
  <c r="AN1206" i="1" s="1"/>
  <c r="AN1207" i="1" s="1"/>
  <c r="AN1208" i="1" s="1"/>
  <c r="AN1209" i="1" s="1"/>
  <c r="AN1210" i="1" s="1"/>
  <c r="AN1211" i="1" s="1"/>
  <c r="AN1212" i="1" s="1"/>
  <c r="AN1213" i="1" s="1"/>
  <c r="AN1214" i="1" s="1"/>
  <c r="AN1215" i="1" s="1"/>
  <c r="AN1216" i="1" s="1"/>
  <c r="AN1217" i="1" s="1"/>
  <c r="AN1218" i="1" s="1"/>
  <c r="AN1219" i="1" s="1"/>
  <c r="AN1220" i="1" s="1"/>
  <c r="AN1221" i="1" s="1"/>
  <c r="AN1222" i="1" s="1"/>
  <c r="AN1223" i="1" s="1"/>
  <c r="AN1224" i="1" s="1"/>
  <c r="AN1225" i="1" s="1"/>
  <c r="AN1226" i="1" s="1"/>
  <c r="AN1227" i="1" s="1"/>
  <c r="AN1228" i="1" s="1"/>
  <c r="AN1229" i="1" s="1"/>
  <c r="AN1230" i="1" s="1"/>
  <c r="AN1231" i="1" s="1"/>
  <c r="AN1232" i="1" s="1"/>
  <c r="AN1233" i="1" s="1"/>
  <c r="AN1234" i="1" s="1"/>
  <c r="AN1235" i="1" s="1"/>
  <c r="AN1236" i="1" s="1"/>
  <c r="AN1237" i="1" s="1"/>
  <c r="AN1238" i="1" s="1"/>
  <c r="AN1239" i="1" s="1"/>
  <c r="AN1240" i="1" s="1"/>
  <c r="AN1241" i="1" s="1"/>
  <c r="AN1242" i="1" s="1"/>
  <c r="AN1243" i="1" s="1"/>
  <c r="AN1244" i="1" s="1"/>
  <c r="AN1245" i="1" s="1"/>
  <c r="AN1246" i="1" s="1"/>
  <c r="AN1247" i="1" s="1"/>
  <c r="AN1248" i="1" s="1"/>
  <c r="AN1249" i="1" s="1"/>
  <c r="AN1250" i="1" s="1"/>
  <c r="AN1251" i="1" s="1"/>
  <c r="AN1252" i="1" s="1"/>
  <c r="AN1253" i="1" s="1"/>
  <c r="AN1254" i="1" s="1"/>
  <c r="AN1255" i="1" s="1"/>
  <c r="AN1256" i="1" s="1"/>
  <c r="AN1257" i="1" s="1"/>
  <c r="AN1258" i="1" s="1"/>
  <c r="AN1259" i="1" s="1"/>
  <c r="AN1260" i="1" s="1"/>
  <c r="AN1261" i="1" s="1"/>
  <c r="AN1262" i="1" s="1"/>
  <c r="AN1263" i="1" s="1"/>
  <c r="AN1264" i="1" s="1"/>
  <c r="AN1265" i="1" s="1"/>
  <c r="AN1266" i="1" s="1"/>
  <c r="AN1267" i="1" s="1"/>
  <c r="AN1268" i="1" s="1"/>
  <c r="AN1269" i="1" s="1"/>
  <c r="AN1270" i="1" s="1"/>
  <c r="AN1271" i="1" s="1"/>
  <c r="AN1272" i="1" s="1"/>
  <c r="AN1273" i="1" s="1"/>
  <c r="AN1274" i="1" s="1"/>
  <c r="AN1275" i="1" s="1"/>
  <c r="AN1276" i="1" s="1"/>
  <c r="AN1277" i="1" s="1"/>
  <c r="AN1278" i="1" s="1"/>
  <c r="AN1279" i="1" s="1"/>
  <c r="AN1280" i="1" s="1"/>
  <c r="AN1281" i="1" s="1"/>
  <c r="AN1282" i="1" s="1"/>
  <c r="AN1283" i="1" s="1"/>
  <c r="AN1284" i="1" s="1"/>
  <c r="AN1285" i="1" s="1"/>
  <c r="AN1286" i="1" s="1"/>
  <c r="AN1287" i="1" s="1"/>
  <c r="AN1288" i="1" s="1"/>
  <c r="AN1289" i="1" s="1"/>
  <c r="AN1290" i="1" s="1"/>
  <c r="AN1291" i="1" s="1"/>
  <c r="AN1292" i="1" s="1"/>
  <c r="AN1293" i="1" s="1"/>
  <c r="AN1294" i="1" s="1"/>
  <c r="AN1295" i="1" s="1"/>
  <c r="AN1296" i="1" s="1"/>
  <c r="AN1297" i="1" s="1"/>
  <c r="AN1298" i="1" s="1"/>
  <c r="AN1299" i="1" s="1"/>
  <c r="AN1300" i="1" s="1"/>
  <c r="AN1301" i="1" s="1"/>
  <c r="AN1302" i="1" s="1"/>
  <c r="AN1303" i="1" s="1"/>
  <c r="AN1304" i="1" s="1"/>
  <c r="AN1305" i="1" s="1"/>
  <c r="AN1306" i="1" s="1"/>
  <c r="AN1307" i="1" s="1"/>
  <c r="AN1308" i="1" s="1"/>
  <c r="AN1309" i="1" s="1"/>
  <c r="AN1310" i="1" s="1"/>
  <c r="AN1311" i="1" s="1"/>
  <c r="AN1312" i="1" s="1"/>
  <c r="AN1313" i="1" s="1"/>
  <c r="AN1314" i="1" s="1"/>
  <c r="AN1315" i="1" s="1"/>
  <c r="AN1316" i="1" s="1"/>
  <c r="AN1317" i="1" s="1"/>
  <c r="AN1318" i="1" s="1"/>
  <c r="AN1319" i="1" s="1"/>
  <c r="AN1320" i="1" s="1"/>
  <c r="AN1321" i="1" s="1"/>
  <c r="AN1322" i="1" s="1"/>
  <c r="AN1323" i="1" s="1"/>
  <c r="AN1324" i="1" s="1"/>
  <c r="AN1325" i="1" s="1"/>
  <c r="AN1326" i="1" s="1"/>
  <c r="AN1327" i="1" s="1"/>
  <c r="AN1328" i="1" s="1"/>
  <c r="AN1329" i="1" s="1"/>
  <c r="AN1330" i="1" s="1"/>
  <c r="AN1331" i="1" s="1"/>
  <c r="AN1332" i="1" s="1"/>
  <c r="AN1333" i="1" s="1"/>
  <c r="AN1334" i="1" s="1"/>
  <c r="AN1335" i="1" s="1"/>
  <c r="AN1336" i="1" s="1"/>
  <c r="AN1337" i="1" s="1"/>
  <c r="AN1338" i="1" s="1"/>
  <c r="AN1339" i="1" s="1"/>
  <c r="AN1340" i="1" s="1"/>
  <c r="AN1341" i="1" s="1"/>
  <c r="AN1342" i="1" s="1"/>
  <c r="AN1343" i="1" s="1"/>
  <c r="AN1344" i="1" s="1"/>
  <c r="AN1345" i="1" s="1"/>
  <c r="AN1346" i="1" s="1"/>
  <c r="AN1347" i="1" s="1"/>
  <c r="AN1348" i="1" s="1"/>
  <c r="AN1349" i="1" s="1"/>
  <c r="AN1350" i="1" s="1"/>
  <c r="AN1351" i="1" s="1"/>
  <c r="AN1352" i="1" s="1"/>
  <c r="AN1353" i="1" s="1"/>
  <c r="AN1354" i="1" s="1"/>
  <c r="AN1355" i="1" s="1"/>
  <c r="AN1356" i="1" s="1"/>
  <c r="AN1357" i="1" s="1"/>
  <c r="AN1358" i="1" s="1"/>
  <c r="AN1359" i="1" s="1"/>
  <c r="AN1360" i="1" s="1"/>
  <c r="AN1361" i="1" s="1"/>
  <c r="AN1362" i="1" s="1"/>
  <c r="AN1363" i="1" s="1"/>
  <c r="AN1364" i="1" s="1"/>
  <c r="AN1365" i="1" s="1"/>
  <c r="AN1366" i="1" s="1"/>
  <c r="AN1367" i="1" s="1"/>
  <c r="AN1368" i="1" s="1"/>
  <c r="AN1369" i="1" s="1"/>
  <c r="AN1370" i="1" s="1"/>
  <c r="AN1371" i="1" s="1"/>
  <c r="AN1372" i="1" s="1"/>
  <c r="AN1373" i="1" s="1"/>
  <c r="AN1374" i="1" s="1"/>
  <c r="AN1375" i="1" s="1"/>
  <c r="AN1376" i="1" s="1"/>
  <c r="AN1377" i="1" s="1"/>
  <c r="AN1378" i="1" s="1"/>
  <c r="AN1379" i="1" s="1"/>
  <c r="AN1380" i="1" s="1"/>
  <c r="AN1381" i="1" s="1"/>
  <c r="AN1382" i="1" s="1"/>
  <c r="AN1383" i="1" s="1"/>
  <c r="AN1384" i="1" s="1"/>
  <c r="AN1385" i="1" s="1"/>
  <c r="AN1386" i="1" s="1"/>
  <c r="AN1387" i="1" s="1"/>
  <c r="AN1388" i="1" s="1"/>
  <c r="AN1389" i="1" s="1"/>
  <c r="AN1390" i="1" s="1"/>
  <c r="AN1391" i="1" s="1"/>
  <c r="AN1392" i="1" s="1"/>
  <c r="AN1393" i="1" s="1"/>
  <c r="AN1394" i="1" s="1"/>
  <c r="AN1395" i="1" s="1"/>
  <c r="AN1396" i="1" s="1"/>
  <c r="AN1397" i="1" s="1"/>
  <c r="AN1398" i="1" s="1"/>
  <c r="AN1399" i="1" s="1"/>
  <c r="AN1400" i="1" s="1"/>
  <c r="AN1401" i="1" s="1"/>
  <c r="AN1402" i="1" s="1"/>
  <c r="AN1403" i="1" s="1"/>
  <c r="AN1404" i="1" s="1"/>
  <c r="AN1405" i="1" s="1"/>
  <c r="AN1406" i="1" s="1"/>
  <c r="AN1407" i="1" s="1"/>
  <c r="AN1408" i="1" s="1"/>
  <c r="AN1409" i="1" s="1"/>
  <c r="AN1410" i="1" s="1"/>
  <c r="AN1411" i="1" s="1"/>
  <c r="AN1412" i="1" s="1"/>
  <c r="AN1413" i="1" s="1"/>
  <c r="AN1414" i="1" s="1"/>
  <c r="AN1415" i="1" s="1"/>
  <c r="AN1416" i="1" s="1"/>
  <c r="AN1417" i="1" s="1"/>
  <c r="AN1418" i="1" s="1"/>
  <c r="AN1419" i="1" s="1"/>
  <c r="AN1420" i="1" s="1"/>
  <c r="AN1421" i="1" s="1"/>
  <c r="AN1422" i="1" s="1"/>
  <c r="AN1423" i="1" s="1"/>
  <c r="AN1424" i="1" s="1"/>
  <c r="AN1425" i="1" s="1"/>
  <c r="AN1426" i="1" s="1"/>
  <c r="AN1427" i="1" s="1"/>
  <c r="AN1428" i="1" s="1"/>
  <c r="AN1429" i="1" s="1"/>
  <c r="AN1430" i="1" s="1"/>
  <c r="AN1431" i="1" s="1"/>
  <c r="AN1432" i="1" s="1"/>
  <c r="AN1433" i="1" s="1"/>
  <c r="AN1434" i="1" s="1"/>
  <c r="AN1435" i="1" s="1"/>
  <c r="AN1436" i="1" s="1"/>
  <c r="AN1437" i="1" s="1"/>
  <c r="AN1438" i="1" s="1"/>
  <c r="AN1439" i="1" s="1"/>
  <c r="AN1440" i="1" s="1"/>
  <c r="AN1441" i="1" s="1"/>
  <c r="AN1442" i="1" s="1"/>
  <c r="AN1443" i="1" s="1"/>
  <c r="AN1444" i="1" s="1"/>
  <c r="AN1445" i="1" s="1"/>
  <c r="AN1446" i="1" s="1"/>
  <c r="AN1447" i="1" s="1"/>
  <c r="AN1448" i="1" s="1"/>
  <c r="AN1449" i="1" s="1"/>
  <c r="AN1450" i="1" s="1"/>
  <c r="AN1451" i="1" s="1"/>
  <c r="AN1452" i="1" s="1"/>
  <c r="AN1453" i="1" s="1"/>
  <c r="AN1454" i="1" s="1"/>
  <c r="AN1455" i="1" s="1"/>
  <c r="AN1456" i="1" s="1"/>
  <c r="AN1457" i="1" s="1"/>
  <c r="AN1458" i="1" s="1"/>
  <c r="AN1459" i="1" s="1"/>
  <c r="AN1460" i="1" s="1"/>
  <c r="AN1461" i="1" s="1"/>
  <c r="AN1462" i="1" s="1"/>
  <c r="AN1463" i="1" s="1"/>
  <c r="AN1464" i="1" s="1"/>
  <c r="AN1465" i="1" s="1"/>
  <c r="AN1466" i="1" s="1"/>
  <c r="AN1467" i="1" s="1"/>
  <c r="AN1468" i="1" s="1"/>
  <c r="AN1469" i="1" s="1"/>
  <c r="AN1470" i="1" s="1"/>
  <c r="AN1471" i="1" s="1"/>
  <c r="AN1472" i="1" s="1"/>
  <c r="AN1473" i="1" s="1"/>
  <c r="AN1474" i="1" s="1"/>
  <c r="AN1475" i="1" s="1"/>
  <c r="AN1476" i="1" s="1"/>
  <c r="AN1477" i="1" s="1"/>
  <c r="AN1478" i="1" s="1"/>
  <c r="AN1479" i="1" s="1"/>
  <c r="AN1480" i="1" s="1"/>
  <c r="AN1481" i="1" s="1"/>
  <c r="AN1482" i="1" s="1"/>
  <c r="AN1483" i="1" s="1"/>
  <c r="AN1484" i="1" s="1"/>
  <c r="AN1485" i="1" s="1"/>
  <c r="AN1486" i="1" s="1"/>
  <c r="AN1487" i="1" s="1"/>
  <c r="AN1488" i="1" s="1"/>
  <c r="AN1489" i="1" s="1"/>
  <c r="AN1490" i="1" s="1"/>
  <c r="AN1491" i="1" s="1"/>
  <c r="AN1492" i="1" s="1"/>
  <c r="AN1493" i="1" s="1"/>
  <c r="AN1494" i="1" s="1"/>
  <c r="AN1495" i="1" s="1"/>
  <c r="AN1496" i="1" s="1"/>
  <c r="AN1497" i="1" s="1"/>
  <c r="AN1498" i="1" s="1"/>
  <c r="AN1499" i="1" s="1"/>
  <c r="AN1500" i="1" s="1"/>
  <c r="AN1501" i="1" s="1"/>
  <c r="AN1502" i="1" s="1"/>
  <c r="AN1503" i="1" s="1"/>
  <c r="AN1504" i="1" s="1"/>
  <c r="AN1505" i="1" s="1"/>
  <c r="AN1506" i="1" s="1"/>
  <c r="AN1507" i="1" s="1"/>
  <c r="AN1508" i="1" s="1"/>
  <c r="AN1509" i="1" s="1"/>
  <c r="AN1510" i="1" s="1"/>
  <c r="AN1511" i="1" s="1"/>
  <c r="AN1512" i="1" s="1"/>
  <c r="AN1513" i="1" s="1"/>
  <c r="AN1514" i="1" s="1"/>
  <c r="AN1515" i="1" s="1"/>
  <c r="AN1516" i="1" s="1"/>
  <c r="AN1517" i="1" s="1"/>
  <c r="AN1518" i="1" s="1"/>
  <c r="AN1519" i="1" s="1"/>
  <c r="AN1520" i="1" s="1"/>
  <c r="AN1521" i="1" s="1"/>
  <c r="AN1522" i="1" s="1"/>
  <c r="AN1523" i="1" s="1"/>
  <c r="AN1524" i="1" s="1"/>
  <c r="AN1525" i="1" s="1"/>
  <c r="AN1526" i="1" s="1"/>
  <c r="AN1527" i="1" s="1"/>
  <c r="AN1528" i="1" s="1"/>
  <c r="AN1529" i="1" s="1"/>
  <c r="AN1530" i="1" s="1"/>
  <c r="AN1531" i="1" s="1"/>
  <c r="AN1532" i="1" s="1"/>
  <c r="AN1533" i="1" s="1"/>
  <c r="AN1534" i="1" s="1"/>
  <c r="AN1535" i="1" s="1"/>
  <c r="AN1536" i="1" s="1"/>
  <c r="AN1537" i="1" s="1"/>
  <c r="AN1538" i="1" s="1"/>
  <c r="AN1539" i="1" s="1"/>
  <c r="AN1540" i="1" s="1"/>
  <c r="AN1541" i="1" s="1"/>
  <c r="AN1542" i="1" s="1"/>
  <c r="AN1543" i="1" s="1"/>
  <c r="AN1544" i="1" s="1"/>
  <c r="AN1545" i="1" s="1"/>
  <c r="AN1546" i="1" s="1"/>
  <c r="AN1547" i="1" s="1"/>
  <c r="AN1548" i="1" s="1"/>
  <c r="AN1549" i="1" s="1"/>
  <c r="AN1550" i="1" s="1"/>
  <c r="AN1551" i="1" s="1"/>
  <c r="AN1552" i="1" s="1"/>
  <c r="AN1553" i="1" s="1"/>
  <c r="AN1554" i="1" s="1"/>
  <c r="AN1555" i="1" s="1"/>
  <c r="AN1556" i="1" s="1"/>
  <c r="AN1557" i="1" s="1"/>
  <c r="AN1558" i="1" s="1"/>
  <c r="AN1559" i="1" s="1"/>
  <c r="AN1560" i="1" s="1"/>
  <c r="AN1561" i="1" s="1"/>
  <c r="AN1562" i="1" s="1"/>
  <c r="AN1563" i="1" s="1"/>
  <c r="AN1564" i="1" s="1"/>
  <c r="AN1565" i="1" s="1"/>
  <c r="AN1566" i="1" s="1"/>
  <c r="AN1567" i="1" s="1"/>
  <c r="AN1568" i="1" s="1"/>
  <c r="AN1569" i="1" s="1"/>
  <c r="AN1570" i="1" s="1"/>
  <c r="AN1571" i="1" s="1"/>
  <c r="AN1572" i="1" s="1"/>
  <c r="AN1573" i="1" s="1"/>
  <c r="AN1574" i="1" s="1"/>
  <c r="AN1575" i="1" s="1"/>
  <c r="AN1576" i="1" s="1"/>
  <c r="AN1577" i="1" s="1"/>
  <c r="AN1578" i="1" s="1"/>
  <c r="AN1579" i="1" s="1"/>
  <c r="AN1580" i="1" s="1"/>
  <c r="AN1581" i="1" s="1"/>
  <c r="AN1582" i="1" s="1"/>
  <c r="AN1583" i="1" s="1"/>
  <c r="AN1584" i="1" s="1"/>
  <c r="AN1585" i="1" s="1"/>
  <c r="AN1586" i="1" s="1"/>
  <c r="AN1587" i="1" s="1"/>
  <c r="AN1588" i="1" s="1"/>
  <c r="AN1589" i="1" s="1"/>
  <c r="AN1590" i="1" s="1"/>
  <c r="AN1591" i="1" s="1"/>
  <c r="AN1592" i="1" s="1"/>
  <c r="AN1593" i="1" s="1"/>
  <c r="AN1594" i="1" s="1"/>
  <c r="AN1595" i="1" s="1"/>
  <c r="AN1596" i="1" s="1"/>
  <c r="AN1597" i="1" s="1"/>
  <c r="AN1598" i="1" s="1"/>
  <c r="AN1599" i="1" s="1"/>
  <c r="AN1600" i="1" s="1"/>
  <c r="AN1601" i="1" s="1"/>
  <c r="AN1602" i="1" s="1"/>
  <c r="AN1603" i="1" s="1"/>
  <c r="AN1604" i="1" s="1"/>
  <c r="AN1605" i="1" s="1"/>
  <c r="AN1606" i="1" s="1"/>
  <c r="AN1607" i="1" s="1"/>
  <c r="AN1608" i="1" s="1"/>
  <c r="AN1609" i="1" s="1"/>
  <c r="AN1610" i="1" s="1"/>
  <c r="AN1611" i="1" s="1"/>
  <c r="AN1612" i="1" s="1"/>
  <c r="AN1613" i="1" s="1"/>
  <c r="AN1614" i="1" s="1"/>
  <c r="AN1615" i="1" s="1"/>
  <c r="AN1616" i="1" s="1"/>
  <c r="AN1617" i="1" s="1"/>
  <c r="AN1618" i="1" s="1"/>
  <c r="AN1619" i="1" s="1"/>
  <c r="AN1620" i="1" s="1"/>
  <c r="AN1621" i="1" s="1"/>
  <c r="AN1622" i="1" s="1"/>
  <c r="AN1623" i="1" s="1"/>
  <c r="AN1624" i="1" s="1"/>
  <c r="AN1625" i="1" s="1"/>
  <c r="AN1626" i="1" s="1"/>
  <c r="AN1627" i="1" s="1"/>
  <c r="AN1628" i="1" s="1"/>
  <c r="AN1629" i="1" s="1"/>
  <c r="AN1630" i="1" s="1"/>
  <c r="AN1631" i="1" s="1"/>
  <c r="AN1632" i="1" s="1"/>
  <c r="AN1633" i="1" s="1"/>
  <c r="AN1634" i="1" s="1"/>
  <c r="AN1635" i="1" s="1"/>
  <c r="AN1636" i="1" s="1"/>
  <c r="AN1637" i="1" s="1"/>
  <c r="AN1638" i="1" s="1"/>
  <c r="AN1639" i="1" s="1"/>
  <c r="AN1640" i="1" s="1"/>
  <c r="AN1641" i="1" s="1"/>
  <c r="AN1642" i="1" s="1"/>
  <c r="AN1643" i="1" s="1"/>
  <c r="AN1644" i="1" s="1"/>
  <c r="AN1645" i="1" s="1"/>
  <c r="AN1646" i="1" s="1"/>
  <c r="AN1647" i="1" s="1"/>
  <c r="AN1648" i="1" s="1"/>
  <c r="AN1649" i="1" s="1"/>
  <c r="AN1650" i="1" s="1"/>
  <c r="AN1651" i="1" s="1"/>
  <c r="AN1652" i="1" s="1"/>
  <c r="AN1653" i="1" s="1"/>
  <c r="AN1654" i="1" s="1"/>
  <c r="AN1655" i="1" s="1"/>
  <c r="AN1656" i="1" s="1"/>
  <c r="AN1657" i="1" s="1"/>
  <c r="AN1658" i="1" s="1"/>
  <c r="AN1659" i="1" s="1"/>
  <c r="AN1660" i="1" s="1"/>
  <c r="AN1661" i="1" s="1"/>
  <c r="AN1662" i="1" s="1"/>
  <c r="AN1663" i="1" s="1"/>
  <c r="AN1664" i="1" s="1"/>
  <c r="AN1665" i="1" s="1"/>
  <c r="AN1666" i="1" s="1"/>
  <c r="AN1667" i="1" s="1"/>
  <c r="AN1668" i="1" s="1"/>
  <c r="AN1669" i="1" s="1"/>
  <c r="AN1670" i="1" s="1"/>
  <c r="AN1671" i="1" s="1"/>
  <c r="AN1672" i="1" s="1"/>
  <c r="AN1673" i="1" s="1"/>
  <c r="AN1674" i="1" s="1"/>
  <c r="AN1675" i="1" s="1"/>
  <c r="AN1676" i="1" s="1"/>
  <c r="AN1677" i="1" s="1"/>
  <c r="AN1678" i="1" s="1"/>
  <c r="AN1679" i="1" s="1"/>
  <c r="AN1680" i="1" s="1"/>
  <c r="AN1681" i="1" s="1"/>
  <c r="AN1682" i="1" s="1"/>
  <c r="AN1683" i="1" s="1"/>
  <c r="AN1684" i="1" s="1"/>
  <c r="AN1685" i="1" s="1"/>
  <c r="AN1686" i="1" s="1"/>
  <c r="AN1687" i="1" s="1"/>
  <c r="AN1688" i="1" s="1"/>
  <c r="AN1689" i="1" s="1"/>
  <c r="AN1690" i="1" s="1"/>
  <c r="AN1691" i="1" s="1"/>
  <c r="AN1692" i="1" s="1"/>
  <c r="AN1693" i="1" s="1"/>
  <c r="AN1694" i="1" s="1"/>
  <c r="AN1695" i="1" s="1"/>
  <c r="AN1696" i="1" s="1"/>
  <c r="AN1697" i="1" s="1"/>
  <c r="AN1698" i="1" s="1"/>
  <c r="AN1699" i="1" s="1"/>
  <c r="AN1700" i="1" s="1"/>
  <c r="AN1701" i="1" s="1"/>
  <c r="AN1702" i="1" s="1"/>
  <c r="AN1703" i="1" s="1"/>
  <c r="AN1704" i="1" s="1"/>
  <c r="AN1705" i="1" s="1"/>
  <c r="AN1706" i="1" s="1"/>
  <c r="AN1707" i="1" s="1"/>
  <c r="AN1708" i="1" s="1"/>
  <c r="AN1709" i="1" s="1"/>
  <c r="AN1710" i="1" s="1"/>
  <c r="AN1711" i="1" s="1"/>
  <c r="AN1712" i="1" s="1"/>
  <c r="AN1713" i="1" s="1"/>
  <c r="AN1714" i="1" s="1"/>
  <c r="AN1715" i="1" s="1"/>
  <c r="AN1716" i="1" s="1"/>
  <c r="AN1717" i="1" s="1"/>
  <c r="AN1718" i="1" s="1"/>
  <c r="AN1719" i="1" s="1"/>
  <c r="AN1720" i="1" s="1"/>
  <c r="AN1721" i="1" s="1"/>
  <c r="AN1722" i="1" s="1"/>
  <c r="AN1723" i="1" s="1"/>
  <c r="AN1724" i="1" s="1"/>
  <c r="AN1725" i="1" s="1"/>
  <c r="AN1726" i="1" s="1"/>
  <c r="AN1727" i="1" s="1"/>
  <c r="AN1728" i="1" s="1"/>
  <c r="AN1729" i="1" s="1"/>
  <c r="AN1730" i="1" s="1"/>
  <c r="AN1731" i="1" s="1"/>
  <c r="AN1732" i="1" s="1"/>
  <c r="AN1733" i="1" s="1"/>
  <c r="AN1734" i="1" s="1"/>
  <c r="AN1735" i="1" s="1"/>
  <c r="AN1736" i="1" s="1"/>
  <c r="AN1737" i="1" s="1"/>
  <c r="AN1738" i="1" s="1"/>
  <c r="AN1739" i="1" s="1"/>
  <c r="AN1740" i="1" s="1"/>
  <c r="AN1741" i="1" s="1"/>
  <c r="AN1742" i="1" s="1"/>
  <c r="AN1743" i="1" s="1"/>
  <c r="AN1744" i="1" s="1"/>
  <c r="AN1745" i="1" s="1"/>
  <c r="AN1746" i="1" s="1"/>
  <c r="AN1747" i="1" s="1"/>
  <c r="AN1748" i="1" s="1"/>
  <c r="AN1749" i="1" s="1"/>
  <c r="AN1750" i="1" s="1"/>
  <c r="AN1751" i="1" s="1"/>
  <c r="AN1752" i="1" s="1"/>
  <c r="AN1753" i="1" s="1"/>
  <c r="AN1754" i="1" s="1"/>
  <c r="AN1755" i="1" s="1"/>
  <c r="AN1756" i="1" s="1"/>
  <c r="AN1757" i="1" s="1"/>
  <c r="AN1758" i="1" s="1"/>
  <c r="AN1759" i="1" s="1"/>
  <c r="AN1760" i="1" s="1"/>
  <c r="AN1761" i="1" s="1"/>
  <c r="AN1762" i="1" s="1"/>
  <c r="AN1763" i="1" s="1"/>
  <c r="AN1764" i="1" s="1"/>
  <c r="AN1765" i="1" s="1"/>
  <c r="AN1766" i="1" s="1"/>
  <c r="AN1767" i="1" s="1"/>
  <c r="AN1768" i="1" s="1"/>
  <c r="AN1769" i="1" s="1"/>
  <c r="AN1770" i="1" s="1"/>
  <c r="AN1771" i="1" s="1"/>
  <c r="AN1772" i="1" s="1"/>
  <c r="AN1773" i="1" s="1"/>
  <c r="AN1774" i="1" s="1"/>
  <c r="AN1775" i="1" s="1"/>
  <c r="AN1776" i="1" s="1"/>
  <c r="AN1777" i="1" s="1"/>
  <c r="AN1778" i="1" s="1"/>
  <c r="AN1779" i="1" s="1"/>
  <c r="AN1780" i="1" s="1"/>
  <c r="AN1781" i="1" s="1"/>
  <c r="AN1782" i="1" s="1"/>
  <c r="AN1783" i="1" s="1"/>
  <c r="AN1784" i="1" s="1"/>
  <c r="AN1785" i="1" s="1"/>
  <c r="AN1786" i="1" s="1"/>
  <c r="AN1787" i="1" s="1"/>
  <c r="AN1788" i="1" s="1"/>
  <c r="AN1789" i="1" s="1"/>
  <c r="AN1790" i="1" s="1"/>
  <c r="AN1791" i="1" s="1"/>
  <c r="AN1792" i="1" s="1"/>
  <c r="AN1793" i="1" s="1"/>
  <c r="AN1794" i="1" s="1"/>
  <c r="AN1795" i="1" s="1"/>
  <c r="AN1796" i="1" s="1"/>
  <c r="AN1797" i="1" s="1"/>
  <c r="AN1798" i="1" s="1"/>
  <c r="AN1799" i="1" s="1"/>
  <c r="AN1800" i="1" s="1"/>
  <c r="AN1801" i="1" s="1"/>
  <c r="AN1802" i="1" s="1"/>
  <c r="AN1803" i="1" s="1"/>
  <c r="AN1804" i="1" s="1"/>
  <c r="AN1805" i="1" s="1"/>
  <c r="AN1806" i="1" s="1"/>
  <c r="AN1807" i="1" s="1"/>
  <c r="AN1808" i="1" s="1"/>
  <c r="AN1809" i="1" s="1"/>
  <c r="AN1810" i="1" s="1"/>
  <c r="AN1811" i="1" s="1"/>
  <c r="AN1812" i="1" s="1"/>
  <c r="AN1813" i="1" s="1"/>
  <c r="AN1814" i="1" s="1"/>
  <c r="AN1815" i="1" s="1"/>
  <c r="AN1816" i="1" s="1"/>
  <c r="AN1817" i="1" s="1"/>
  <c r="AN1818" i="1" s="1"/>
  <c r="AN1819" i="1" s="1"/>
  <c r="AN1820" i="1" s="1"/>
  <c r="AN1821" i="1" s="1"/>
  <c r="AN1822" i="1" s="1"/>
  <c r="AN1823" i="1" s="1"/>
  <c r="AN1824" i="1" s="1"/>
  <c r="AN1825" i="1" s="1"/>
  <c r="AN1826" i="1" s="1"/>
  <c r="AN1827" i="1" s="1"/>
  <c r="AN1828" i="1" s="1"/>
  <c r="AN1829" i="1" s="1"/>
  <c r="AN1830" i="1" s="1"/>
  <c r="AN1831" i="1" s="1"/>
  <c r="AN1832" i="1" s="1"/>
  <c r="AN1833" i="1" s="1"/>
  <c r="AN1834" i="1" s="1"/>
  <c r="AN1835" i="1" s="1"/>
  <c r="AN1836" i="1" s="1"/>
  <c r="AN1837" i="1" s="1"/>
  <c r="AN1838" i="1" s="1"/>
  <c r="AN1839" i="1" s="1"/>
  <c r="AN1840" i="1" s="1"/>
  <c r="AN1841" i="1" s="1"/>
  <c r="AN1842" i="1" s="1"/>
  <c r="AN1843" i="1" s="1"/>
  <c r="AN1844" i="1" s="1"/>
  <c r="AN1845" i="1" s="1"/>
  <c r="AN1846" i="1" s="1"/>
  <c r="AN1847" i="1" s="1"/>
  <c r="AN1848" i="1" s="1"/>
  <c r="AN1849" i="1" s="1"/>
  <c r="AN1850" i="1" s="1"/>
  <c r="AN1851" i="1" s="1"/>
  <c r="AN1852" i="1" s="1"/>
  <c r="AN1853" i="1" s="1"/>
  <c r="AN1854" i="1" s="1"/>
  <c r="AN1855" i="1" s="1"/>
  <c r="AN1856" i="1" s="1"/>
  <c r="AN1857" i="1" s="1"/>
  <c r="AN1858" i="1" s="1"/>
  <c r="AN1859" i="1" s="1"/>
  <c r="AN1860" i="1" s="1"/>
  <c r="AN1861" i="1" s="1"/>
  <c r="AN1862" i="1" s="1"/>
  <c r="AN1863" i="1" s="1"/>
  <c r="AN1864" i="1" s="1"/>
  <c r="AN1865" i="1" s="1"/>
  <c r="AN1866" i="1" s="1"/>
  <c r="AN1867" i="1" s="1"/>
  <c r="AN1868" i="1" s="1"/>
  <c r="AN1869" i="1" s="1"/>
  <c r="AN1870" i="1" s="1"/>
  <c r="AN1871" i="1" s="1"/>
  <c r="AN1872" i="1" s="1"/>
  <c r="AN1873" i="1" s="1"/>
  <c r="AN1874" i="1" s="1"/>
  <c r="AN1875" i="1" s="1"/>
  <c r="AN1876" i="1" s="1"/>
  <c r="AN1877" i="1" s="1"/>
  <c r="AN1878" i="1" s="1"/>
  <c r="AN1879" i="1" s="1"/>
  <c r="AN1880" i="1" s="1"/>
  <c r="AN1881" i="1" s="1"/>
  <c r="AN1882" i="1" s="1"/>
  <c r="AN1883" i="1" s="1"/>
  <c r="AN1884" i="1" s="1"/>
  <c r="AN1885" i="1" s="1"/>
  <c r="AN1886" i="1" s="1"/>
  <c r="AN1887" i="1" s="1"/>
  <c r="AN1888" i="1" s="1"/>
  <c r="AN1889" i="1" s="1"/>
  <c r="AN1890" i="1" s="1"/>
  <c r="AN1891" i="1" s="1"/>
  <c r="AN1892" i="1" s="1"/>
  <c r="AN1893" i="1" s="1"/>
  <c r="AN1894" i="1" s="1"/>
  <c r="AN1895" i="1" s="1"/>
  <c r="AN1896" i="1" s="1"/>
  <c r="AN1897" i="1" s="1"/>
  <c r="AN1898" i="1" s="1"/>
  <c r="AN1899" i="1" s="1"/>
  <c r="AN1900" i="1" s="1"/>
  <c r="AN1901" i="1" s="1"/>
  <c r="AN1902" i="1" s="1"/>
  <c r="AN1903" i="1" s="1"/>
  <c r="AN1904" i="1" s="1"/>
  <c r="AN1905" i="1" s="1"/>
  <c r="AN1906" i="1" s="1"/>
  <c r="AN1907" i="1" s="1"/>
  <c r="AN1908" i="1" s="1"/>
  <c r="AN1909" i="1" s="1"/>
  <c r="AN1910" i="1" s="1"/>
  <c r="AN1911" i="1" s="1"/>
  <c r="AN1912" i="1" s="1"/>
  <c r="AN1913" i="1" s="1"/>
  <c r="AN1914" i="1" s="1"/>
  <c r="AN1915" i="1" s="1"/>
  <c r="AN1916" i="1" s="1"/>
  <c r="AN1917" i="1" s="1"/>
  <c r="AN1918" i="1" s="1"/>
  <c r="AN1919" i="1" s="1"/>
  <c r="AN1920" i="1" s="1"/>
  <c r="AN1921" i="1" s="1"/>
  <c r="AN1922" i="1" s="1"/>
  <c r="AN1923" i="1" s="1"/>
  <c r="AN1924" i="1" s="1"/>
  <c r="AN1925" i="1" s="1"/>
  <c r="AN1926" i="1" s="1"/>
  <c r="AN1927" i="1" s="1"/>
  <c r="AN1928" i="1" s="1"/>
  <c r="AN1929" i="1" s="1"/>
  <c r="AN1930" i="1" s="1"/>
  <c r="AN1931" i="1" s="1"/>
  <c r="AN1932" i="1" s="1"/>
  <c r="AN1933" i="1" s="1"/>
  <c r="AN1934" i="1" s="1"/>
  <c r="AN1935" i="1" s="1"/>
  <c r="AN1936" i="1" s="1"/>
  <c r="AN1937" i="1" s="1"/>
  <c r="AN1938" i="1" s="1"/>
  <c r="AN1939" i="1" s="1"/>
  <c r="AN1940" i="1" s="1"/>
  <c r="AN1941" i="1" s="1"/>
  <c r="AN1942" i="1" s="1"/>
  <c r="AN1943" i="1" s="1"/>
  <c r="AN1944" i="1" s="1"/>
  <c r="AN1945" i="1" s="1"/>
  <c r="AN1946" i="1" s="1"/>
  <c r="AN1947" i="1" s="1"/>
  <c r="AN1948" i="1" s="1"/>
  <c r="AN1949" i="1" s="1"/>
  <c r="AN1950" i="1" s="1"/>
  <c r="AN1951" i="1" s="1"/>
  <c r="AN1952" i="1" s="1"/>
  <c r="AN1953" i="1" s="1"/>
  <c r="AN1954" i="1" s="1"/>
  <c r="AN1955" i="1" s="1"/>
  <c r="AN1956" i="1" s="1"/>
  <c r="AN1957" i="1" s="1"/>
  <c r="AN1958" i="1" s="1"/>
  <c r="AN1959" i="1" s="1"/>
  <c r="AN1960" i="1" s="1"/>
  <c r="AN1961" i="1" s="1"/>
  <c r="AN1962" i="1" s="1"/>
  <c r="AN1963" i="1" s="1"/>
  <c r="AN1964" i="1" s="1"/>
  <c r="AN1965" i="1" s="1"/>
  <c r="AN1966" i="1" s="1"/>
  <c r="AN1967" i="1" s="1"/>
  <c r="AN1968" i="1" s="1"/>
  <c r="AN1969" i="1" s="1"/>
  <c r="AN1970" i="1" s="1"/>
  <c r="AN1971" i="1" s="1"/>
  <c r="AN1972" i="1" s="1"/>
  <c r="AN1973" i="1" s="1"/>
  <c r="AN1974" i="1" s="1"/>
  <c r="AN1975" i="1" s="1"/>
  <c r="AN1976" i="1" s="1"/>
  <c r="AN1977" i="1" s="1"/>
  <c r="AN1978" i="1" s="1"/>
  <c r="AN1979" i="1" s="1"/>
  <c r="AN1980" i="1" s="1"/>
  <c r="AN1981" i="1" s="1"/>
  <c r="AN1982" i="1" s="1"/>
  <c r="AN1983" i="1" s="1"/>
  <c r="AN1984" i="1" s="1"/>
  <c r="AN1985" i="1" s="1"/>
  <c r="AN1986" i="1" s="1"/>
  <c r="AN1987" i="1" s="1"/>
  <c r="AN1988" i="1" s="1"/>
  <c r="AN1989" i="1" s="1"/>
  <c r="AN1990" i="1" s="1"/>
  <c r="AN1991" i="1" s="1"/>
  <c r="AN1992" i="1" s="1"/>
  <c r="AN1993" i="1" s="1"/>
  <c r="AN1994" i="1" s="1"/>
  <c r="AN1995" i="1" s="1"/>
  <c r="AN1996" i="1" s="1"/>
  <c r="AN1997" i="1" s="1"/>
  <c r="AN1998" i="1" s="1"/>
  <c r="AN1999" i="1" s="1"/>
  <c r="AN2000" i="1" s="1"/>
  <c r="AN2001" i="1" s="1"/>
  <c r="AN2002" i="1" s="1"/>
  <c r="AN2003" i="1" s="1"/>
  <c r="AN2004" i="1" s="1"/>
  <c r="AN2005" i="1" s="1"/>
  <c r="AN2006" i="1" s="1"/>
  <c r="AN2007" i="1" s="1"/>
  <c r="AN2008" i="1" s="1"/>
  <c r="AN2009" i="1" s="1"/>
  <c r="AN2010" i="1" s="1"/>
  <c r="AN2011" i="1" s="1"/>
  <c r="CO40" i="4"/>
  <c r="CO41" i="4"/>
  <c r="CO42" i="4"/>
  <c r="CO43" i="4"/>
  <c r="AN2645" i="1" l="1"/>
  <c r="AP2644" i="1"/>
  <c r="AM2650" i="1"/>
  <c r="AP2609" i="1"/>
  <c r="AM2610" i="1"/>
  <c r="AM2012" i="1"/>
  <c r="AN2012" i="1"/>
  <c r="AN2013" i="1" s="1"/>
  <c r="AN2014" i="1" s="1"/>
  <c r="AN2015" i="1" s="1"/>
  <c r="AN2016" i="1" s="1"/>
  <c r="AN2017" i="1" s="1"/>
  <c r="AN2018" i="1" s="1"/>
  <c r="AN2019" i="1" s="1"/>
  <c r="AN2020" i="1" s="1"/>
  <c r="AN2021" i="1" s="1"/>
  <c r="AN2022" i="1" s="1"/>
  <c r="AN2023" i="1" s="1"/>
  <c r="AN2024" i="1" s="1"/>
  <c r="AN2025" i="1" s="1"/>
  <c r="AN2026" i="1" s="1"/>
  <c r="AN2027" i="1" s="1"/>
  <c r="AN2028" i="1" s="1"/>
  <c r="AN2029" i="1" s="1"/>
  <c r="AN2030" i="1" s="1"/>
  <c r="AN2031" i="1" s="1"/>
  <c r="AN2032" i="1" s="1"/>
  <c r="AN2033" i="1" s="1"/>
  <c r="AN2034" i="1" s="1"/>
  <c r="AN2035" i="1" s="1"/>
  <c r="AN2036" i="1" s="1"/>
  <c r="AN2037" i="1" s="1"/>
  <c r="AN2038" i="1" s="1"/>
  <c r="AN2039" i="1" s="1"/>
  <c r="AN2040" i="1" s="1"/>
  <c r="AN2041" i="1" s="1"/>
  <c r="AN2042" i="1" s="1"/>
  <c r="AN2043" i="1" s="1"/>
  <c r="AN2044" i="1" s="1"/>
  <c r="AN2045" i="1" s="1"/>
  <c r="AN2046" i="1" s="1"/>
  <c r="AN2047" i="1" s="1"/>
  <c r="AN2048" i="1" s="1"/>
  <c r="AN2049" i="1" s="1"/>
  <c r="AN2050" i="1" s="1"/>
  <c r="AN2051" i="1" s="1"/>
  <c r="AN2052" i="1" s="1"/>
  <c r="AN2053" i="1" s="1"/>
  <c r="AN2054" i="1" s="1"/>
  <c r="AN2055" i="1" s="1"/>
  <c r="AN2056" i="1" s="1"/>
  <c r="AN2057" i="1" s="1"/>
  <c r="AN2058" i="1" s="1"/>
  <c r="AN2059" i="1" s="1"/>
  <c r="AN2060" i="1" s="1"/>
  <c r="AN2061" i="1" s="1"/>
  <c r="AN2062" i="1" s="1"/>
  <c r="AN2063" i="1" s="1"/>
  <c r="AN2064" i="1" s="1"/>
  <c r="AN2065" i="1" s="1"/>
  <c r="AN2066" i="1" s="1"/>
  <c r="AN2067" i="1" s="1"/>
  <c r="AN2068" i="1" s="1"/>
  <c r="AN2069" i="1" s="1"/>
  <c r="AN2070" i="1" s="1"/>
  <c r="AN2071" i="1" s="1"/>
  <c r="AN2072" i="1" s="1"/>
  <c r="AN2073" i="1" s="1"/>
  <c r="AN2074" i="1" s="1"/>
  <c r="AN2075" i="1" s="1"/>
  <c r="AN2076" i="1" s="1"/>
  <c r="AN2077" i="1" s="1"/>
  <c r="AN2078" i="1" s="1"/>
  <c r="AN2079" i="1" s="1"/>
  <c r="AN2080" i="1" s="1"/>
  <c r="AN2081" i="1" s="1"/>
  <c r="AN2082" i="1" s="1"/>
  <c r="AN2083" i="1" s="1"/>
  <c r="AN2084" i="1" s="1"/>
  <c r="AN2085" i="1" s="1"/>
  <c r="AN2086" i="1" s="1"/>
  <c r="AN2087" i="1" s="1"/>
  <c r="AN2088" i="1" s="1"/>
  <c r="AN2089" i="1" s="1"/>
  <c r="AN2090" i="1" s="1"/>
  <c r="AN2091" i="1" s="1"/>
  <c r="AN2092" i="1" s="1"/>
  <c r="AN2093" i="1" s="1"/>
  <c r="AN2094" i="1" s="1"/>
  <c r="AN2095" i="1" s="1"/>
  <c r="AN2096" i="1" s="1"/>
  <c r="AN2097" i="1" s="1"/>
  <c r="AN2098" i="1" s="1"/>
  <c r="AN2099" i="1" s="1"/>
  <c r="AN2100" i="1" s="1"/>
  <c r="AN2101" i="1" s="1"/>
  <c r="AN2102" i="1" s="1"/>
  <c r="AN2103" i="1" s="1"/>
  <c r="AN2104" i="1" s="1"/>
  <c r="AN2105" i="1" s="1"/>
  <c r="AN2106" i="1" s="1"/>
  <c r="AN2107" i="1" s="1"/>
  <c r="AN2108" i="1" s="1"/>
  <c r="AN2109" i="1" s="1"/>
  <c r="AN2110" i="1" s="1"/>
  <c r="AN2111" i="1" s="1"/>
  <c r="AN2112" i="1" s="1"/>
  <c r="AN2113" i="1" s="1"/>
  <c r="AN2114" i="1" s="1"/>
  <c r="AN2115" i="1" s="1"/>
  <c r="AN2116" i="1" s="1"/>
  <c r="AN2117" i="1" s="1"/>
  <c r="AN2118" i="1" s="1"/>
  <c r="AN2119" i="1" s="1"/>
  <c r="AN2120" i="1" s="1"/>
  <c r="AN2121" i="1" s="1"/>
  <c r="AN2122" i="1" s="1"/>
  <c r="AN2123" i="1" s="1"/>
  <c r="AN2124" i="1" s="1"/>
  <c r="AN2125" i="1" s="1"/>
  <c r="AN2126" i="1" s="1"/>
  <c r="AN2127" i="1" s="1"/>
  <c r="AN2128" i="1" s="1"/>
  <c r="AN2129" i="1" s="1"/>
  <c r="AN2130" i="1" s="1"/>
  <c r="AN2131" i="1" s="1"/>
  <c r="AN2132" i="1" s="1"/>
  <c r="AN2133" i="1" s="1"/>
  <c r="AN2134" i="1" s="1"/>
  <c r="AN2135" i="1" s="1"/>
  <c r="AN2136" i="1" s="1"/>
  <c r="AN2137" i="1" s="1"/>
  <c r="AN2138" i="1" s="1"/>
  <c r="AN2139" i="1" s="1"/>
  <c r="AN2140" i="1" s="1"/>
  <c r="AN2141" i="1" s="1"/>
  <c r="AN2142" i="1" s="1"/>
  <c r="AN2143" i="1" s="1"/>
  <c r="AN2144" i="1" s="1"/>
  <c r="AN2145" i="1" s="1"/>
  <c r="AN2146" i="1" s="1"/>
  <c r="AN2147" i="1" s="1"/>
  <c r="AN2148" i="1" s="1"/>
  <c r="AN2149" i="1" s="1"/>
  <c r="AN2150" i="1" s="1"/>
  <c r="AN2151" i="1" s="1"/>
  <c r="AN2152" i="1" s="1"/>
  <c r="AN2153" i="1" s="1"/>
  <c r="AN2154" i="1" s="1"/>
  <c r="AN2155" i="1" s="1"/>
  <c r="AN2156" i="1" s="1"/>
  <c r="AN2157" i="1" s="1"/>
  <c r="AN2158" i="1" s="1"/>
  <c r="AN2159" i="1" s="1"/>
  <c r="AN2160" i="1" s="1"/>
  <c r="AN2161" i="1" s="1"/>
  <c r="AN2162" i="1" s="1"/>
  <c r="AN2163" i="1" s="1"/>
  <c r="AN2164" i="1" s="1"/>
  <c r="AN2165" i="1" s="1"/>
  <c r="AN2166" i="1" s="1"/>
  <c r="AN2167" i="1" s="1"/>
  <c r="AN2168" i="1" s="1"/>
  <c r="AN2169" i="1" s="1"/>
  <c r="AN2170" i="1" s="1"/>
  <c r="AN2171" i="1" s="1"/>
  <c r="AN2172" i="1" s="1"/>
  <c r="AN2173" i="1" s="1"/>
  <c r="AN2174" i="1" s="1"/>
  <c r="AN2175" i="1" s="1"/>
  <c r="AN2176" i="1" s="1"/>
  <c r="AN2177" i="1" s="1"/>
  <c r="AN2178" i="1" s="1"/>
  <c r="AN2179" i="1" s="1"/>
  <c r="AN2180" i="1" s="1"/>
  <c r="AN2181" i="1" s="1"/>
  <c r="AN2182" i="1" s="1"/>
  <c r="AN2183" i="1" s="1"/>
  <c r="AN2184" i="1" s="1"/>
  <c r="AN2185" i="1" s="1"/>
  <c r="AN2186" i="1" s="1"/>
  <c r="AN2187" i="1" s="1"/>
  <c r="AN2188" i="1" s="1"/>
  <c r="AN2189" i="1" s="1"/>
  <c r="AN2190" i="1" s="1"/>
  <c r="AN2191" i="1" s="1"/>
  <c r="AN2192" i="1" s="1"/>
  <c r="AN2193" i="1" s="1"/>
  <c r="AN2194" i="1" s="1"/>
  <c r="AN2195" i="1" s="1"/>
  <c r="AN2196" i="1" s="1"/>
  <c r="AN2197" i="1" s="1"/>
  <c r="AN2198" i="1" s="1"/>
  <c r="AN2199" i="1" s="1"/>
  <c r="AN2200" i="1" s="1"/>
  <c r="AN2201" i="1" s="1"/>
  <c r="AN2202" i="1" s="1"/>
  <c r="AN2203" i="1" s="1"/>
  <c r="AN2204" i="1" s="1"/>
  <c r="AN2205" i="1" s="1"/>
  <c r="AN2206" i="1" s="1"/>
  <c r="AN2207" i="1" s="1"/>
  <c r="AN2208" i="1" s="1"/>
  <c r="AN2209" i="1" s="1"/>
  <c r="AN2210" i="1" s="1"/>
  <c r="AN2211" i="1" s="1"/>
  <c r="AN2212" i="1" s="1"/>
  <c r="AN2213" i="1" s="1"/>
  <c r="AN2214" i="1" s="1"/>
  <c r="AN2215" i="1" s="1"/>
  <c r="AN2216" i="1" s="1"/>
  <c r="AN2217" i="1" s="1"/>
  <c r="AN2218" i="1" s="1"/>
  <c r="AN2219" i="1" s="1"/>
  <c r="AN2220" i="1" s="1"/>
  <c r="AN2221" i="1" s="1"/>
  <c r="AN2222" i="1" s="1"/>
  <c r="AN2223" i="1" s="1"/>
  <c r="AN2224" i="1" s="1"/>
  <c r="AN2225" i="1" s="1"/>
  <c r="AN2226" i="1" s="1"/>
  <c r="AN2227" i="1" s="1"/>
  <c r="AN2228" i="1" s="1"/>
  <c r="AN2229" i="1" s="1"/>
  <c r="AN2230" i="1" s="1"/>
  <c r="AN2231" i="1" s="1"/>
  <c r="AN2232" i="1" s="1"/>
  <c r="AN2233" i="1" s="1"/>
  <c r="AN2234" i="1" s="1"/>
  <c r="AN2235" i="1" s="1"/>
  <c r="AN2236" i="1" s="1"/>
  <c r="AN2237" i="1" s="1"/>
  <c r="AN2238" i="1" s="1"/>
  <c r="AN2239" i="1" s="1"/>
  <c r="AN2240" i="1" s="1"/>
  <c r="AN2241" i="1" s="1"/>
  <c r="AN2242" i="1" s="1"/>
  <c r="AN2243" i="1" s="1"/>
  <c r="AN2244" i="1" s="1"/>
  <c r="AN2245" i="1" s="1"/>
  <c r="AN2246" i="1" s="1"/>
  <c r="AN2247" i="1" s="1"/>
  <c r="AN2248" i="1" s="1"/>
  <c r="AN2249" i="1" s="1"/>
  <c r="AN2250" i="1" s="1"/>
  <c r="AN2251" i="1" s="1"/>
  <c r="AN2252" i="1" s="1"/>
  <c r="AN2253" i="1" s="1"/>
  <c r="AN2254" i="1" s="1"/>
  <c r="AN2255" i="1" s="1"/>
  <c r="AN2256" i="1" s="1"/>
  <c r="AN2257" i="1" s="1"/>
  <c r="AN2258" i="1" s="1"/>
  <c r="AN2259" i="1" s="1"/>
  <c r="AN2260" i="1" s="1"/>
  <c r="AN2261" i="1" s="1"/>
  <c r="AN2262" i="1" s="1"/>
  <c r="AN2263" i="1" s="1"/>
  <c r="AN2264" i="1" s="1"/>
  <c r="AN2265" i="1" s="1"/>
  <c r="AN2266" i="1" s="1"/>
  <c r="AN2267" i="1" s="1"/>
  <c r="AN2268" i="1" s="1"/>
  <c r="AN2269" i="1" s="1"/>
  <c r="AN2270" i="1" s="1"/>
  <c r="AN2271" i="1" s="1"/>
  <c r="AN2272" i="1" s="1"/>
  <c r="AN2273" i="1" s="1"/>
  <c r="AN2274" i="1" s="1"/>
  <c r="AN2275" i="1" s="1"/>
  <c r="AN2276" i="1" s="1"/>
  <c r="AN2277" i="1" s="1"/>
  <c r="AN2278" i="1" s="1"/>
  <c r="AN2279" i="1" s="1"/>
  <c r="AN2280" i="1" s="1"/>
  <c r="AN2281" i="1" s="1"/>
  <c r="AN2282" i="1" s="1"/>
  <c r="AN2283" i="1" s="1"/>
  <c r="AN2284" i="1" s="1"/>
  <c r="AN2285" i="1" s="1"/>
  <c r="AN2286" i="1" s="1"/>
  <c r="AN2287" i="1" s="1"/>
  <c r="AN2288" i="1" s="1"/>
  <c r="AN2289" i="1" s="1"/>
  <c r="AN2290" i="1" s="1"/>
  <c r="AN2291" i="1" s="1"/>
  <c r="AN2292" i="1" s="1"/>
  <c r="AN2293" i="1" s="1"/>
  <c r="AN2294" i="1" s="1"/>
  <c r="AN2295" i="1" s="1"/>
  <c r="AN2296" i="1" s="1"/>
  <c r="AN2297" i="1" s="1"/>
  <c r="AN2298" i="1" s="1"/>
  <c r="AN2299" i="1" s="1"/>
  <c r="AN2300" i="1" s="1"/>
  <c r="AN2301" i="1" s="1"/>
  <c r="AN2302" i="1" s="1"/>
  <c r="AN2303" i="1" s="1"/>
  <c r="AN2304" i="1" s="1"/>
  <c r="AN2305" i="1" s="1"/>
  <c r="AN2306" i="1" s="1"/>
  <c r="AN2307" i="1" s="1"/>
  <c r="AN2308" i="1" s="1"/>
  <c r="AN2309" i="1" s="1"/>
  <c r="AN2310" i="1" s="1"/>
  <c r="AN2311" i="1" s="1"/>
  <c r="AN2312" i="1" s="1"/>
  <c r="AN2313" i="1" s="1"/>
  <c r="AN2314" i="1" s="1"/>
  <c r="AN2315" i="1" s="1"/>
  <c r="AN2316" i="1" s="1"/>
  <c r="AN2317" i="1" s="1"/>
  <c r="AN2318" i="1" s="1"/>
  <c r="AN2319" i="1" s="1"/>
  <c r="AN2320" i="1" s="1"/>
  <c r="AN2321" i="1" s="1"/>
  <c r="AN2322" i="1" s="1"/>
  <c r="AN2323" i="1" s="1"/>
  <c r="AN2324" i="1" s="1"/>
  <c r="AN2325" i="1" s="1"/>
  <c r="AN2326" i="1" s="1"/>
  <c r="AN2327" i="1" s="1"/>
  <c r="AN2328" i="1" s="1"/>
  <c r="AN2329" i="1" s="1"/>
  <c r="AN2330" i="1" s="1"/>
  <c r="AN2331" i="1" s="1"/>
  <c r="AN2332" i="1" s="1"/>
  <c r="AN2333" i="1" s="1"/>
  <c r="AN2334" i="1" s="1"/>
  <c r="AN2335" i="1" s="1"/>
  <c r="AN2336" i="1" s="1"/>
  <c r="AN2337" i="1" s="1"/>
  <c r="AN2338" i="1" s="1"/>
  <c r="AN2339" i="1" s="1"/>
  <c r="AN2340" i="1" s="1"/>
  <c r="AN2341" i="1" s="1"/>
  <c r="AN2342" i="1" s="1"/>
  <c r="AN2343" i="1" s="1"/>
  <c r="AN2344" i="1" s="1"/>
  <c r="AN2345" i="1" s="1"/>
  <c r="AN2346" i="1" s="1"/>
  <c r="AN2347" i="1" s="1"/>
  <c r="AN2348" i="1" s="1"/>
  <c r="AN2349" i="1" s="1"/>
  <c r="AN2350" i="1" s="1"/>
  <c r="AN2351" i="1" s="1"/>
  <c r="AN2352" i="1" s="1"/>
  <c r="AN2353" i="1" s="1"/>
  <c r="AN2354" i="1" s="1"/>
  <c r="AN2355" i="1" s="1"/>
  <c r="AN2356" i="1" s="1"/>
  <c r="AN2357" i="1" s="1"/>
  <c r="AN2358" i="1" s="1"/>
  <c r="AN2359" i="1" s="1"/>
  <c r="AN2360" i="1" s="1"/>
  <c r="AN2361" i="1" s="1"/>
  <c r="AN2362" i="1" s="1"/>
  <c r="AN2363" i="1" s="1"/>
  <c r="AN2364" i="1" s="1"/>
  <c r="AN2365" i="1" s="1"/>
  <c r="AN2366" i="1" s="1"/>
  <c r="AN2367" i="1" s="1"/>
  <c r="AN2368" i="1" s="1"/>
  <c r="AN2369" i="1" s="1"/>
  <c r="AN2370" i="1" s="1"/>
  <c r="AN2371" i="1" s="1"/>
  <c r="AN2372" i="1" s="1"/>
  <c r="AN2373" i="1" s="1"/>
  <c r="AN2374" i="1" s="1"/>
  <c r="AN2375" i="1" s="1"/>
  <c r="AN2376" i="1" s="1"/>
  <c r="AN2377" i="1" s="1"/>
  <c r="AN2378" i="1" s="1"/>
  <c r="AN2379" i="1" s="1"/>
  <c r="AN2380" i="1" s="1"/>
  <c r="AN2381" i="1" s="1"/>
  <c r="AN2382" i="1" s="1"/>
  <c r="AN2383" i="1" s="1"/>
  <c r="AN2384" i="1" s="1"/>
  <c r="AN2385" i="1" s="1"/>
  <c r="AN2386" i="1" s="1"/>
  <c r="AN2387" i="1" s="1"/>
  <c r="AN2388" i="1" s="1"/>
  <c r="AN2389" i="1" s="1"/>
  <c r="AN2390" i="1" s="1"/>
  <c r="AN2391" i="1" s="1"/>
  <c r="AN2392" i="1" s="1"/>
  <c r="AN2393" i="1" s="1"/>
  <c r="AN2394" i="1" s="1"/>
  <c r="AN2395" i="1" s="1"/>
  <c r="AN2396" i="1" s="1"/>
  <c r="AN2397" i="1" s="1"/>
  <c r="AN2398" i="1" s="1"/>
  <c r="AN2399" i="1" s="1"/>
  <c r="AN2400" i="1" s="1"/>
  <c r="AN2401" i="1" s="1"/>
  <c r="AN2402" i="1" s="1"/>
  <c r="AN2403" i="1" s="1"/>
  <c r="AN2404" i="1" s="1"/>
  <c r="AN2405" i="1" s="1"/>
  <c r="AN2406" i="1" s="1"/>
  <c r="AN2407" i="1" s="1"/>
  <c r="AN2408" i="1" s="1"/>
  <c r="AN2409" i="1" s="1"/>
  <c r="AN2410" i="1" s="1"/>
  <c r="AN2411" i="1" s="1"/>
  <c r="AN2412" i="1" s="1"/>
  <c r="AN2413" i="1" s="1"/>
  <c r="AN2414" i="1" s="1"/>
  <c r="AN2415" i="1" s="1"/>
  <c r="AN2416" i="1" s="1"/>
  <c r="AN2417" i="1" s="1"/>
  <c r="AN2418" i="1" s="1"/>
  <c r="AN2419" i="1" s="1"/>
  <c r="AN2420" i="1" s="1"/>
  <c r="AN2421" i="1" s="1"/>
  <c r="AN2422" i="1" s="1"/>
  <c r="AN2423" i="1" s="1"/>
  <c r="AN2424" i="1" s="1"/>
  <c r="AN2425" i="1" s="1"/>
  <c r="AN2426" i="1" s="1"/>
  <c r="AN2427" i="1" s="1"/>
  <c r="AN2428" i="1" s="1"/>
  <c r="AN2429" i="1" s="1"/>
  <c r="AN2430" i="1" s="1"/>
  <c r="AN2431" i="1" s="1"/>
  <c r="AN2432" i="1" s="1"/>
  <c r="AN2433" i="1" s="1"/>
  <c r="AN2434" i="1" s="1"/>
  <c r="AN2435" i="1" s="1"/>
  <c r="AN2436" i="1" s="1"/>
  <c r="AN2437" i="1" s="1"/>
  <c r="AN2438" i="1" s="1"/>
  <c r="AN2439" i="1" s="1"/>
  <c r="AN2440" i="1" s="1"/>
  <c r="AN2441" i="1" s="1"/>
  <c r="AN2442" i="1" s="1"/>
  <c r="AN2443" i="1" s="1"/>
  <c r="AN2444" i="1" s="1"/>
  <c r="AN2445" i="1" s="1"/>
  <c r="AN2446" i="1" s="1"/>
  <c r="AN2447" i="1" s="1"/>
  <c r="AN2448" i="1" s="1"/>
  <c r="AN2449" i="1" s="1"/>
  <c r="AN2450" i="1" s="1"/>
  <c r="AN2451" i="1" s="1"/>
  <c r="AN2452" i="1" s="1"/>
  <c r="AN2453" i="1" s="1"/>
  <c r="AN2454" i="1" s="1"/>
  <c r="AN2455" i="1" s="1"/>
  <c r="AN2456" i="1" s="1"/>
  <c r="AN2457" i="1" s="1"/>
  <c r="AN2458" i="1" s="1"/>
  <c r="AN2459" i="1" s="1"/>
  <c r="AN2460" i="1" s="1"/>
  <c r="AN2461" i="1" s="1"/>
  <c r="AN2462" i="1" s="1"/>
  <c r="AN2463" i="1" s="1"/>
  <c r="AN2464" i="1" s="1"/>
  <c r="AN2465" i="1" s="1"/>
  <c r="AN2466" i="1" s="1"/>
  <c r="AN2467" i="1" s="1"/>
  <c r="AN2468" i="1" s="1"/>
  <c r="AN2469" i="1" s="1"/>
  <c r="AN2470" i="1" s="1"/>
  <c r="AN2471" i="1" s="1"/>
  <c r="AN2472" i="1" s="1"/>
  <c r="AN2473" i="1" s="1"/>
  <c r="AN2474" i="1" s="1"/>
  <c r="AN2475" i="1" s="1"/>
  <c r="AN2476" i="1" s="1"/>
  <c r="AN2477" i="1" s="1"/>
  <c r="AN2478" i="1" s="1"/>
  <c r="AN2479" i="1" s="1"/>
  <c r="AN2480" i="1" s="1"/>
  <c r="AN2481" i="1" s="1"/>
  <c r="AN2482" i="1" s="1"/>
  <c r="AN2483" i="1" s="1"/>
  <c r="AN2484" i="1" s="1"/>
  <c r="AN2485" i="1" s="1"/>
  <c r="AN2486" i="1" s="1"/>
  <c r="AN2487" i="1" s="1"/>
  <c r="AN2488" i="1" s="1"/>
  <c r="AN2489" i="1" s="1"/>
  <c r="AN2490" i="1" s="1"/>
  <c r="AN2491" i="1" s="1"/>
  <c r="AN2492" i="1" s="1"/>
  <c r="AN2493" i="1" s="1"/>
  <c r="AN2494" i="1" s="1"/>
  <c r="AN2495" i="1" s="1"/>
  <c r="AN2496" i="1" s="1"/>
  <c r="AN2497" i="1" s="1"/>
  <c r="AN2498" i="1" s="1"/>
  <c r="AN2499" i="1" s="1"/>
  <c r="AN2500" i="1" s="1"/>
  <c r="AN2501" i="1" s="1"/>
  <c r="AN2502" i="1" s="1"/>
  <c r="AN2503" i="1" s="1"/>
  <c r="AN2504" i="1" s="1"/>
  <c r="AN2505" i="1" s="1"/>
  <c r="AN2506" i="1" s="1"/>
  <c r="AN2507" i="1" s="1"/>
  <c r="AN2508" i="1" s="1"/>
  <c r="AN2509" i="1" s="1"/>
  <c r="AN2510" i="1" s="1"/>
  <c r="AN2511" i="1" s="1"/>
  <c r="AN2512" i="1" s="1"/>
  <c r="AN2513" i="1" s="1"/>
  <c r="AN2514" i="1" s="1"/>
  <c r="AN2515" i="1" s="1"/>
  <c r="AN2516" i="1" s="1"/>
  <c r="AN2517" i="1" s="1"/>
  <c r="AN2518" i="1" s="1"/>
  <c r="AN2519" i="1" s="1"/>
  <c r="AN2520" i="1" s="1"/>
  <c r="AN2521" i="1" s="1"/>
  <c r="AN2522" i="1" s="1"/>
  <c r="AN2523" i="1" s="1"/>
  <c r="AN2524" i="1" s="1"/>
  <c r="AN2525" i="1" s="1"/>
  <c r="AN2526" i="1" s="1"/>
  <c r="AN2527" i="1" s="1"/>
  <c r="AN2528" i="1" s="1"/>
  <c r="AN2529" i="1" s="1"/>
  <c r="AN2530" i="1" s="1"/>
  <c r="AN2531" i="1" s="1"/>
  <c r="AN2532" i="1" s="1"/>
  <c r="AN2533" i="1" s="1"/>
  <c r="AN2534" i="1" s="1"/>
  <c r="AN2535" i="1" s="1"/>
  <c r="AN2536" i="1" s="1"/>
  <c r="AN2537" i="1" s="1"/>
  <c r="AN2538" i="1" s="1"/>
  <c r="AN2539" i="1" s="1"/>
  <c r="AN2540" i="1" s="1"/>
  <c r="AN2541" i="1" s="1"/>
  <c r="AN2542" i="1" s="1"/>
  <c r="AN2543" i="1" s="1"/>
  <c r="AN2544" i="1" s="1"/>
  <c r="AN2545" i="1" s="1"/>
  <c r="AN2546" i="1" s="1"/>
  <c r="AN2547" i="1" s="1"/>
  <c r="AN2548" i="1" s="1"/>
  <c r="AN2549" i="1" s="1"/>
  <c r="AN2550" i="1" s="1"/>
  <c r="AN2551" i="1" s="1"/>
  <c r="AN2552" i="1" s="1"/>
  <c r="AN2553" i="1" s="1"/>
  <c r="AN2554" i="1" s="1"/>
  <c r="AN2555" i="1" s="1"/>
  <c r="AN2556" i="1" s="1"/>
  <c r="AN2557" i="1" s="1"/>
  <c r="AN2558" i="1" s="1"/>
  <c r="AN2559" i="1" s="1"/>
  <c r="AN2560" i="1" s="1"/>
  <c r="AN2561" i="1" s="1"/>
  <c r="AN2562" i="1" s="1"/>
  <c r="AN2563" i="1" s="1"/>
  <c r="AN2564" i="1" s="1"/>
  <c r="AN2565" i="1" s="1"/>
  <c r="AN2566" i="1" s="1"/>
  <c r="AN2567" i="1" s="1"/>
  <c r="AN2568" i="1" s="1"/>
  <c r="AN2569" i="1" s="1"/>
  <c r="AN2570" i="1" s="1"/>
  <c r="AN2571" i="1" s="1"/>
  <c r="AN2572" i="1" s="1"/>
  <c r="AN2573" i="1" s="1"/>
  <c r="AN2574" i="1" s="1"/>
  <c r="AN2575" i="1" s="1"/>
  <c r="AN2576" i="1" s="1"/>
  <c r="AN2577" i="1" s="1"/>
  <c r="AN2578" i="1" s="1"/>
  <c r="AN2579" i="1" s="1"/>
  <c r="AN2580" i="1" s="1"/>
  <c r="AN2581" i="1" s="1"/>
  <c r="AN2582" i="1" s="1"/>
  <c r="AN2583" i="1" s="1"/>
  <c r="AN2584" i="1" s="1"/>
  <c r="AN2585" i="1" s="1"/>
  <c r="AN2586" i="1" s="1"/>
  <c r="AN2587" i="1" s="1"/>
  <c r="AN2588" i="1" s="1"/>
  <c r="AN2589" i="1" s="1"/>
  <c r="AN2590" i="1" s="1"/>
  <c r="AN2591" i="1" s="1"/>
  <c r="AN2592" i="1" s="1"/>
  <c r="AN2593" i="1" s="1"/>
  <c r="AN2594" i="1" s="1"/>
  <c r="AN2595" i="1" s="1"/>
  <c r="AN2596" i="1" s="1"/>
  <c r="AN2597" i="1" s="1"/>
  <c r="AN2598" i="1" s="1"/>
  <c r="AN2599" i="1" s="1"/>
  <c r="AN2600" i="1" s="1"/>
  <c r="AN2601" i="1" s="1"/>
  <c r="AN2602" i="1" s="1"/>
  <c r="AN2603" i="1" s="1"/>
  <c r="AN2604" i="1" s="1"/>
  <c r="AP70" i="1"/>
  <c r="AN2646" i="1" l="1"/>
  <c r="AP2645" i="1"/>
  <c r="AM2651" i="1"/>
  <c r="AP2610" i="1"/>
  <c r="AM2611" i="1"/>
  <c r="AM2013" i="1"/>
  <c r="AP2012" i="1"/>
  <c r="CO36" i="4"/>
  <c r="CO37" i="4"/>
  <c r="CO38" i="4"/>
  <c r="CO39" i="4"/>
  <c r="CQ35" i="4"/>
  <c r="CQ36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2" i="4"/>
  <c r="CO3" i="4"/>
  <c r="CO4" i="4"/>
  <c r="CO5" i="4"/>
  <c r="CO6" i="4"/>
  <c r="CO7" i="4"/>
  <c r="CO8" i="4"/>
  <c r="CO9" i="4"/>
  <c r="CO10" i="4"/>
  <c r="CO11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2" i="4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6" i="1"/>
  <c r="AP7" i="1"/>
  <c r="AP8" i="1"/>
  <c r="AP9" i="1"/>
  <c r="AL3" i="1"/>
  <c r="AK3" i="1" s="1"/>
  <c r="AM3" i="1"/>
  <c r="AK2" i="1"/>
  <c r="C4" i="8"/>
  <c r="D4" i="8"/>
  <c r="C3" i="8"/>
  <c r="D3" i="8"/>
  <c r="B4" i="8"/>
  <c r="B5" i="8" s="1"/>
  <c r="B6" i="8" s="1"/>
  <c r="B7" i="8" s="1"/>
  <c r="B8" i="8" s="1"/>
  <c r="B9" i="8" s="1"/>
  <c r="B10" i="8" s="1"/>
  <c r="A5" i="8"/>
  <c r="C5" i="8"/>
  <c r="D5" i="8"/>
  <c r="A6" i="8"/>
  <c r="A7" i="8" s="1"/>
  <c r="A8" i="8" s="1"/>
  <c r="A9" i="8" s="1"/>
  <c r="C6" i="8"/>
  <c r="D6" i="8"/>
  <c r="C7" i="8"/>
  <c r="D7" i="8"/>
  <c r="C8" i="8"/>
  <c r="D8" i="8"/>
  <c r="C9" i="8"/>
  <c r="D9" i="8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A42" i="8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C42" i="8"/>
  <c r="D42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A131" i="8"/>
  <c r="A132" i="8" s="1"/>
  <c r="A133" i="8" s="1"/>
  <c r="C131" i="8"/>
  <c r="D131" i="8"/>
  <c r="C132" i="8"/>
  <c r="D132" i="8"/>
  <c r="C133" i="8"/>
  <c r="D133" i="8"/>
  <c r="A134" i="8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A164" i="8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Q107" i="8" l="1"/>
  <c r="P107" i="8"/>
  <c r="M107" i="8"/>
  <c r="S107" i="8"/>
  <c r="T107" i="8"/>
  <c r="I107" i="8"/>
  <c r="J107" i="8"/>
  <c r="K107" i="8"/>
  <c r="L107" i="8"/>
  <c r="M106" i="8"/>
  <c r="P106" i="8"/>
  <c r="S106" i="8"/>
  <c r="T106" i="8"/>
  <c r="R106" i="8"/>
  <c r="L106" i="8"/>
  <c r="I106" i="8"/>
  <c r="J106" i="8"/>
  <c r="K106" i="8"/>
  <c r="I105" i="8"/>
  <c r="Q105" i="8"/>
  <c r="K105" i="8"/>
  <c r="L105" i="8"/>
  <c r="M105" i="8"/>
  <c r="R105" i="8"/>
  <c r="P105" i="8"/>
  <c r="Q104" i="8"/>
  <c r="P104" i="8"/>
  <c r="R104" i="8"/>
  <c r="J104" i="8"/>
  <c r="K104" i="8"/>
  <c r="L104" i="8"/>
  <c r="M104" i="8"/>
  <c r="Q103" i="8"/>
  <c r="R103" i="8"/>
  <c r="P103" i="8"/>
  <c r="S103" i="8"/>
  <c r="T103" i="8"/>
  <c r="I103" i="8"/>
  <c r="J103" i="8"/>
  <c r="L103" i="8"/>
  <c r="M103" i="8"/>
  <c r="I102" i="8"/>
  <c r="J102" i="8"/>
  <c r="K102" i="8"/>
  <c r="P102" i="8"/>
  <c r="S102" i="8"/>
  <c r="T102" i="8"/>
  <c r="L100" i="8"/>
  <c r="J100" i="8"/>
  <c r="S101" i="8"/>
  <c r="T101" i="8"/>
  <c r="K101" i="8"/>
  <c r="L101" i="8"/>
  <c r="Q101" i="8"/>
  <c r="M101" i="8"/>
  <c r="R101" i="8"/>
  <c r="I101" i="8"/>
  <c r="J99" i="8"/>
  <c r="K99" i="8"/>
  <c r="Q99" i="8"/>
  <c r="M99" i="8"/>
  <c r="P99" i="8"/>
  <c r="R99" i="8"/>
  <c r="S99" i="8"/>
  <c r="T99" i="8"/>
  <c r="I99" i="8"/>
  <c r="Q98" i="8"/>
  <c r="P98" i="8"/>
  <c r="I98" i="8"/>
  <c r="K98" i="8"/>
  <c r="L98" i="8"/>
  <c r="M98" i="8"/>
  <c r="R98" i="8"/>
  <c r="S98" i="8"/>
  <c r="T98" i="8"/>
  <c r="T97" i="8"/>
  <c r="L97" i="8"/>
  <c r="I97" i="8"/>
  <c r="J97" i="8"/>
  <c r="M97" i="8"/>
  <c r="S97" i="8"/>
  <c r="S96" i="8"/>
  <c r="T96" i="8"/>
  <c r="L96" i="8"/>
  <c r="Q96" i="8"/>
  <c r="M96" i="8"/>
  <c r="P96" i="8"/>
  <c r="I96" i="8"/>
  <c r="R96" i="8"/>
  <c r="J96" i="8"/>
  <c r="R95" i="8"/>
  <c r="Q95" i="8"/>
  <c r="T95" i="8"/>
  <c r="J95" i="8"/>
  <c r="L95" i="8"/>
  <c r="M95" i="8"/>
  <c r="P95" i="8"/>
  <c r="P94" i="8"/>
  <c r="R94" i="8"/>
  <c r="Q94" i="8"/>
  <c r="S94" i="8"/>
  <c r="I94" i="8"/>
  <c r="J94" i="8"/>
  <c r="L94" i="8"/>
  <c r="M94" i="8"/>
  <c r="L93" i="8"/>
  <c r="P93" i="8"/>
  <c r="T93" i="8"/>
  <c r="Q93" i="8"/>
  <c r="R93" i="8"/>
  <c r="S93" i="8"/>
  <c r="I93" i="8"/>
  <c r="J93" i="8"/>
  <c r="T92" i="8"/>
  <c r="I92" i="8"/>
  <c r="S92" i="8"/>
  <c r="M92" i="8"/>
  <c r="L91" i="8"/>
  <c r="M90" i="8"/>
  <c r="Q90" i="8"/>
  <c r="I90" i="8"/>
  <c r="P90" i="8"/>
  <c r="R90" i="8"/>
  <c r="J90" i="8"/>
  <c r="S90" i="8"/>
  <c r="T90" i="8"/>
  <c r="K90" i="8"/>
  <c r="I89" i="8"/>
  <c r="J89" i="8"/>
  <c r="K89" i="8"/>
  <c r="L89" i="8"/>
  <c r="P89" i="8"/>
  <c r="M89" i="8"/>
  <c r="S89" i="8"/>
  <c r="T89" i="8"/>
  <c r="Q88" i="8"/>
  <c r="I88" i="8"/>
  <c r="R88" i="8"/>
  <c r="T88" i="8"/>
  <c r="L88" i="8"/>
  <c r="M88" i="8"/>
  <c r="P87" i="8"/>
  <c r="R87" i="8"/>
  <c r="S87" i="8"/>
  <c r="I87" i="8"/>
  <c r="J87" i="8"/>
  <c r="K87" i="8"/>
  <c r="L87" i="8"/>
  <c r="M87" i="8"/>
  <c r="J86" i="8"/>
  <c r="Q86" i="8"/>
  <c r="K86" i="8"/>
  <c r="L86" i="8"/>
  <c r="R86" i="8"/>
  <c r="S86" i="8"/>
  <c r="T86" i="8"/>
  <c r="T85" i="8"/>
  <c r="Q85" i="8"/>
  <c r="I85" i="8"/>
  <c r="J85" i="8"/>
  <c r="K85" i="8"/>
  <c r="L85" i="8"/>
  <c r="P85" i="8"/>
  <c r="M85" i="8"/>
  <c r="S85" i="8"/>
  <c r="Q84" i="8"/>
  <c r="P84" i="8"/>
  <c r="J84" i="8"/>
  <c r="R84" i="8"/>
  <c r="K84" i="8"/>
  <c r="S84" i="8"/>
  <c r="T84" i="8"/>
  <c r="M84" i="8"/>
  <c r="Q83" i="8"/>
  <c r="T83" i="8"/>
  <c r="R83" i="8"/>
  <c r="S83" i="8"/>
  <c r="Q82" i="8"/>
  <c r="I82" i="8"/>
  <c r="J82" i="8"/>
  <c r="K82" i="8"/>
  <c r="M82" i="8"/>
  <c r="L82" i="8"/>
  <c r="P82" i="8"/>
  <c r="R82" i="8"/>
  <c r="S82" i="8"/>
  <c r="T81" i="8"/>
  <c r="I81" i="8"/>
  <c r="K81" i="8"/>
  <c r="J81" i="8"/>
  <c r="L81" i="8"/>
  <c r="P81" i="8"/>
  <c r="M81" i="8"/>
  <c r="R79" i="8"/>
  <c r="S79" i="8"/>
  <c r="Q79" i="8"/>
  <c r="T79" i="8"/>
  <c r="I79" i="8"/>
  <c r="L79" i="8"/>
  <c r="J79" i="8"/>
  <c r="K79" i="8"/>
  <c r="M79" i="8"/>
  <c r="P79" i="8"/>
  <c r="P78" i="8"/>
  <c r="Q78" i="8"/>
  <c r="S78" i="8"/>
  <c r="T78" i="8"/>
  <c r="I78" i="8"/>
  <c r="K78" i="8"/>
  <c r="J78" i="8"/>
  <c r="L78" i="8"/>
  <c r="M78" i="8"/>
  <c r="L77" i="8"/>
  <c r="M77" i="8"/>
  <c r="Q77" i="8"/>
  <c r="R77" i="8"/>
  <c r="I77" i="8"/>
  <c r="S77" i="8"/>
  <c r="J77" i="8"/>
  <c r="K77" i="8"/>
  <c r="Q76" i="8"/>
  <c r="P76" i="8"/>
  <c r="I76" i="8"/>
  <c r="R76" i="8"/>
  <c r="J76" i="8"/>
  <c r="M76" i="8"/>
  <c r="K76" i="8"/>
  <c r="T76" i="8"/>
  <c r="L76" i="8"/>
  <c r="Q75" i="8"/>
  <c r="P75" i="8"/>
  <c r="R75" i="8"/>
  <c r="S75" i="8"/>
  <c r="T75" i="8"/>
  <c r="J75" i="8"/>
  <c r="L75" i="8"/>
  <c r="M75" i="8"/>
  <c r="M74" i="8"/>
  <c r="Q74" i="8"/>
  <c r="P74" i="8"/>
  <c r="R74" i="8"/>
  <c r="S74" i="8"/>
  <c r="I74" i="8"/>
  <c r="J74" i="8"/>
  <c r="K74" i="8"/>
  <c r="T74" i="8"/>
  <c r="I73" i="8"/>
  <c r="R73" i="8"/>
  <c r="J73" i="8"/>
  <c r="K73" i="8"/>
  <c r="L73" i="8"/>
  <c r="P73" i="8"/>
  <c r="M73" i="8"/>
  <c r="S73" i="8"/>
  <c r="T73" i="8"/>
  <c r="Q72" i="8"/>
  <c r="M72" i="8"/>
  <c r="I72" i="8"/>
  <c r="R72" i="8"/>
  <c r="S72" i="8"/>
  <c r="K72" i="8"/>
  <c r="T72" i="8"/>
  <c r="L72" i="8"/>
  <c r="Q71" i="8"/>
  <c r="P71" i="8"/>
  <c r="S71" i="8"/>
  <c r="T71" i="8"/>
  <c r="I71" i="8"/>
  <c r="L71" i="8"/>
  <c r="J71" i="8"/>
  <c r="M71" i="8"/>
  <c r="K71" i="8"/>
  <c r="I70" i="8"/>
  <c r="Q70" i="8"/>
  <c r="K70" i="8"/>
  <c r="L70" i="8"/>
  <c r="M70" i="8"/>
  <c r="P70" i="8"/>
  <c r="R70" i="8"/>
  <c r="S70" i="8"/>
  <c r="T70" i="8"/>
  <c r="I69" i="8"/>
  <c r="J69" i="8"/>
  <c r="P69" i="8"/>
  <c r="R69" i="8"/>
  <c r="T69" i="8"/>
  <c r="Q68" i="8"/>
  <c r="P68" i="8"/>
  <c r="I68" i="8"/>
  <c r="J68" i="8"/>
  <c r="S68" i="8"/>
  <c r="K68" i="8"/>
  <c r="L68" i="8"/>
  <c r="M68" i="8"/>
  <c r="J67" i="8"/>
  <c r="K67" i="8"/>
  <c r="Q67" i="8"/>
  <c r="L67" i="8"/>
  <c r="M67" i="8"/>
  <c r="R67" i="8"/>
  <c r="S67" i="8"/>
  <c r="T67" i="8"/>
  <c r="I67" i="8"/>
  <c r="Q66" i="8"/>
  <c r="K66" i="8"/>
  <c r="L66" i="8"/>
  <c r="M66" i="8"/>
  <c r="P66" i="8"/>
  <c r="R66" i="8"/>
  <c r="S66" i="8"/>
  <c r="T66" i="8"/>
  <c r="T65" i="8"/>
  <c r="Q65" i="8"/>
  <c r="I65" i="8"/>
  <c r="J65" i="8"/>
  <c r="P65" i="8"/>
  <c r="R65" i="8"/>
  <c r="S65" i="8"/>
  <c r="S64" i="8"/>
  <c r="K64" i="8"/>
  <c r="T64" i="8"/>
  <c r="L64" i="8"/>
  <c r="P64" i="8"/>
  <c r="I64" i="8"/>
  <c r="R64" i="8"/>
  <c r="J64" i="8"/>
  <c r="R63" i="8"/>
  <c r="Q63" i="8"/>
  <c r="T63" i="8"/>
  <c r="I63" i="8"/>
  <c r="J63" i="8"/>
  <c r="K63" i="8"/>
  <c r="L63" i="8"/>
  <c r="M63" i="8"/>
  <c r="P63" i="8"/>
  <c r="P62" i="8"/>
  <c r="Q62" i="8"/>
  <c r="S62" i="8"/>
  <c r="T62" i="8"/>
  <c r="I62" i="8"/>
  <c r="K62" i="8"/>
  <c r="J62" i="8"/>
  <c r="L62" i="8"/>
  <c r="M62" i="8"/>
  <c r="L61" i="8"/>
  <c r="M61" i="8"/>
  <c r="Q61" i="8"/>
  <c r="R61" i="8"/>
  <c r="T61" i="8"/>
  <c r="S61" i="8"/>
  <c r="K61" i="8"/>
  <c r="I61" i="8"/>
  <c r="J61" i="8"/>
  <c r="L60" i="8"/>
  <c r="Q60" i="8"/>
  <c r="P60" i="8"/>
  <c r="I60" i="8"/>
  <c r="R60" i="8"/>
  <c r="J60" i="8"/>
  <c r="S60" i="8"/>
  <c r="K60" i="8"/>
  <c r="M60" i="8"/>
  <c r="Q59" i="8"/>
  <c r="P59" i="8"/>
  <c r="R59" i="8"/>
  <c r="S59" i="8"/>
  <c r="T59" i="8"/>
  <c r="M59" i="8"/>
  <c r="I59" i="8"/>
  <c r="M58" i="8"/>
  <c r="P58" i="8"/>
  <c r="S58" i="8"/>
  <c r="T58" i="8"/>
  <c r="K58" i="8"/>
  <c r="J58" i="8"/>
  <c r="L58" i="8"/>
  <c r="I57" i="8"/>
  <c r="Q57" i="8"/>
  <c r="J57" i="8"/>
  <c r="K57" i="8"/>
  <c r="L57" i="8"/>
  <c r="M57" i="8"/>
  <c r="R57" i="8"/>
  <c r="S57" i="8"/>
  <c r="T57" i="8"/>
  <c r="Q56" i="8"/>
  <c r="P56" i="8"/>
  <c r="I56" i="8"/>
  <c r="R56" i="8"/>
  <c r="J56" i="8"/>
  <c r="S56" i="8"/>
  <c r="K56" i="8"/>
  <c r="T56" i="8"/>
  <c r="L56" i="8"/>
  <c r="I55" i="8"/>
  <c r="L55" i="8"/>
  <c r="M55" i="8"/>
  <c r="I54" i="8"/>
  <c r="J54" i="8"/>
  <c r="Q54" i="8"/>
  <c r="K54" i="8"/>
  <c r="M54" i="8"/>
  <c r="P54" i="8"/>
  <c r="R54" i="8"/>
  <c r="S54" i="8"/>
  <c r="T54" i="8"/>
  <c r="Q53" i="8"/>
  <c r="I53" i="8"/>
  <c r="J53" i="8"/>
  <c r="K53" i="8"/>
  <c r="L53" i="8"/>
  <c r="P53" i="8"/>
  <c r="R53" i="8"/>
  <c r="S53" i="8"/>
  <c r="T53" i="8"/>
  <c r="P52" i="8"/>
  <c r="I52" i="8"/>
  <c r="R52" i="8"/>
  <c r="J52" i="8"/>
  <c r="K52" i="8"/>
  <c r="T52" i="8"/>
  <c r="L52" i="8"/>
  <c r="M52" i="8"/>
  <c r="Q51" i="8"/>
  <c r="L51" i="8"/>
  <c r="M51" i="8"/>
  <c r="S51" i="8"/>
  <c r="R51" i="8"/>
  <c r="I51" i="8"/>
  <c r="Q50" i="8"/>
  <c r="I50" i="8"/>
  <c r="J50" i="8"/>
  <c r="K50" i="8"/>
  <c r="L50" i="8"/>
  <c r="M50" i="8"/>
  <c r="P50" i="8"/>
  <c r="S50" i="8"/>
  <c r="T50" i="8"/>
  <c r="T49" i="8"/>
  <c r="Q49" i="8"/>
  <c r="L49" i="8"/>
  <c r="J49" i="8"/>
  <c r="K49" i="8"/>
  <c r="P49" i="8"/>
  <c r="M49" i="8"/>
  <c r="R49" i="8"/>
  <c r="S49" i="8"/>
  <c r="T48" i="8"/>
  <c r="L48" i="8"/>
  <c r="M48" i="8"/>
  <c r="I48" i="8"/>
  <c r="S48" i="8"/>
  <c r="K48" i="8"/>
  <c r="J48" i="8"/>
  <c r="R47" i="8"/>
  <c r="Q47" i="8"/>
  <c r="P47" i="8"/>
  <c r="S46" i="8"/>
  <c r="I46" i="8"/>
  <c r="T46" i="8"/>
  <c r="J46" i="8"/>
  <c r="L46" i="8"/>
  <c r="K46" i="8"/>
  <c r="M46" i="8"/>
  <c r="L45" i="8"/>
  <c r="P45" i="8"/>
  <c r="M45" i="8"/>
  <c r="Q45" i="8"/>
  <c r="R45" i="8"/>
  <c r="S45" i="8"/>
  <c r="T45" i="8"/>
  <c r="I45" i="8"/>
  <c r="K45" i="8"/>
  <c r="S42" i="8"/>
  <c r="T42" i="8"/>
  <c r="L42" i="8"/>
  <c r="M42" i="8"/>
  <c r="I42" i="8"/>
  <c r="J42" i="8"/>
  <c r="K42" i="8"/>
  <c r="M41" i="8"/>
  <c r="S41" i="8"/>
  <c r="T41" i="8"/>
  <c r="Q40" i="8"/>
  <c r="P40" i="8"/>
  <c r="I40" i="8"/>
  <c r="R40" i="8"/>
  <c r="J40" i="8"/>
  <c r="S40" i="8"/>
  <c r="T40" i="8"/>
  <c r="L40" i="8"/>
  <c r="M40" i="8"/>
  <c r="Q39" i="8"/>
  <c r="L39" i="8"/>
  <c r="J39" i="8"/>
  <c r="P39" i="8"/>
  <c r="R39" i="8"/>
  <c r="S39" i="8"/>
  <c r="I39" i="8"/>
  <c r="M39" i="8"/>
  <c r="Q38" i="8"/>
  <c r="L38" i="8"/>
  <c r="M38" i="8"/>
  <c r="P38" i="8"/>
  <c r="I38" i="8"/>
  <c r="R38" i="8"/>
  <c r="T38" i="8"/>
  <c r="J38" i="8"/>
  <c r="Q37" i="8"/>
  <c r="T37" i="8"/>
  <c r="J37" i="8"/>
  <c r="L37" i="8"/>
  <c r="P37" i="8"/>
  <c r="M37" i="8"/>
  <c r="M36" i="8"/>
  <c r="I36" i="8"/>
  <c r="R36" i="8"/>
  <c r="J36" i="8"/>
  <c r="T36" i="8"/>
  <c r="L36" i="8"/>
  <c r="S36" i="8"/>
  <c r="Q35" i="8"/>
  <c r="L35" i="8"/>
  <c r="S35" i="8"/>
  <c r="I35" i="8"/>
  <c r="P35" i="8"/>
  <c r="R35" i="8"/>
  <c r="T35" i="8"/>
  <c r="J35" i="8"/>
  <c r="Q34" i="8"/>
  <c r="T34" i="8"/>
  <c r="R34" i="8"/>
  <c r="P34" i="8"/>
  <c r="Q33" i="8"/>
  <c r="I33" i="8"/>
  <c r="R33" i="8"/>
  <c r="S33" i="8"/>
  <c r="S34" i="8" s="1"/>
  <c r="J33" i="8"/>
  <c r="L33" i="8"/>
  <c r="P33" i="8"/>
  <c r="M33" i="8"/>
  <c r="T33" i="8"/>
  <c r="Q32" i="8"/>
  <c r="M32" i="8"/>
  <c r="I32" i="8"/>
  <c r="K32" i="8"/>
  <c r="J32" i="8"/>
  <c r="L32" i="8"/>
  <c r="P32" i="8"/>
  <c r="Q31" i="8"/>
  <c r="T31" i="8"/>
  <c r="I31" i="8"/>
  <c r="R31" i="8"/>
  <c r="K31" i="8"/>
  <c r="L31" i="8"/>
  <c r="M31" i="8"/>
  <c r="S31" i="8"/>
  <c r="S30" i="8"/>
  <c r="T30" i="8"/>
  <c r="M30" i="8"/>
  <c r="P30" i="8"/>
  <c r="R30" i="8"/>
  <c r="I30" i="8"/>
  <c r="J30" i="8"/>
  <c r="L30" i="8"/>
  <c r="Q29" i="8"/>
  <c r="R29" i="8"/>
  <c r="L29" i="8"/>
  <c r="S29" i="8"/>
  <c r="T29" i="8"/>
  <c r="I29" i="8"/>
  <c r="J29" i="8"/>
  <c r="P29" i="8"/>
  <c r="K29" i="8"/>
  <c r="Q28" i="8"/>
  <c r="P28" i="8"/>
  <c r="R28" i="8"/>
  <c r="J28" i="8"/>
  <c r="S28" i="8"/>
  <c r="K28" i="8"/>
  <c r="T28" i="8"/>
  <c r="L28" i="8"/>
  <c r="M28" i="8"/>
  <c r="Q27" i="8"/>
  <c r="R27" i="8"/>
  <c r="S27" i="8"/>
  <c r="I27" i="8"/>
  <c r="K27" i="8"/>
  <c r="L27" i="8"/>
  <c r="M27" i="8"/>
  <c r="T26" i="8"/>
  <c r="K26" i="8"/>
  <c r="P26" i="8"/>
  <c r="S26" i="8"/>
  <c r="J26" i="8"/>
  <c r="L26" i="8"/>
  <c r="I26" i="8"/>
  <c r="Q25" i="8"/>
  <c r="J25" i="8"/>
  <c r="K25" i="8"/>
  <c r="I25" i="8"/>
  <c r="L25" i="8"/>
  <c r="P25" i="8"/>
  <c r="M25" i="8"/>
  <c r="R25" i="8"/>
  <c r="T25" i="8"/>
  <c r="Q24" i="8"/>
  <c r="R24" i="8"/>
  <c r="P24" i="8"/>
  <c r="I24" i="8"/>
  <c r="J24" i="8"/>
  <c r="S24" i="8"/>
  <c r="K24" i="8"/>
  <c r="T24" i="8"/>
  <c r="M24" i="8"/>
  <c r="Q23" i="8"/>
  <c r="J23" i="8"/>
  <c r="P23" i="8"/>
  <c r="R23" i="8"/>
  <c r="L23" i="8"/>
  <c r="S23" i="8"/>
  <c r="T23" i="8"/>
  <c r="I23" i="8"/>
  <c r="M23" i="8"/>
  <c r="K22" i="8"/>
  <c r="L22" i="8"/>
  <c r="M22" i="8"/>
  <c r="P22" i="8"/>
  <c r="R22" i="8"/>
  <c r="S22" i="8"/>
  <c r="T22" i="8"/>
  <c r="J22" i="8"/>
  <c r="Q21" i="8"/>
  <c r="I21" i="8"/>
  <c r="J21" i="8"/>
  <c r="K21" i="8"/>
  <c r="L21" i="8"/>
  <c r="M21" i="8"/>
  <c r="R21" i="8"/>
  <c r="S21" i="8"/>
  <c r="T21" i="8"/>
  <c r="Q20" i="8"/>
  <c r="T20" i="8"/>
  <c r="L20" i="8"/>
  <c r="S20" i="8"/>
  <c r="P20" i="8"/>
  <c r="I20" i="8"/>
  <c r="J20" i="8"/>
  <c r="K20" i="8"/>
  <c r="Q19" i="8"/>
  <c r="M19" i="8"/>
  <c r="S19" i="8"/>
  <c r="I19" i="8"/>
  <c r="K19" i="8"/>
  <c r="P19" i="8"/>
  <c r="T19" i="8"/>
  <c r="J19" i="8"/>
  <c r="R19" i="8"/>
  <c r="Q18" i="8"/>
  <c r="S18" i="8"/>
  <c r="I18" i="8"/>
  <c r="R18" i="8"/>
  <c r="T18" i="8"/>
  <c r="K18" i="8"/>
  <c r="L18" i="8"/>
  <c r="M18" i="8"/>
  <c r="P18" i="8"/>
  <c r="Q17" i="8"/>
  <c r="R17" i="8"/>
  <c r="L17" i="8"/>
  <c r="K17" i="8"/>
  <c r="P17" i="8"/>
  <c r="M17" i="8"/>
  <c r="I17" i="8"/>
  <c r="J17" i="8"/>
  <c r="M16" i="8"/>
  <c r="K16" i="8"/>
  <c r="T16" i="8"/>
  <c r="P16" i="8"/>
  <c r="J16" i="8"/>
  <c r="S16" i="8"/>
  <c r="L16" i="8"/>
  <c r="R16" i="8"/>
  <c r="Q15" i="8"/>
  <c r="T15" i="8"/>
  <c r="M15" i="8"/>
  <c r="I15" i="8"/>
  <c r="J15" i="8"/>
  <c r="L15" i="8"/>
  <c r="P15" i="8"/>
  <c r="S15" i="8"/>
  <c r="R15" i="8"/>
  <c r="Q14" i="8"/>
  <c r="S14" i="8"/>
  <c r="T14" i="8"/>
  <c r="I14" i="8"/>
  <c r="K14" i="8"/>
  <c r="L14" i="8"/>
  <c r="M14" i="8"/>
  <c r="P14" i="8"/>
  <c r="Q13" i="8"/>
  <c r="R13" i="8"/>
  <c r="S13" i="8"/>
  <c r="K13" i="8"/>
  <c r="T13" i="8"/>
  <c r="J13" i="8"/>
  <c r="I13" i="8"/>
  <c r="P13" i="8"/>
  <c r="I12" i="8"/>
  <c r="R12" i="8"/>
  <c r="J12" i="8"/>
  <c r="S12" i="8"/>
  <c r="K12" i="8"/>
  <c r="T12" i="8"/>
  <c r="L12" i="8"/>
  <c r="M12" i="8"/>
  <c r="Q11" i="8"/>
  <c r="P11" i="8"/>
  <c r="R11" i="8"/>
  <c r="S11" i="8"/>
  <c r="T11" i="8"/>
  <c r="J11" i="8"/>
  <c r="K11" i="8"/>
  <c r="L11" i="8"/>
  <c r="M11" i="8"/>
  <c r="Q10" i="8"/>
  <c r="I10" i="8"/>
  <c r="J10" i="8"/>
  <c r="L10" i="8"/>
  <c r="M10" i="8"/>
  <c r="P10" i="8"/>
  <c r="R10" i="8"/>
  <c r="Q9" i="8"/>
  <c r="S9" i="8"/>
  <c r="K9" i="8"/>
  <c r="L9" i="8"/>
  <c r="P9" i="8"/>
  <c r="M9" i="8"/>
  <c r="I9" i="8"/>
  <c r="T9" i="8"/>
  <c r="Q8" i="8"/>
  <c r="I8" i="8"/>
  <c r="R8" i="8"/>
  <c r="J8" i="8"/>
  <c r="S8" i="8"/>
  <c r="K8" i="8"/>
  <c r="T8" i="8"/>
  <c r="L8" i="8"/>
  <c r="M8" i="8"/>
  <c r="I7" i="8"/>
  <c r="J7" i="8"/>
  <c r="K7" i="8"/>
  <c r="P6" i="8"/>
  <c r="T6" i="8"/>
  <c r="R6" i="8"/>
  <c r="S6" i="8"/>
  <c r="J6" i="8"/>
  <c r="K6" i="8"/>
  <c r="L6" i="8"/>
  <c r="M6" i="8"/>
  <c r="I6" i="8"/>
  <c r="AN2647" i="1"/>
  <c r="AP2646" i="1"/>
  <c r="AM2652" i="1"/>
  <c r="AM2612" i="1"/>
  <c r="AP2611" i="1"/>
  <c r="AM2014" i="1"/>
  <c r="AP2013" i="1"/>
  <c r="AL4" i="1"/>
  <c r="AK4" i="1" s="1"/>
  <c r="B11" i="8"/>
  <c r="B12" i="8" s="1"/>
  <c r="B13" i="8" s="1"/>
  <c r="B14" i="8" s="1"/>
  <c r="B15" i="8" s="1"/>
  <c r="B16" i="8" s="1"/>
  <c r="AG3" i="1"/>
  <c r="AH3" i="1"/>
  <c r="AG2" i="1"/>
  <c r="X200" i="8"/>
  <c r="Z200" i="8"/>
  <c r="AB200" i="8"/>
  <c r="X201" i="8"/>
  <c r="Z201" i="8"/>
  <c r="AB201" i="8"/>
  <c r="X202" i="8"/>
  <c r="Z202" i="8"/>
  <c r="AB202" i="8"/>
  <c r="AB3" i="8"/>
  <c r="Z3" i="8"/>
  <c r="X3" i="8"/>
  <c r="AN2648" i="1" l="1"/>
  <c r="AP2647" i="1"/>
  <c r="AM2653" i="1"/>
  <c r="AP2612" i="1"/>
  <c r="AM2613" i="1"/>
  <c r="AP2014" i="1"/>
  <c r="AM2015" i="1"/>
  <c r="B17" i="8"/>
  <c r="AN2649" i="1" l="1"/>
  <c r="AP2648" i="1"/>
  <c r="AM2654" i="1"/>
  <c r="AP2613" i="1"/>
  <c r="AM2614" i="1"/>
  <c r="AM2016" i="1"/>
  <c r="AP2015" i="1"/>
  <c r="B18" i="8"/>
  <c r="AN2650" i="1" l="1"/>
  <c r="AP2649" i="1"/>
  <c r="AM2655" i="1"/>
  <c r="AM2615" i="1"/>
  <c r="AP2614" i="1"/>
  <c r="AM2017" i="1"/>
  <c r="AP2016" i="1"/>
  <c r="B19" i="8"/>
  <c r="AN2651" i="1" l="1"/>
  <c r="AP2650" i="1"/>
  <c r="AM2656" i="1"/>
  <c r="AP2615" i="1"/>
  <c r="AM2616" i="1"/>
  <c r="AM2018" i="1"/>
  <c r="AP2017" i="1"/>
  <c r="B20" i="8"/>
  <c r="AN2652" i="1" l="1"/>
  <c r="AP2651" i="1"/>
  <c r="AM2657" i="1"/>
  <c r="AP2616" i="1"/>
  <c r="AM2617" i="1"/>
  <c r="AM2019" i="1"/>
  <c r="AP2018" i="1"/>
  <c r="B21" i="8"/>
  <c r="AN2653" i="1" l="1"/>
  <c r="AP2652" i="1"/>
  <c r="AM2658" i="1"/>
  <c r="AM2618" i="1"/>
  <c r="AP2617" i="1"/>
  <c r="AM2020" i="1"/>
  <c r="AP2019" i="1"/>
  <c r="B22" i="8"/>
  <c r="AN2654" i="1" l="1"/>
  <c r="AP2653" i="1"/>
  <c r="AM2659" i="1"/>
  <c r="AM2619" i="1"/>
  <c r="AP2618" i="1"/>
  <c r="AM2021" i="1"/>
  <c r="AP2020" i="1"/>
  <c r="B23" i="8"/>
  <c r="AN2655" i="1" l="1"/>
  <c r="AP2654" i="1"/>
  <c r="AM2660" i="1"/>
  <c r="AP2619" i="1"/>
  <c r="AM2620" i="1"/>
  <c r="AM2022" i="1"/>
  <c r="AP2021" i="1"/>
  <c r="B24" i="8"/>
  <c r="AN2656" i="1" l="1"/>
  <c r="AP2655" i="1"/>
  <c r="AM2661" i="1"/>
  <c r="AM2621" i="1"/>
  <c r="AP2620" i="1"/>
  <c r="AM2023" i="1"/>
  <c r="AP2022" i="1"/>
  <c r="B25" i="8"/>
  <c r="AN2657" i="1" l="1"/>
  <c r="AP2656" i="1"/>
  <c r="AM2662" i="1"/>
  <c r="AP2621" i="1"/>
  <c r="AM2622" i="1"/>
  <c r="AM2024" i="1"/>
  <c r="AP2023" i="1"/>
  <c r="B26" i="8"/>
  <c r="AN2658" i="1" l="1"/>
  <c r="AP2657" i="1"/>
  <c r="AM2663" i="1"/>
  <c r="AM2623" i="1"/>
  <c r="AP2622" i="1"/>
  <c r="AM2025" i="1"/>
  <c r="AP2024" i="1"/>
  <c r="B27" i="8"/>
  <c r="AN2659" i="1" l="1"/>
  <c r="AP2658" i="1"/>
  <c r="AM2664" i="1"/>
  <c r="AP2623" i="1"/>
  <c r="AM2624" i="1"/>
  <c r="AM2026" i="1"/>
  <c r="AP2025" i="1"/>
  <c r="B28" i="8"/>
  <c r="AN2660" i="1" l="1"/>
  <c r="AP2659" i="1"/>
  <c r="AM2665" i="1"/>
  <c r="AP2624" i="1"/>
  <c r="AM2625" i="1"/>
  <c r="AM2027" i="1"/>
  <c r="AP2026" i="1"/>
  <c r="B29" i="8"/>
  <c r="AN2661" i="1" l="1"/>
  <c r="AP2660" i="1"/>
  <c r="AM2666" i="1"/>
  <c r="AP2625" i="1"/>
  <c r="AM2626" i="1"/>
  <c r="AM2028" i="1"/>
  <c r="AP2027" i="1"/>
  <c r="B30" i="8"/>
  <c r="AN2662" i="1" l="1"/>
  <c r="AP2661" i="1"/>
  <c r="AM2667" i="1"/>
  <c r="AP2626" i="1"/>
  <c r="AM2627" i="1"/>
  <c r="AM2029" i="1"/>
  <c r="AP2028" i="1"/>
  <c r="B31" i="8"/>
  <c r="AN2663" i="1" l="1"/>
  <c r="AP2662" i="1"/>
  <c r="AM2668" i="1"/>
  <c r="AP2627" i="1"/>
  <c r="AM2628" i="1"/>
  <c r="AM2030" i="1"/>
  <c r="AP2029" i="1"/>
  <c r="B32" i="8"/>
  <c r="AN2664" i="1" l="1"/>
  <c r="AP2663" i="1"/>
  <c r="AM2669" i="1"/>
  <c r="AP2628" i="1"/>
  <c r="AM2629" i="1"/>
  <c r="AM2031" i="1"/>
  <c r="AP2030" i="1"/>
  <c r="B33" i="8"/>
  <c r="AN2665" i="1" l="1"/>
  <c r="AP2664" i="1"/>
  <c r="AM2670" i="1"/>
  <c r="AP2629" i="1"/>
  <c r="AM2630" i="1"/>
  <c r="AM2032" i="1"/>
  <c r="AP2031" i="1"/>
  <c r="B34" i="8"/>
  <c r="AN2666" i="1" l="1"/>
  <c r="AP2665" i="1"/>
  <c r="AM2671" i="1"/>
  <c r="AP2630" i="1"/>
  <c r="AM2631" i="1"/>
  <c r="AM2033" i="1"/>
  <c r="AP2032" i="1"/>
  <c r="B35" i="8"/>
  <c r="AN2667" i="1" l="1"/>
  <c r="AP2666" i="1"/>
  <c r="AM2672" i="1"/>
  <c r="AP2631" i="1"/>
  <c r="AM2632" i="1"/>
  <c r="AM2034" i="1"/>
  <c r="AP2033" i="1"/>
  <c r="B36" i="8"/>
  <c r="AN2668" i="1" l="1"/>
  <c r="AP2667" i="1"/>
  <c r="AM2673" i="1"/>
  <c r="AP2632" i="1"/>
  <c r="AM2633" i="1"/>
  <c r="AM2035" i="1"/>
  <c r="AP2034" i="1"/>
  <c r="B37" i="8"/>
  <c r="AN2669" i="1" l="1"/>
  <c r="AP2668" i="1"/>
  <c r="AM2674" i="1"/>
  <c r="AM2634" i="1"/>
  <c r="AP2633" i="1"/>
  <c r="AM2036" i="1"/>
  <c r="AP2035" i="1"/>
  <c r="B38" i="8"/>
  <c r="AN2670" i="1" l="1"/>
  <c r="AP2669" i="1"/>
  <c r="AM2675" i="1"/>
  <c r="AP2634" i="1"/>
  <c r="AM2635" i="1"/>
  <c r="AM2037" i="1"/>
  <c r="AP2036" i="1"/>
  <c r="B39" i="8"/>
  <c r="AN2671" i="1" l="1"/>
  <c r="AP2670" i="1"/>
  <c r="AM2676" i="1"/>
  <c r="AP2635" i="1"/>
  <c r="AM2636" i="1"/>
  <c r="AM2038" i="1"/>
  <c r="AP2037" i="1"/>
  <c r="B40" i="8"/>
  <c r="AN2672" i="1" l="1"/>
  <c r="AP2671" i="1"/>
  <c r="AM2677" i="1"/>
  <c r="AM2637" i="1"/>
  <c r="AP2636" i="1"/>
  <c r="AM2039" i="1"/>
  <c r="AP2038" i="1"/>
  <c r="B41" i="8"/>
  <c r="AN2673" i="1" l="1"/>
  <c r="AP2672" i="1"/>
  <c r="AM2678" i="1"/>
  <c r="AP2637" i="1"/>
  <c r="AM2638" i="1"/>
  <c r="AM2040" i="1"/>
  <c r="AP2039" i="1"/>
  <c r="B42" i="8"/>
  <c r="AN2674" i="1" l="1"/>
  <c r="AP2673" i="1"/>
  <c r="AM2679" i="1"/>
  <c r="AP2638" i="1"/>
  <c r="AM2041" i="1"/>
  <c r="AP2040" i="1"/>
  <c r="AN2675" i="1" l="1"/>
  <c r="AP2674" i="1"/>
  <c r="AM2680" i="1"/>
  <c r="AM2042" i="1"/>
  <c r="AP2041" i="1"/>
  <c r="B44" i="8"/>
  <c r="AN2676" i="1" l="1"/>
  <c r="AP2675" i="1"/>
  <c r="AM2681" i="1"/>
  <c r="AM2043" i="1"/>
  <c r="AP2042" i="1"/>
  <c r="B45" i="8"/>
  <c r="AN2677" i="1" l="1"/>
  <c r="AP2676" i="1"/>
  <c r="AM2682" i="1"/>
  <c r="AM2044" i="1"/>
  <c r="AP2043" i="1"/>
  <c r="B46" i="8"/>
  <c r="AN2678" i="1" l="1"/>
  <c r="AP2677" i="1"/>
  <c r="AM2683" i="1"/>
  <c r="AM2045" i="1"/>
  <c r="AP2044" i="1"/>
  <c r="B47" i="8"/>
  <c r="AN2679" i="1" l="1"/>
  <c r="AP2678" i="1"/>
  <c r="AM2684" i="1"/>
  <c r="AM2046" i="1"/>
  <c r="AP2045" i="1"/>
  <c r="B48" i="8"/>
  <c r="AN2680" i="1" l="1"/>
  <c r="AP2679" i="1"/>
  <c r="AM2685" i="1"/>
  <c r="AM2047" i="1"/>
  <c r="AP2046" i="1"/>
  <c r="B49" i="8"/>
  <c r="AN2681" i="1" l="1"/>
  <c r="AP2680" i="1"/>
  <c r="AM2686" i="1"/>
  <c r="AM2048" i="1"/>
  <c r="AP2047" i="1"/>
  <c r="B50" i="8"/>
  <c r="AN2682" i="1" l="1"/>
  <c r="AP2681" i="1"/>
  <c r="AM2687" i="1"/>
  <c r="AM2049" i="1"/>
  <c r="AP2048" i="1"/>
  <c r="B51" i="8"/>
  <c r="AN2683" i="1" l="1"/>
  <c r="AP2682" i="1"/>
  <c r="AM2688" i="1"/>
  <c r="AM2050" i="1"/>
  <c r="AP2049" i="1"/>
  <c r="B52" i="8"/>
  <c r="AN2684" i="1" l="1"/>
  <c r="AP2683" i="1"/>
  <c r="AM2689" i="1"/>
  <c r="AM2051" i="1"/>
  <c r="AP2050" i="1"/>
  <c r="B53" i="8"/>
  <c r="AN2685" i="1" l="1"/>
  <c r="AP2684" i="1"/>
  <c r="AM2690" i="1"/>
  <c r="AM2052" i="1"/>
  <c r="AP2051" i="1"/>
  <c r="B54" i="8"/>
  <c r="AN2686" i="1" l="1"/>
  <c r="AP2685" i="1"/>
  <c r="AM2691" i="1"/>
  <c r="AM2053" i="1"/>
  <c r="AP2052" i="1"/>
  <c r="B55" i="8"/>
  <c r="AN2687" i="1" l="1"/>
  <c r="AP2686" i="1"/>
  <c r="AM2692" i="1"/>
  <c r="AM2054" i="1"/>
  <c r="AP2053" i="1"/>
  <c r="B56" i="8"/>
  <c r="AN2688" i="1" l="1"/>
  <c r="AP2687" i="1"/>
  <c r="AM2693" i="1"/>
  <c r="AM2055" i="1"/>
  <c r="AP2054" i="1"/>
  <c r="B57" i="8"/>
  <c r="AN2689" i="1" l="1"/>
  <c r="AP2688" i="1"/>
  <c r="AM2694" i="1"/>
  <c r="AM2056" i="1"/>
  <c r="AP2055" i="1"/>
  <c r="B58" i="8"/>
  <c r="AN2690" i="1" l="1"/>
  <c r="AP2689" i="1"/>
  <c r="AM2695" i="1"/>
  <c r="AM2057" i="1"/>
  <c r="AP2056" i="1"/>
  <c r="B59" i="8"/>
  <c r="AN2691" i="1" l="1"/>
  <c r="AP2690" i="1"/>
  <c r="AM2696" i="1"/>
  <c r="AM2058" i="1"/>
  <c r="AP2057" i="1"/>
  <c r="B60" i="8"/>
  <c r="AN2692" i="1" l="1"/>
  <c r="AP2691" i="1"/>
  <c r="AM2697" i="1"/>
  <c r="AM2059" i="1"/>
  <c r="AP2058" i="1"/>
  <c r="B61" i="8"/>
  <c r="AN2693" i="1" l="1"/>
  <c r="AP2692" i="1"/>
  <c r="AM2698" i="1"/>
  <c r="AM2060" i="1"/>
  <c r="AP2059" i="1"/>
  <c r="B62" i="8"/>
  <c r="AN2694" i="1" l="1"/>
  <c r="AP2693" i="1"/>
  <c r="AM2699" i="1"/>
  <c r="AM2061" i="1"/>
  <c r="AP2060" i="1"/>
  <c r="B63" i="8"/>
  <c r="AN2695" i="1" l="1"/>
  <c r="AP2694" i="1"/>
  <c r="AM2700" i="1"/>
  <c r="AM2062" i="1"/>
  <c r="AP2061" i="1"/>
  <c r="B64" i="8"/>
  <c r="AN2696" i="1" l="1"/>
  <c r="AP2695" i="1"/>
  <c r="AM2701" i="1"/>
  <c r="AM2063" i="1"/>
  <c r="AP2062" i="1"/>
  <c r="B65" i="8"/>
  <c r="AN2697" i="1" l="1"/>
  <c r="AP2696" i="1"/>
  <c r="AM2702" i="1"/>
  <c r="AM2064" i="1"/>
  <c r="AP2063" i="1"/>
  <c r="B66" i="8"/>
  <c r="AN2698" i="1" l="1"/>
  <c r="AP2697" i="1"/>
  <c r="AM2703" i="1"/>
  <c r="AM2065" i="1"/>
  <c r="AP2064" i="1"/>
  <c r="B67" i="8"/>
  <c r="AN2699" i="1" l="1"/>
  <c r="AP2698" i="1"/>
  <c r="AM2704" i="1"/>
  <c r="AM2066" i="1"/>
  <c r="AP2065" i="1"/>
  <c r="B68" i="8"/>
  <c r="AN2700" i="1" l="1"/>
  <c r="AP2699" i="1"/>
  <c r="AM2705" i="1"/>
  <c r="AM2067" i="1"/>
  <c r="AP2066" i="1"/>
  <c r="B69" i="8"/>
  <c r="AN2701" i="1" l="1"/>
  <c r="AP2700" i="1"/>
  <c r="AM2706" i="1"/>
  <c r="AM2068" i="1"/>
  <c r="AP2067" i="1"/>
  <c r="B70" i="8"/>
  <c r="AN2702" i="1" l="1"/>
  <c r="AP2701" i="1"/>
  <c r="AM2707" i="1"/>
  <c r="AM2069" i="1"/>
  <c r="AP2068" i="1"/>
  <c r="B71" i="8"/>
  <c r="AN2703" i="1" l="1"/>
  <c r="AP2702" i="1"/>
  <c r="AM2708" i="1"/>
  <c r="AM2070" i="1"/>
  <c r="AP2069" i="1"/>
  <c r="B72" i="8"/>
  <c r="AN2704" i="1" l="1"/>
  <c r="AP2703" i="1"/>
  <c r="AM2709" i="1"/>
  <c r="AM2071" i="1"/>
  <c r="AP2070" i="1"/>
  <c r="B73" i="8"/>
  <c r="AN2705" i="1" l="1"/>
  <c r="AP2704" i="1"/>
  <c r="AM2710" i="1"/>
  <c r="AM2072" i="1"/>
  <c r="AP2071" i="1"/>
  <c r="B74" i="8"/>
  <c r="AN2706" i="1" l="1"/>
  <c r="AP2705" i="1"/>
  <c r="AM2711" i="1"/>
  <c r="AM2073" i="1"/>
  <c r="AP2072" i="1"/>
  <c r="B75" i="8"/>
  <c r="AN2707" i="1" l="1"/>
  <c r="AP2706" i="1"/>
  <c r="AM2712" i="1"/>
  <c r="AM2074" i="1"/>
  <c r="AP2073" i="1"/>
  <c r="B76" i="8"/>
  <c r="AN2708" i="1" l="1"/>
  <c r="AP2707" i="1"/>
  <c r="AM2713" i="1"/>
  <c r="AM2075" i="1"/>
  <c r="AP2074" i="1"/>
  <c r="B77" i="8"/>
  <c r="AN2709" i="1" l="1"/>
  <c r="AP2708" i="1"/>
  <c r="AM2714" i="1"/>
  <c r="AM2076" i="1"/>
  <c r="AP2075" i="1"/>
  <c r="B78" i="8"/>
  <c r="AN2710" i="1" l="1"/>
  <c r="AP2709" i="1"/>
  <c r="AM2715" i="1"/>
  <c r="AM2077" i="1"/>
  <c r="AP2076" i="1"/>
  <c r="AN2711" i="1" l="1"/>
  <c r="AP2710" i="1"/>
  <c r="AM2716" i="1"/>
  <c r="AM2078" i="1"/>
  <c r="AP2077" i="1"/>
  <c r="B80" i="8"/>
  <c r="AN2712" i="1" l="1"/>
  <c r="AP2711" i="1"/>
  <c r="AM2717" i="1"/>
  <c r="AM2079" i="1"/>
  <c r="AP2078" i="1"/>
  <c r="B81" i="8"/>
  <c r="AN2713" i="1" l="1"/>
  <c r="AP2712" i="1"/>
  <c r="AM2718" i="1"/>
  <c r="AM2080" i="1"/>
  <c r="AP2079" i="1"/>
  <c r="B82" i="8"/>
  <c r="AN2714" i="1" l="1"/>
  <c r="AP2713" i="1"/>
  <c r="AM2719" i="1"/>
  <c r="AM2081" i="1"/>
  <c r="AP2080" i="1"/>
  <c r="B83" i="8"/>
  <c r="AN2715" i="1" l="1"/>
  <c r="AP2714" i="1"/>
  <c r="AM2720" i="1"/>
  <c r="AM2082" i="1"/>
  <c r="AP2081" i="1"/>
  <c r="B84" i="8"/>
  <c r="AN2716" i="1" l="1"/>
  <c r="AP2715" i="1"/>
  <c r="AM2721" i="1"/>
  <c r="AM2083" i="1"/>
  <c r="AP2082" i="1"/>
  <c r="B85" i="8"/>
  <c r="AN2717" i="1" l="1"/>
  <c r="AP2716" i="1"/>
  <c r="AM2722" i="1"/>
  <c r="AM2084" i="1"/>
  <c r="AP2083" i="1"/>
  <c r="B86" i="8"/>
  <c r="AN2718" i="1" l="1"/>
  <c r="AP2717" i="1"/>
  <c r="AM2723" i="1"/>
  <c r="AM2085" i="1"/>
  <c r="AP2084" i="1"/>
  <c r="B87" i="8"/>
  <c r="AN2719" i="1" l="1"/>
  <c r="AP2718" i="1"/>
  <c r="AM2724" i="1"/>
  <c r="AM2086" i="1"/>
  <c r="AP2085" i="1"/>
  <c r="B88" i="8"/>
  <c r="AN2720" i="1" l="1"/>
  <c r="AP2719" i="1"/>
  <c r="AM2725" i="1"/>
  <c r="AM2087" i="1"/>
  <c r="AP2086" i="1"/>
  <c r="B89" i="8"/>
  <c r="AN2721" i="1" l="1"/>
  <c r="AP2720" i="1"/>
  <c r="AM2726" i="1"/>
  <c r="AM2088" i="1"/>
  <c r="AP2087" i="1"/>
  <c r="B90" i="8"/>
  <c r="AN2722" i="1" l="1"/>
  <c r="AP2721" i="1"/>
  <c r="AM2727" i="1"/>
  <c r="AM2089" i="1"/>
  <c r="AP2088" i="1"/>
  <c r="B91" i="8"/>
  <c r="AN2723" i="1" l="1"/>
  <c r="AP2722" i="1"/>
  <c r="AM2728" i="1"/>
  <c r="AM2090" i="1"/>
  <c r="AP2089" i="1"/>
  <c r="B92" i="8"/>
  <c r="AN2724" i="1" l="1"/>
  <c r="AP2723" i="1"/>
  <c r="AM2729" i="1"/>
  <c r="AM2091" i="1"/>
  <c r="AP2090" i="1"/>
  <c r="B93" i="8"/>
  <c r="AN2725" i="1" l="1"/>
  <c r="AP2724" i="1"/>
  <c r="AM2730" i="1"/>
  <c r="AM2092" i="1"/>
  <c r="AP2091" i="1"/>
  <c r="B94" i="8"/>
  <c r="AN2726" i="1" l="1"/>
  <c r="AP2725" i="1"/>
  <c r="AM2731" i="1"/>
  <c r="AM2093" i="1"/>
  <c r="AP2092" i="1"/>
  <c r="B95" i="8"/>
  <c r="AN2727" i="1" l="1"/>
  <c r="AP2726" i="1"/>
  <c r="AM2732" i="1"/>
  <c r="AM2094" i="1"/>
  <c r="AP2093" i="1"/>
  <c r="B96" i="8"/>
  <c r="AN2728" i="1" l="1"/>
  <c r="AP2727" i="1"/>
  <c r="AM2733" i="1"/>
  <c r="AM2095" i="1"/>
  <c r="AP2094" i="1"/>
  <c r="B97" i="8"/>
  <c r="AN2729" i="1" l="1"/>
  <c r="AP2728" i="1"/>
  <c r="AM2734" i="1"/>
  <c r="AM2096" i="1"/>
  <c r="AP2095" i="1"/>
  <c r="B98" i="8"/>
  <c r="AN2730" i="1" l="1"/>
  <c r="AP2729" i="1"/>
  <c r="AM2735" i="1"/>
  <c r="AM2097" i="1"/>
  <c r="AP2096" i="1"/>
  <c r="B99" i="8"/>
  <c r="AN2731" i="1" l="1"/>
  <c r="AP2730" i="1"/>
  <c r="AM2736" i="1"/>
  <c r="AM2098" i="1"/>
  <c r="AP2097" i="1"/>
  <c r="B100" i="8"/>
  <c r="AN2732" i="1" l="1"/>
  <c r="AP2731" i="1"/>
  <c r="AM2737" i="1"/>
  <c r="AM2099" i="1"/>
  <c r="AP2098" i="1"/>
  <c r="B101" i="8"/>
  <c r="AN2733" i="1" l="1"/>
  <c r="AP2732" i="1"/>
  <c r="AM2738" i="1"/>
  <c r="AM2100" i="1"/>
  <c r="AP2099" i="1"/>
  <c r="B102" i="8"/>
  <c r="AN2734" i="1" l="1"/>
  <c r="AP2733" i="1"/>
  <c r="AM2739" i="1"/>
  <c r="AM2101" i="1"/>
  <c r="AP2100" i="1"/>
  <c r="B103" i="8"/>
  <c r="AN2735" i="1" l="1"/>
  <c r="AP2734" i="1"/>
  <c r="AM2740" i="1"/>
  <c r="AM2102" i="1"/>
  <c r="AP2101" i="1"/>
  <c r="B104" i="8"/>
  <c r="AN2736" i="1" l="1"/>
  <c r="AP2735" i="1"/>
  <c r="AM2741" i="1"/>
  <c r="AM2103" i="1"/>
  <c r="AP2102" i="1"/>
  <c r="B105" i="8"/>
  <c r="AN2737" i="1" l="1"/>
  <c r="AP2736" i="1"/>
  <c r="AM2742" i="1"/>
  <c r="AM2104" i="1"/>
  <c r="AP2103" i="1"/>
  <c r="B106" i="8"/>
  <c r="AN2738" i="1" l="1"/>
  <c r="AP2737" i="1"/>
  <c r="AM2743" i="1"/>
  <c r="AM2105" i="1"/>
  <c r="AP2104" i="1"/>
  <c r="B107" i="8"/>
  <c r="AN2739" i="1" l="1"/>
  <c r="AP2738" i="1"/>
  <c r="AM2744" i="1"/>
  <c r="AM2106" i="1"/>
  <c r="AP2105" i="1"/>
  <c r="B108" i="8"/>
  <c r="AN2740" i="1" l="1"/>
  <c r="AP2739" i="1"/>
  <c r="AM2745" i="1"/>
  <c r="AM2107" i="1"/>
  <c r="AP2106" i="1"/>
  <c r="B109" i="8"/>
  <c r="AN2741" i="1" l="1"/>
  <c r="AP2740" i="1"/>
  <c r="AM2746" i="1"/>
  <c r="AM2108" i="1"/>
  <c r="AP2107" i="1"/>
  <c r="B110" i="8"/>
  <c r="AN2742" i="1" l="1"/>
  <c r="AP2741" i="1"/>
  <c r="AM2747" i="1"/>
  <c r="AM2109" i="1"/>
  <c r="AP2108" i="1"/>
  <c r="B111" i="8"/>
  <c r="AN2743" i="1" l="1"/>
  <c r="AP2742" i="1"/>
  <c r="AM2748" i="1"/>
  <c r="AM2110" i="1"/>
  <c r="AP2109" i="1"/>
  <c r="B112" i="8"/>
  <c r="AN2744" i="1" l="1"/>
  <c r="AP2743" i="1"/>
  <c r="AM2749" i="1"/>
  <c r="AM2111" i="1"/>
  <c r="AP2110" i="1"/>
  <c r="B113" i="8"/>
  <c r="AN2745" i="1" l="1"/>
  <c r="AP2744" i="1"/>
  <c r="AM2750" i="1"/>
  <c r="AM2112" i="1"/>
  <c r="AP2111" i="1"/>
  <c r="B114" i="8"/>
  <c r="AN2746" i="1" l="1"/>
  <c r="AP2745" i="1"/>
  <c r="AM2751" i="1"/>
  <c r="AM2113" i="1"/>
  <c r="AP2112" i="1"/>
  <c r="B115" i="8"/>
  <c r="AN2747" i="1" l="1"/>
  <c r="AP2746" i="1"/>
  <c r="AM2752" i="1"/>
  <c r="AM2114" i="1"/>
  <c r="AP2113" i="1"/>
  <c r="B116" i="8"/>
  <c r="AN2748" i="1" l="1"/>
  <c r="AP2747" i="1"/>
  <c r="AM2753" i="1"/>
  <c r="AM2115" i="1"/>
  <c r="AP2114" i="1"/>
  <c r="B117" i="8"/>
  <c r="AN2749" i="1" l="1"/>
  <c r="AP2748" i="1"/>
  <c r="AM2754" i="1"/>
  <c r="AM2116" i="1"/>
  <c r="AP2115" i="1"/>
  <c r="B118" i="8"/>
  <c r="AN2750" i="1" l="1"/>
  <c r="AP2749" i="1"/>
  <c r="AM2755" i="1"/>
  <c r="AM2117" i="1"/>
  <c r="AP2116" i="1"/>
  <c r="B119" i="8"/>
  <c r="AN2751" i="1" l="1"/>
  <c r="AP2750" i="1"/>
  <c r="AM2756" i="1"/>
  <c r="AM2118" i="1"/>
  <c r="AP2117" i="1"/>
  <c r="B120" i="8"/>
  <c r="AN2752" i="1" l="1"/>
  <c r="AP2751" i="1"/>
  <c r="AM2757" i="1"/>
  <c r="AM2119" i="1"/>
  <c r="AP2118" i="1"/>
  <c r="B121" i="8"/>
  <c r="AN2753" i="1" l="1"/>
  <c r="AP2752" i="1"/>
  <c r="AM2758" i="1"/>
  <c r="AM2120" i="1"/>
  <c r="AP2119" i="1"/>
  <c r="B122" i="8"/>
  <c r="AN2754" i="1" l="1"/>
  <c r="AP2753" i="1"/>
  <c r="AM2759" i="1"/>
  <c r="AM2121" i="1"/>
  <c r="AP2120" i="1"/>
  <c r="B123" i="8"/>
  <c r="AN2755" i="1" l="1"/>
  <c r="AP2754" i="1"/>
  <c r="AM2760" i="1"/>
  <c r="AM2122" i="1"/>
  <c r="AP2121" i="1"/>
  <c r="B124" i="8"/>
  <c r="AN2756" i="1" l="1"/>
  <c r="AP2755" i="1"/>
  <c r="AM2761" i="1"/>
  <c r="AM2123" i="1"/>
  <c r="AP2122" i="1"/>
  <c r="B125" i="8"/>
  <c r="AN2757" i="1" l="1"/>
  <c r="AP2756" i="1"/>
  <c r="AM2762" i="1"/>
  <c r="AM2124" i="1"/>
  <c r="AP2123" i="1"/>
  <c r="B126" i="8"/>
  <c r="AN2758" i="1" l="1"/>
  <c r="AP2757" i="1"/>
  <c r="AM2763" i="1"/>
  <c r="AM2125" i="1"/>
  <c r="AP2124" i="1"/>
  <c r="B127" i="8"/>
  <c r="AN2759" i="1" l="1"/>
  <c r="AP2758" i="1"/>
  <c r="AM2764" i="1"/>
  <c r="AM2126" i="1"/>
  <c r="AP2125" i="1"/>
  <c r="B128" i="8"/>
  <c r="AN2760" i="1" l="1"/>
  <c r="AP2759" i="1"/>
  <c r="AM2765" i="1"/>
  <c r="AM2127" i="1"/>
  <c r="AP2126" i="1"/>
  <c r="B129" i="8"/>
  <c r="AN2761" i="1" l="1"/>
  <c r="AP2760" i="1"/>
  <c r="AM2766" i="1"/>
  <c r="AM2128" i="1"/>
  <c r="AP2127" i="1"/>
  <c r="B130" i="8"/>
  <c r="AN2762" i="1" l="1"/>
  <c r="AP2761" i="1"/>
  <c r="AM2767" i="1"/>
  <c r="AM2129" i="1"/>
  <c r="AP2128" i="1"/>
  <c r="B131" i="8"/>
  <c r="AN2763" i="1" l="1"/>
  <c r="AP2762" i="1"/>
  <c r="AM2768" i="1"/>
  <c r="AM2130" i="1"/>
  <c r="AP2129" i="1"/>
  <c r="B132" i="8"/>
  <c r="AN2764" i="1" l="1"/>
  <c r="AP2763" i="1"/>
  <c r="AM2769" i="1"/>
  <c r="AM2131" i="1"/>
  <c r="AP2130" i="1"/>
  <c r="B133" i="8"/>
  <c r="AN2765" i="1" l="1"/>
  <c r="AP2764" i="1"/>
  <c r="AM2770" i="1"/>
  <c r="AM2132" i="1"/>
  <c r="AP2131" i="1"/>
  <c r="B134" i="8"/>
  <c r="AN2766" i="1" l="1"/>
  <c r="AP2765" i="1"/>
  <c r="AM2771" i="1"/>
  <c r="AM2133" i="1"/>
  <c r="AP2132" i="1"/>
  <c r="B135" i="8"/>
  <c r="AN2767" i="1" l="1"/>
  <c r="AP2766" i="1"/>
  <c r="AM2772" i="1"/>
  <c r="AM2134" i="1"/>
  <c r="AP2133" i="1"/>
  <c r="B136" i="8"/>
  <c r="AN2768" i="1" l="1"/>
  <c r="AP2767" i="1"/>
  <c r="AM2773" i="1"/>
  <c r="AM2135" i="1"/>
  <c r="AP2134" i="1"/>
  <c r="B137" i="8"/>
  <c r="AN2769" i="1" l="1"/>
  <c r="AP2768" i="1"/>
  <c r="AM2774" i="1"/>
  <c r="AM2136" i="1"/>
  <c r="AP2135" i="1"/>
  <c r="B138" i="8"/>
  <c r="AN2770" i="1" l="1"/>
  <c r="AP2769" i="1"/>
  <c r="AM2775" i="1"/>
  <c r="AM2137" i="1"/>
  <c r="AP2136" i="1"/>
  <c r="B139" i="8"/>
  <c r="AN2771" i="1" l="1"/>
  <c r="AP2770" i="1"/>
  <c r="AM2776" i="1"/>
  <c r="AM2138" i="1"/>
  <c r="AP2137" i="1"/>
  <c r="B140" i="8"/>
  <c r="AN2772" i="1" l="1"/>
  <c r="AP2771" i="1"/>
  <c r="AM2777" i="1"/>
  <c r="AM2139" i="1"/>
  <c r="AP2138" i="1"/>
  <c r="B141" i="8"/>
  <c r="AN2773" i="1" l="1"/>
  <c r="AP2772" i="1"/>
  <c r="AM2778" i="1"/>
  <c r="AM2140" i="1"/>
  <c r="AP2139" i="1"/>
  <c r="B142" i="8"/>
  <c r="AN2774" i="1" l="1"/>
  <c r="AP2773" i="1"/>
  <c r="AM2779" i="1"/>
  <c r="AM2141" i="1"/>
  <c r="AP2140" i="1"/>
  <c r="B143" i="8"/>
  <c r="AN2775" i="1" l="1"/>
  <c r="AP2774" i="1"/>
  <c r="AM2780" i="1"/>
  <c r="AM2142" i="1"/>
  <c r="AP2141" i="1"/>
  <c r="B144" i="8"/>
  <c r="AN2776" i="1" l="1"/>
  <c r="AP2775" i="1"/>
  <c r="AM2781" i="1"/>
  <c r="AM2143" i="1"/>
  <c r="AP2142" i="1"/>
  <c r="B145" i="8"/>
  <c r="AN2777" i="1" l="1"/>
  <c r="AP2776" i="1"/>
  <c r="AM2782" i="1"/>
  <c r="AM2144" i="1"/>
  <c r="AP2143" i="1"/>
  <c r="B146" i="8"/>
  <c r="AN2778" i="1" l="1"/>
  <c r="AP2777" i="1"/>
  <c r="AM2783" i="1"/>
  <c r="AM2145" i="1"/>
  <c r="AP2144" i="1"/>
  <c r="B147" i="8"/>
  <c r="AN2779" i="1" l="1"/>
  <c r="AP2778" i="1"/>
  <c r="AM2784" i="1"/>
  <c r="AM2146" i="1"/>
  <c r="AP2145" i="1"/>
  <c r="B148" i="8"/>
  <c r="AN2780" i="1" l="1"/>
  <c r="AP2779" i="1"/>
  <c r="AM2785" i="1"/>
  <c r="AM2147" i="1"/>
  <c r="AP2146" i="1"/>
  <c r="B149" i="8"/>
  <c r="AN2781" i="1" l="1"/>
  <c r="AP2780" i="1"/>
  <c r="AM2786" i="1"/>
  <c r="AM2148" i="1"/>
  <c r="AP2147" i="1"/>
  <c r="B150" i="8"/>
  <c r="AN2782" i="1" l="1"/>
  <c r="AP2781" i="1"/>
  <c r="AM2787" i="1"/>
  <c r="AM2149" i="1"/>
  <c r="AP2148" i="1"/>
  <c r="B151" i="8"/>
  <c r="AN2783" i="1" l="1"/>
  <c r="AP2782" i="1"/>
  <c r="AM2788" i="1"/>
  <c r="AM2150" i="1"/>
  <c r="AP2149" i="1"/>
  <c r="B152" i="8"/>
  <c r="AN2784" i="1" l="1"/>
  <c r="AP2783" i="1"/>
  <c r="AM2789" i="1"/>
  <c r="AM2151" i="1"/>
  <c r="AP2150" i="1"/>
  <c r="B153" i="8"/>
  <c r="AN2785" i="1" l="1"/>
  <c r="AP2784" i="1"/>
  <c r="AM2790" i="1"/>
  <c r="AM2152" i="1"/>
  <c r="AP2151" i="1"/>
  <c r="B154" i="8"/>
  <c r="AN2786" i="1" l="1"/>
  <c r="AP2785" i="1"/>
  <c r="AM2791" i="1"/>
  <c r="AM2153" i="1"/>
  <c r="AP2152" i="1"/>
  <c r="B155" i="8"/>
  <c r="AN2787" i="1" l="1"/>
  <c r="AP2786" i="1"/>
  <c r="AM2792" i="1"/>
  <c r="AM2154" i="1"/>
  <c r="AP2153" i="1"/>
  <c r="B156" i="8"/>
  <c r="AN2788" i="1" l="1"/>
  <c r="AP2787" i="1"/>
  <c r="AM2793" i="1"/>
  <c r="AM2155" i="1"/>
  <c r="AP2154" i="1"/>
  <c r="B157" i="8"/>
  <c r="AN2789" i="1" l="1"/>
  <c r="AP2788" i="1"/>
  <c r="AM2794" i="1"/>
  <c r="AM2156" i="1"/>
  <c r="AP2155" i="1"/>
  <c r="B158" i="8"/>
  <c r="AN2790" i="1" l="1"/>
  <c r="AP2789" i="1"/>
  <c r="AM2795" i="1"/>
  <c r="AM2157" i="1"/>
  <c r="AP2156" i="1"/>
  <c r="B159" i="8"/>
  <c r="AN2791" i="1" l="1"/>
  <c r="AP2790" i="1"/>
  <c r="AM2796" i="1"/>
  <c r="AM2158" i="1"/>
  <c r="AP2157" i="1"/>
  <c r="B160" i="8"/>
  <c r="AN2792" i="1" l="1"/>
  <c r="AP2791" i="1"/>
  <c r="AM2797" i="1"/>
  <c r="AM2159" i="1"/>
  <c r="AP2158" i="1"/>
  <c r="B161" i="8"/>
  <c r="AN2793" i="1" l="1"/>
  <c r="AP2792" i="1"/>
  <c r="AM2798" i="1"/>
  <c r="AM2160" i="1"/>
  <c r="AP2159" i="1"/>
  <c r="B162" i="8"/>
  <c r="AN2794" i="1" l="1"/>
  <c r="AP2793" i="1"/>
  <c r="AM2799" i="1"/>
  <c r="AM2161" i="1"/>
  <c r="AP2160" i="1"/>
  <c r="B163" i="8"/>
  <c r="AN2795" i="1" l="1"/>
  <c r="AP2794" i="1"/>
  <c r="AM2800" i="1"/>
  <c r="AM2162" i="1"/>
  <c r="AP2161" i="1"/>
  <c r="B164" i="8"/>
  <c r="AN2796" i="1" l="1"/>
  <c r="AP2795" i="1"/>
  <c r="AM2801" i="1"/>
  <c r="AM2163" i="1"/>
  <c r="AP2162" i="1"/>
  <c r="B165" i="8"/>
  <c r="AN2797" i="1" l="1"/>
  <c r="AP2796" i="1"/>
  <c r="AM2802" i="1"/>
  <c r="AM2164" i="1"/>
  <c r="AP2163" i="1"/>
  <c r="B166" i="8"/>
  <c r="AN2798" i="1" l="1"/>
  <c r="AP2797" i="1"/>
  <c r="AM2803" i="1"/>
  <c r="AM2165" i="1"/>
  <c r="AP2164" i="1"/>
  <c r="B167" i="8"/>
  <c r="AN2799" i="1" l="1"/>
  <c r="AP2798" i="1"/>
  <c r="AM2804" i="1"/>
  <c r="AM2166" i="1"/>
  <c r="AP2165" i="1"/>
  <c r="B168" i="8"/>
  <c r="AN2800" i="1" l="1"/>
  <c r="AP2799" i="1"/>
  <c r="AM2805" i="1"/>
  <c r="AM2167" i="1"/>
  <c r="AP2166" i="1"/>
  <c r="B169" i="8"/>
  <c r="AN2801" i="1" l="1"/>
  <c r="AP2800" i="1"/>
  <c r="AM2806" i="1"/>
  <c r="AM2168" i="1"/>
  <c r="AP2167" i="1"/>
  <c r="B170" i="8"/>
  <c r="AN2802" i="1" l="1"/>
  <c r="AP2801" i="1"/>
  <c r="AM2807" i="1"/>
  <c r="AM2169" i="1"/>
  <c r="AP2168" i="1"/>
  <c r="B171" i="8"/>
  <c r="AN2803" i="1" l="1"/>
  <c r="AP2802" i="1"/>
  <c r="AM2808" i="1"/>
  <c r="AM2170" i="1"/>
  <c r="AP2169" i="1"/>
  <c r="B172" i="8"/>
  <c r="AN2804" i="1" l="1"/>
  <c r="AP2803" i="1"/>
  <c r="AM2809" i="1"/>
  <c r="AM2171" i="1"/>
  <c r="AP2170" i="1"/>
  <c r="B173" i="8"/>
  <c r="AN2805" i="1" l="1"/>
  <c r="AP2804" i="1"/>
  <c r="AM2810" i="1"/>
  <c r="AM2172" i="1"/>
  <c r="AP2171" i="1"/>
  <c r="B174" i="8"/>
  <c r="AN2806" i="1" l="1"/>
  <c r="AP2805" i="1"/>
  <c r="AM2811" i="1"/>
  <c r="AM2173" i="1"/>
  <c r="AP2172" i="1"/>
  <c r="B175" i="8"/>
  <c r="AN2807" i="1" l="1"/>
  <c r="AP2806" i="1"/>
  <c r="AM2812" i="1"/>
  <c r="AM2174" i="1"/>
  <c r="AP2173" i="1"/>
  <c r="B176" i="8"/>
  <c r="AN2808" i="1" l="1"/>
  <c r="AP2807" i="1"/>
  <c r="AM2813" i="1"/>
  <c r="AM2175" i="1"/>
  <c r="AP2174" i="1"/>
  <c r="B177" i="8"/>
  <c r="AN2809" i="1" l="1"/>
  <c r="AP2808" i="1"/>
  <c r="AM2814" i="1"/>
  <c r="AM2176" i="1"/>
  <c r="AP2175" i="1"/>
  <c r="B178" i="8"/>
  <c r="AN2810" i="1" l="1"/>
  <c r="AP2809" i="1"/>
  <c r="AM2815" i="1"/>
  <c r="AM2177" i="1"/>
  <c r="AP2176" i="1"/>
  <c r="B179" i="8"/>
  <c r="AN2811" i="1" l="1"/>
  <c r="AP2810" i="1"/>
  <c r="AM2816" i="1"/>
  <c r="AM2178" i="1"/>
  <c r="AP2177" i="1"/>
  <c r="B180" i="8"/>
  <c r="AN2812" i="1" l="1"/>
  <c r="AP2811" i="1"/>
  <c r="AM2817" i="1"/>
  <c r="AM2179" i="1"/>
  <c r="AP2178" i="1"/>
  <c r="B181" i="8"/>
  <c r="AN2813" i="1" l="1"/>
  <c r="AP2812" i="1"/>
  <c r="AM2818" i="1"/>
  <c r="AM2180" i="1"/>
  <c r="AP2179" i="1"/>
  <c r="B182" i="8"/>
  <c r="AN2814" i="1" l="1"/>
  <c r="AP2813" i="1"/>
  <c r="AM2819" i="1"/>
  <c r="AM2181" i="1"/>
  <c r="AP2180" i="1"/>
  <c r="B183" i="8"/>
  <c r="AN2815" i="1" l="1"/>
  <c r="AP2814" i="1"/>
  <c r="AM2820" i="1"/>
  <c r="AM2182" i="1"/>
  <c r="AP2181" i="1"/>
  <c r="B184" i="8"/>
  <c r="AN2816" i="1" l="1"/>
  <c r="AP2815" i="1"/>
  <c r="AM2821" i="1"/>
  <c r="AM2183" i="1"/>
  <c r="AP2182" i="1"/>
  <c r="B185" i="8"/>
  <c r="AN2817" i="1" l="1"/>
  <c r="AP2816" i="1"/>
  <c r="AM2822" i="1"/>
  <c r="AM2184" i="1"/>
  <c r="AP2183" i="1"/>
  <c r="B186" i="8"/>
  <c r="AN2818" i="1" l="1"/>
  <c r="AP2817" i="1"/>
  <c r="AM2823" i="1"/>
  <c r="AM2185" i="1"/>
  <c r="AP2184" i="1"/>
  <c r="B187" i="8"/>
  <c r="AN2819" i="1" l="1"/>
  <c r="AP2818" i="1"/>
  <c r="AM2824" i="1"/>
  <c r="AM2186" i="1"/>
  <c r="AP2185" i="1"/>
  <c r="B188" i="8"/>
  <c r="AN2820" i="1" l="1"/>
  <c r="AP2819" i="1"/>
  <c r="AM2825" i="1"/>
  <c r="AM2187" i="1"/>
  <c r="AP2186" i="1"/>
  <c r="B189" i="8"/>
  <c r="AN2821" i="1" l="1"/>
  <c r="AP2820" i="1"/>
  <c r="AM2826" i="1"/>
  <c r="AM2188" i="1"/>
  <c r="AP2187" i="1"/>
  <c r="B190" i="8"/>
  <c r="AN2822" i="1" l="1"/>
  <c r="AP2821" i="1"/>
  <c r="AM2827" i="1"/>
  <c r="AM2189" i="1"/>
  <c r="AP2188" i="1"/>
  <c r="B191" i="8"/>
  <c r="AN2823" i="1" l="1"/>
  <c r="AP2822" i="1"/>
  <c r="AM2828" i="1"/>
  <c r="AM2190" i="1"/>
  <c r="AP2189" i="1"/>
  <c r="B192" i="8"/>
  <c r="AN2824" i="1" l="1"/>
  <c r="AP2823" i="1"/>
  <c r="AM2829" i="1"/>
  <c r="AM2191" i="1"/>
  <c r="AP2190" i="1"/>
  <c r="B193" i="8"/>
  <c r="AN2825" i="1" l="1"/>
  <c r="AP2824" i="1"/>
  <c r="AM2830" i="1"/>
  <c r="AM2192" i="1"/>
  <c r="AP2191" i="1"/>
  <c r="B194" i="8"/>
  <c r="AN2826" i="1" l="1"/>
  <c r="AP2825" i="1"/>
  <c r="AM2831" i="1"/>
  <c r="AM2193" i="1"/>
  <c r="AP2192" i="1"/>
  <c r="B195" i="8"/>
  <c r="AN2827" i="1" l="1"/>
  <c r="AP2826" i="1"/>
  <c r="AM2832" i="1"/>
  <c r="AM2194" i="1"/>
  <c r="AP2193" i="1"/>
  <c r="B196" i="8"/>
  <c r="AN2828" i="1" l="1"/>
  <c r="AP2827" i="1"/>
  <c r="AM2833" i="1"/>
  <c r="AM2195" i="1"/>
  <c r="AP2194" i="1"/>
  <c r="B197" i="8"/>
  <c r="AN2829" i="1" l="1"/>
  <c r="AP2828" i="1"/>
  <c r="AM2834" i="1"/>
  <c r="AM2196" i="1"/>
  <c r="AP2195" i="1"/>
  <c r="B198" i="8"/>
  <c r="AN2830" i="1" l="1"/>
  <c r="AP2829" i="1"/>
  <c r="AM2835" i="1"/>
  <c r="AM2197" i="1"/>
  <c r="AP2196" i="1"/>
  <c r="B199" i="8"/>
  <c r="AN2831" i="1" l="1"/>
  <c r="AP2830" i="1"/>
  <c r="AM2836" i="1"/>
  <c r="AM2198" i="1"/>
  <c r="AP2197" i="1"/>
  <c r="AN2832" i="1" l="1"/>
  <c r="AP2831" i="1"/>
  <c r="AM2837" i="1"/>
  <c r="AM2199" i="1"/>
  <c r="AP2198" i="1"/>
  <c r="V3" i="8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AY4" i="1"/>
  <c r="AX4" i="1" s="1"/>
  <c r="AZ4" i="1"/>
  <c r="AZ5" i="1"/>
  <c r="N3" i="1"/>
  <c r="N4" i="1" s="1"/>
  <c r="N5" i="1" s="1"/>
  <c r="O2" i="1"/>
  <c r="P2" i="1"/>
  <c r="O3" i="1"/>
  <c r="O4" i="1" s="1"/>
  <c r="O5" i="1" s="1"/>
  <c r="P3" i="1"/>
  <c r="P4" i="1" s="1"/>
  <c r="P5" i="1" s="1"/>
  <c r="H3" i="1"/>
  <c r="H4" i="1" s="1"/>
  <c r="H5" i="1" s="1"/>
  <c r="H6" i="1" s="1"/>
  <c r="H7" i="1" s="1"/>
  <c r="H8" i="1" s="1"/>
  <c r="H9" i="1" s="1"/>
  <c r="H10" i="1" s="1"/>
  <c r="H11" i="1" s="1"/>
  <c r="AE3" i="8"/>
  <c r="AN3" i="1"/>
  <c r="AN4" i="1" s="1"/>
  <c r="AN5" i="1" s="1"/>
  <c r="AO3" i="1"/>
  <c r="AO4" i="1" s="1"/>
  <c r="AO5" i="1" s="1"/>
  <c r="AM2" i="1"/>
  <c r="AV2" i="8" s="1"/>
  <c r="AF2" i="8"/>
  <c r="AE2" i="8"/>
  <c r="AD2" i="8"/>
  <c r="AU3" i="8"/>
  <c r="AT3" i="8"/>
  <c r="BC2" i="1"/>
  <c r="BD2" i="1" s="1"/>
  <c r="AZ3" i="1"/>
  <c r="AY3" i="1"/>
  <c r="AX3" i="1" s="1"/>
  <c r="AG2" i="8"/>
  <c r="B3" i="8"/>
  <c r="AN2833" i="1" l="1"/>
  <c r="AP2832" i="1"/>
  <c r="AM2838" i="1"/>
  <c r="AM2200" i="1"/>
  <c r="AP2199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AM4" i="1"/>
  <c r="AP3" i="1"/>
  <c r="AT5" i="1"/>
  <c r="AG4" i="1"/>
  <c r="AH4" i="1"/>
  <c r="AD3" i="8"/>
  <c r="BA5" i="1"/>
  <c r="AF3" i="8"/>
  <c r="BA4" i="1"/>
  <c r="AT4" i="1"/>
  <c r="BA3" i="1"/>
  <c r="AW2" i="8"/>
  <c r="AX2" i="8" s="1"/>
  <c r="AV3" i="8"/>
  <c r="V109" i="8" l="1"/>
  <c r="O109" i="8"/>
  <c r="AN2834" i="1"/>
  <c r="AP2833" i="1"/>
  <c r="AM2839" i="1"/>
  <c r="AM2201" i="1"/>
  <c r="AP2200" i="1"/>
  <c r="H49" i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AM5" i="1"/>
  <c r="AP4" i="1"/>
  <c r="AG5" i="1"/>
  <c r="AH5" i="1"/>
  <c r="AW3" i="8"/>
  <c r="AX3" i="8" s="1"/>
  <c r="AJ3" i="8"/>
  <c r="AK3" i="8"/>
  <c r="AK2" i="8"/>
  <c r="AJ2" i="8"/>
  <c r="AL3" i="8"/>
  <c r="AM3" i="8"/>
  <c r="AM2" i="8"/>
  <c r="AL2" i="8"/>
  <c r="AG3" i="8"/>
  <c r="AH3" i="8"/>
  <c r="AH2" i="8"/>
  <c r="AT3" i="1"/>
  <c r="V110" i="8" l="1"/>
  <c r="O110" i="8"/>
  <c r="AN2835" i="1"/>
  <c r="AP2834" i="1"/>
  <c r="AM2840" i="1"/>
  <c r="AM2202" i="1"/>
  <c r="AP2201" i="1"/>
  <c r="AP5" i="1"/>
  <c r="H96" i="1"/>
  <c r="AN2" i="8"/>
  <c r="AP2" i="8" s="1"/>
  <c r="AN3" i="8"/>
  <c r="AP3" i="8" s="1"/>
  <c r="AI2" i="8"/>
  <c r="AY2" i="8" s="1"/>
  <c r="W3" i="8"/>
  <c r="AI3" i="8"/>
  <c r="AY3" i="8" s="1"/>
  <c r="AS2" i="8"/>
  <c r="AO2" i="8"/>
  <c r="AQ2" i="8" s="1"/>
  <c r="AO3" i="8"/>
  <c r="AQ3" i="8" s="1"/>
  <c r="V111" i="8" l="1"/>
  <c r="O111" i="8"/>
  <c r="AN2836" i="1"/>
  <c r="AP2835" i="1"/>
  <c r="AM2841" i="1"/>
  <c r="AM2203" i="1"/>
  <c r="AP2202" i="1"/>
  <c r="AR2" i="8"/>
  <c r="H97" i="1"/>
  <c r="L3" i="4"/>
  <c r="Q3" i="4"/>
  <c r="R2" i="4"/>
  <c r="Q2" i="4"/>
  <c r="L2" i="4"/>
  <c r="V112" i="8" l="1"/>
  <c r="O112" i="8"/>
  <c r="AN2837" i="1"/>
  <c r="AP2836" i="1"/>
  <c r="AM2842" i="1"/>
  <c r="AM2204" i="1"/>
  <c r="AP2203" i="1"/>
  <c r="H98" i="1"/>
  <c r="V113" i="8" l="1"/>
  <c r="O113" i="8"/>
  <c r="AN2838" i="1"/>
  <c r="AP2837" i="1"/>
  <c r="AM2843" i="1"/>
  <c r="AM2205" i="1"/>
  <c r="AP2204" i="1"/>
  <c r="H99" i="1"/>
  <c r="H100" i="1" s="1"/>
  <c r="V114" i="8" l="1"/>
  <c r="O114" i="8"/>
  <c r="AN2839" i="1"/>
  <c r="AP2838" i="1"/>
  <c r="AM2844" i="1"/>
  <c r="AM2206" i="1"/>
  <c r="AP2205" i="1"/>
  <c r="H101" i="1"/>
  <c r="V115" i="8" l="1"/>
  <c r="O115" i="8"/>
  <c r="AN2840" i="1"/>
  <c r="AP2839" i="1"/>
  <c r="AM2845" i="1"/>
  <c r="AM2207" i="1"/>
  <c r="AP2206" i="1"/>
  <c r="H102" i="1"/>
  <c r="V116" i="8" l="1"/>
  <c r="O116" i="8"/>
  <c r="AN2841" i="1"/>
  <c r="AP2840" i="1"/>
  <c r="AM2846" i="1"/>
  <c r="AM2208" i="1"/>
  <c r="AP2207" i="1"/>
  <c r="H103" i="1"/>
  <c r="V117" i="8" l="1"/>
  <c r="O117" i="8"/>
  <c r="AN2842" i="1"/>
  <c r="AP2841" i="1"/>
  <c r="AM2847" i="1"/>
  <c r="AM2209" i="1"/>
  <c r="AP2208" i="1"/>
  <c r="H104" i="1"/>
  <c r="V118" i="8" l="1"/>
  <c r="O118" i="8"/>
  <c r="AN2843" i="1"/>
  <c r="AP2842" i="1"/>
  <c r="AM2848" i="1"/>
  <c r="AM2210" i="1"/>
  <c r="AP2209" i="1"/>
  <c r="H105" i="1"/>
  <c r="V119" i="8" l="1"/>
  <c r="O119" i="8"/>
  <c r="AN2844" i="1"/>
  <c r="AP2843" i="1"/>
  <c r="AM2849" i="1"/>
  <c r="AM2211" i="1"/>
  <c r="AP2210" i="1"/>
  <c r="H106" i="1"/>
  <c r="V120" i="8" l="1"/>
  <c r="O120" i="8"/>
  <c r="AN2845" i="1"/>
  <c r="AP2844" i="1"/>
  <c r="AM2850" i="1"/>
  <c r="AM2212" i="1"/>
  <c r="AP2211" i="1"/>
  <c r="H107" i="1"/>
  <c r="V121" i="8" l="1"/>
  <c r="O121" i="8"/>
  <c r="AN2846" i="1"/>
  <c r="AP2845" i="1"/>
  <c r="AM2851" i="1"/>
  <c r="AM2213" i="1"/>
  <c r="AP2212" i="1"/>
  <c r="H108" i="1"/>
  <c r="V122" i="8" l="1"/>
  <c r="O122" i="8"/>
  <c r="AN2847" i="1"/>
  <c r="AP2846" i="1"/>
  <c r="AM2852" i="1"/>
  <c r="AM2214" i="1"/>
  <c r="AP2213" i="1"/>
  <c r="H109" i="1"/>
  <c r="V123" i="8" l="1"/>
  <c r="O123" i="8"/>
  <c r="AN2848" i="1"/>
  <c r="AP2847" i="1"/>
  <c r="AM2853" i="1"/>
  <c r="AM2215" i="1"/>
  <c r="AP2214" i="1"/>
  <c r="H110" i="1"/>
  <c r="V124" i="8" l="1"/>
  <c r="O124" i="8"/>
  <c r="AN2849" i="1"/>
  <c r="AP2848" i="1"/>
  <c r="AM2854" i="1"/>
  <c r="AM2216" i="1"/>
  <c r="AP2215" i="1"/>
  <c r="H111" i="1"/>
  <c r="V125" i="8" l="1"/>
  <c r="O125" i="8"/>
  <c r="AN2850" i="1"/>
  <c r="AP2849" i="1"/>
  <c r="AM2855" i="1"/>
  <c r="AM2217" i="1"/>
  <c r="AP2216" i="1"/>
  <c r="H112" i="1"/>
  <c r="V126" i="8" l="1"/>
  <c r="O126" i="8"/>
  <c r="AN2851" i="1"/>
  <c r="AP2850" i="1"/>
  <c r="AM2856" i="1"/>
  <c r="AM2218" i="1"/>
  <c r="AP2217" i="1"/>
  <c r="H113" i="1"/>
  <c r="V127" i="8" l="1"/>
  <c r="O127" i="8"/>
  <c r="AN2852" i="1"/>
  <c r="AP2851" i="1"/>
  <c r="AM2857" i="1"/>
  <c r="AM2219" i="1"/>
  <c r="AP2218" i="1"/>
  <c r="H114" i="1"/>
  <c r="V128" i="8" l="1"/>
  <c r="O128" i="8"/>
  <c r="AN2853" i="1"/>
  <c r="AP2852" i="1"/>
  <c r="AM2858" i="1"/>
  <c r="AM2220" i="1"/>
  <c r="AP2219" i="1"/>
  <c r="H115" i="1"/>
  <c r="V129" i="8" l="1"/>
  <c r="O129" i="8"/>
  <c r="AN2854" i="1"/>
  <c r="AP2853" i="1"/>
  <c r="AM2859" i="1"/>
  <c r="AM2221" i="1"/>
  <c r="AP2220" i="1"/>
  <c r="H116" i="1"/>
  <c r="V130" i="8" l="1"/>
  <c r="O130" i="8"/>
  <c r="AN2855" i="1"/>
  <c r="AP2854" i="1"/>
  <c r="AM2860" i="1"/>
  <c r="AM2222" i="1"/>
  <c r="AP2221" i="1"/>
  <c r="H117" i="1"/>
  <c r="V131" i="8" l="1"/>
  <c r="O131" i="8"/>
  <c r="AN2856" i="1"/>
  <c r="AP2855" i="1"/>
  <c r="AM2861" i="1"/>
  <c r="AM2223" i="1"/>
  <c r="AP2222" i="1"/>
  <c r="H118" i="1"/>
  <c r="V132" i="8" l="1"/>
  <c r="O132" i="8"/>
  <c r="AN2857" i="1"/>
  <c r="AP2856" i="1"/>
  <c r="AM2862" i="1"/>
  <c r="AM2224" i="1"/>
  <c r="AP2223" i="1"/>
  <c r="H119" i="1"/>
  <c r="V133" i="8" l="1"/>
  <c r="O133" i="8"/>
  <c r="AN2858" i="1"/>
  <c r="AP2857" i="1"/>
  <c r="AM2863" i="1"/>
  <c r="AM2225" i="1"/>
  <c r="AP2224" i="1"/>
  <c r="H120" i="1"/>
  <c r="V134" i="8" l="1"/>
  <c r="O134" i="8"/>
  <c r="AN2859" i="1"/>
  <c r="AP2858" i="1"/>
  <c r="AM2864" i="1"/>
  <c r="AM2226" i="1"/>
  <c r="AP2225" i="1"/>
  <c r="H121" i="1"/>
  <c r="V135" i="8" l="1"/>
  <c r="O135" i="8"/>
  <c r="AN2860" i="1"/>
  <c r="AP2859" i="1"/>
  <c r="AM2865" i="1"/>
  <c r="AM2227" i="1"/>
  <c r="AP2226" i="1"/>
  <c r="H122" i="1"/>
  <c r="V136" i="8" l="1"/>
  <c r="O136" i="8"/>
  <c r="AN2861" i="1"/>
  <c r="AP2860" i="1"/>
  <c r="AM2866" i="1"/>
  <c r="AM2228" i="1"/>
  <c r="AP2227" i="1"/>
  <c r="H123" i="1"/>
  <c r="V137" i="8" l="1"/>
  <c r="O137" i="8"/>
  <c r="AN2862" i="1"/>
  <c r="AP2861" i="1"/>
  <c r="AM2867" i="1"/>
  <c r="AM2229" i="1"/>
  <c r="AP2228" i="1"/>
  <c r="H124" i="1"/>
  <c r="V138" i="8" l="1"/>
  <c r="O138" i="8"/>
  <c r="AN2863" i="1"/>
  <c r="AP2862" i="1"/>
  <c r="AM2868" i="1"/>
  <c r="AM2230" i="1"/>
  <c r="AP2229" i="1"/>
  <c r="H125" i="1"/>
  <c r="V139" i="8" l="1"/>
  <c r="O139" i="8"/>
  <c r="AN2864" i="1"/>
  <c r="AP2863" i="1"/>
  <c r="AM2869" i="1"/>
  <c r="AM2231" i="1"/>
  <c r="AP2230" i="1"/>
  <c r="H126" i="1"/>
  <c r="V140" i="8" l="1"/>
  <c r="O140" i="8"/>
  <c r="AN2865" i="1"/>
  <c r="AP2864" i="1"/>
  <c r="AM2870" i="1"/>
  <c r="AM2232" i="1"/>
  <c r="AP2231" i="1"/>
  <c r="H127" i="1"/>
  <c r="V141" i="8" l="1"/>
  <c r="O141" i="8"/>
  <c r="AN2866" i="1"/>
  <c r="AP2865" i="1"/>
  <c r="AM2871" i="1"/>
  <c r="AM2233" i="1"/>
  <c r="AP2232" i="1"/>
  <c r="H128" i="1"/>
  <c r="V142" i="8" l="1"/>
  <c r="O142" i="8"/>
  <c r="AN2867" i="1"/>
  <c r="AP2866" i="1"/>
  <c r="AM2872" i="1"/>
  <c r="AM2234" i="1"/>
  <c r="AP2233" i="1"/>
  <c r="H129" i="1"/>
  <c r="V143" i="8" l="1"/>
  <c r="O143" i="8"/>
  <c r="AN2868" i="1"/>
  <c r="AP2867" i="1"/>
  <c r="AM2873" i="1"/>
  <c r="AM2235" i="1"/>
  <c r="AP2234" i="1"/>
  <c r="H130" i="1"/>
  <c r="V144" i="8" l="1"/>
  <c r="O144" i="8"/>
  <c r="AN2869" i="1"/>
  <c r="AP2868" i="1"/>
  <c r="AM2874" i="1"/>
  <c r="AM2236" i="1"/>
  <c r="AP2235" i="1"/>
  <c r="H131" i="1"/>
  <c r="V145" i="8" l="1"/>
  <c r="O145" i="8"/>
  <c r="AN2870" i="1"/>
  <c r="AP2869" i="1"/>
  <c r="AM2875" i="1"/>
  <c r="AM2237" i="1"/>
  <c r="AP2236" i="1"/>
  <c r="H132" i="1"/>
  <c r="V146" i="8" l="1"/>
  <c r="O146" i="8"/>
  <c r="AN2871" i="1"/>
  <c r="AP2870" i="1"/>
  <c r="AM2876" i="1"/>
  <c r="AM2238" i="1"/>
  <c r="AP2237" i="1"/>
  <c r="H133" i="1"/>
  <c r="V147" i="8" l="1"/>
  <c r="O147" i="8"/>
  <c r="AN2872" i="1"/>
  <c r="AP2871" i="1"/>
  <c r="AM2877" i="1"/>
  <c r="AM2239" i="1"/>
  <c r="AP2238" i="1"/>
  <c r="H134" i="1"/>
  <c r="V148" i="8" l="1"/>
  <c r="O148" i="8"/>
  <c r="AN2873" i="1"/>
  <c r="AP2872" i="1"/>
  <c r="AM2878" i="1"/>
  <c r="AM2240" i="1"/>
  <c r="AP2239" i="1"/>
  <c r="H135" i="1"/>
  <c r="V149" i="8" l="1"/>
  <c r="O149" i="8"/>
  <c r="AN2874" i="1"/>
  <c r="AP2873" i="1"/>
  <c r="AM2879" i="1"/>
  <c r="AM2241" i="1"/>
  <c r="AP2240" i="1"/>
  <c r="H136" i="1"/>
  <c r="V150" i="8" l="1"/>
  <c r="O150" i="8"/>
  <c r="AN2875" i="1"/>
  <c r="AP2874" i="1"/>
  <c r="AM2880" i="1"/>
  <c r="AM2242" i="1"/>
  <c r="AP2241" i="1"/>
  <c r="H137" i="1"/>
  <c r="V151" i="8" l="1"/>
  <c r="O151" i="8"/>
  <c r="AN2876" i="1"/>
  <c r="AP2875" i="1"/>
  <c r="AM2881" i="1"/>
  <c r="AM2243" i="1"/>
  <c r="AP2242" i="1"/>
  <c r="H138" i="1"/>
  <c r="V152" i="8" l="1"/>
  <c r="O152" i="8"/>
  <c r="AN2877" i="1"/>
  <c r="AP2876" i="1"/>
  <c r="AM2882" i="1"/>
  <c r="AM2244" i="1"/>
  <c r="AP2243" i="1"/>
  <c r="H139" i="1"/>
  <c r="V153" i="8" l="1"/>
  <c r="O153" i="8"/>
  <c r="AN2878" i="1"/>
  <c r="AP2877" i="1"/>
  <c r="AM2883" i="1"/>
  <c r="AM2245" i="1"/>
  <c r="AP2244" i="1"/>
  <c r="H140" i="1"/>
  <c r="V154" i="8" l="1"/>
  <c r="O154" i="8"/>
  <c r="AN2879" i="1"/>
  <c r="AP2878" i="1"/>
  <c r="AM2884" i="1"/>
  <c r="AM2246" i="1"/>
  <c r="AP2245" i="1"/>
  <c r="H141" i="1"/>
  <c r="V155" i="8" l="1"/>
  <c r="O155" i="8"/>
  <c r="AN2880" i="1"/>
  <c r="AP2879" i="1"/>
  <c r="AM2885" i="1"/>
  <c r="AM2247" i="1"/>
  <c r="AP2246" i="1"/>
  <c r="H142" i="1"/>
  <c r="V156" i="8" l="1"/>
  <c r="O156" i="8"/>
  <c r="AN2881" i="1"/>
  <c r="AP2880" i="1"/>
  <c r="AM2886" i="1"/>
  <c r="AM2248" i="1"/>
  <c r="AP2247" i="1"/>
  <c r="H143" i="1"/>
  <c r="V157" i="8" l="1"/>
  <c r="O157" i="8"/>
  <c r="AN2882" i="1"/>
  <c r="AP2881" i="1"/>
  <c r="AM2887" i="1"/>
  <c r="AM2249" i="1"/>
  <c r="AP2248" i="1"/>
  <c r="H144" i="1"/>
  <c r="V158" i="8" l="1"/>
  <c r="O158" i="8"/>
  <c r="AN2883" i="1"/>
  <c r="AP2882" i="1"/>
  <c r="AM2888" i="1"/>
  <c r="AM2250" i="1"/>
  <c r="AP2249" i="1"/>
  <c r="H145" i="1"/>
  <c r="V159" i="8" l="1"/>
  <c r="O159" i="8"/>
  <c r="AN2884" i="1"/>
  <c r="AP2883" i="1"/>
  <c r="AM2889" i="1"/>
  <c r="AM2251" i="1"/>
  <c r="AP2250" i="1"/>
  <c r="H146" i="1"/>
  <c r="V160" i="8" l="1"/>
  <c r="O160" i="8"/>
  <c r="AN2885" i="1"/>
  <c r="AP2884" i="1"/>
  <c r="AM2890" i="1"/>
  <c r="AM2252" i="1"/>
  <c r="AP2251" i="1"/>
  <c r="H147" i="1"/>
  <c r="V161" i="8" l="1"/>
  <c r="O161" i="8"/>
  <c r="AN2886" i="1"/>
  <c r="AP2885" i="1"/>
  <c r="AM2891" i="1"/>
  <c r="AM2253" i="1"/>
  <c r="AP2252" i="1"/>
  <c r="H148" i="1"/>
  <c r="V162" i="8" l="1"/>
  <c r="O162" i="8"/>
  <c r="AN2887" i="1"/>
  <c r="AP2886" i="1"/>
  <c r="AM2892" i="1"/>
  <c r="AM2254" i="1"/>
  <c r="AP2253" i="1"/>
  <c r="H149" i="1"/>
  <c r="V163" i="8" l="1"/>
  <c r="O163" i="8"/>
  <c r="AN2888" i="1"/>
  <c r="AP2887" i="1"/>
  <c r="AM2893" i="1"/>
  <c r="AM2255" i="1"/>
  <c r="AP2254" i="1"/>
  <c r="H150" i="1"/>
  <c r="V164" i="8" l="1"/>
  <c r="O164" i="8"/>
  <c r="AN2889" i="1"/>
  <c r="AP2888" i="1"/>
  <c r="AM2894" i="1"/>
  <c r="AM2256" i="1"/>
  <c r="AP2255" i="1"/>
  <c r="H151" i="1"/>
  <c r="V165" i="8" l="1"/>
  <c r="O165" i="8"/>
  <c r="AN2890" i="1"/>
  <c r="AP2889" i="1"/>
  <c r="AM2895" i="1"/>
  <c r="AM2257" i="1"/>
  <c r="AP2256" i="1"/>
  <c r="H152" i="1"/>
  <c r="V166" i="8" l="1"/>
  <c r="O166" i="8"/>
  <c r="AN2891" i="1"/>
  <c r="AP2890" i="1"/>
  <c r="AM2896" i="1"/>
  <c r="AM2258" i="1"/>
  <c r="AP2257" i="1"/>
  <c r="H153" i="1"/>
  <c r="V167" i="8" l="1"/>
  <c r="O167" i="8"/>
  <c r="AN2892" i="1"/>
  <c r="AP2891" i="1"/>
  <c r="AM2897" i="1"/>
  <c r="AM2259" i="1"/>
  <c r="AP2258" i="1"/>
  <c r="H154" i="1"/>
  <c r="V168" i="8" l="1"/>
  <c r="O168" i="8"/>
  <c r="AN2893" i="1"/>
  <c r="AP2892" i="1"/>
  <c r="AM2898" i="1"/>
  <c r="AM2260" i="1"/>
  <c r="AP2259" i="1"/>
  <c r="H155" i="1"/>
  <c r="V169" i="8" l="1"/>
  <c r="O169" i="8"/>
  <c r="AN2894" i="1"/>
  <c r="AP2893" i="1"/>
  <c r="AM2899" i="1"/>
  <c r="AM2261" i="1"/>
  <c r="AP2260" i="1"/>
  <c r="H156" i="1"/>
  <c r="V170" i="8" l="1"/>
  <c r="O170" i="8"/>
  <c r="AN2895" i="1"/>
  <c r="AP2894" i="1"/>
  <c r="AM2900" i="1"/>
  <c r="AM2262" i="1"/>
  <c r="AP2261" i="1"/>
  <c r="H157" i="1"/>
  <c r="V171" i="8" l="1"/>
  <c r="O171" i="8"/>
  <c r="AN2896" i="1"/>
  <c r="AP2895" i="1"/>
  <c r="AM2901" i="1"/>
  <c r="AM2263" i="1"/>
  <c r="AP2262" i="1"/>
  <c r="H158" i="1"/>
  <c r="V172" i="8" l="1"/>
  <c r="O172" i="8"/>
  <c r="AN2897" i="1"/>
  <c r="AP2896" i="1"/>
  <c r="AM2902" i="1"/>
  <c r="AM2264" i="1"/>
  <c r="AP2263" i="1"/>
  <c r="H159" i="1"/>
  <c r="V173" i="8" l="1"/>
  <c r="O173" i="8"/>
  <c r="AN2898" i="1"/>
  <c r="AP2897" i="1"/>
  <c r="AM2903" i="1"/>
  <c r="AM2265" i="1"/>
  <c r="AP2264" i="1"/>
  <c r="H160" i="1"/>
  <c r="V174" i="8" l="1"/>
  <c r="O174" i="8"/>
  <c r="AN2899" i="1"/>
  <c r="AP2898" i="1"/>
  <c r="AM2904" i="1"/>
  <c r="AM2266" i="1"/>
  <c r="AP2265" i="1"/>
  <c r="H161" i="1"/>
  <c r="V175" i="8" l="1"/>
  <c r="O175" i="8"/>
  <c r="AN2900" i="1"/>
  <c r="AP2899" i="1"/>
  <c r="AM2905" i="1"/>
  <c r="AM2267" i="1"/>
  <c r="AP2266" i="1"/>
  <c r="H162" i="1"/>
  <c r="V176" i="8" l="1"/>
  <c r="O176" i="8"/>
  <c r="AN2901" i="1"/>
  <c r="AP2900" i="1"/>
  <c r="AM2906" i="1"/>
  <c r="AM2268" i="1"/>
  <c r="AP2267" i="1"/>
  <c r="H163" i="1"/>
  <c r="V177" i="8" l="1"/>
  <c r="O177" i="8"/>
  <c r="AN2902" i="1"/>
  <c r="AP2901" i="1"/>
  <c r="AM2907" i="1"/>
  <c r="AM2269" i="1"/>
  <c r="AP2268" i="1"/>
  <c r="H164" i="1"/>
  <c r="V178" i="8" l="1"/>
  <c r="O178" i="8"/>
  <c r="AN2903" i="1"/>
  <c r="AP2902" i="1"/>
  <c r="AM2908" i="1"/>
  <c r="AM2270" i="1"/>
  <c r="AP2269" i="1"/>
  <c r="H165" i="1"/>
  <c r="V179" i="8" l="1"/>
  <c r="O179" i="8"/>
  <c r="AN2904" i="1"/>
  <c r="AP2903" i="1"/>
  <c r="AM2909" i="1"/>
  <c r="AM2271" i="1"/>
  <c r="AP2270" i="1"/>
  <c r="H166" i="1"/>
  <c r="V180" i="8" l="1"/>
  <c r="O180" i="8"/>
  <c r="AN2905" i="1"/>
  <c r="AP2904" i="1"/>
  <c r="AM2910" i="1"/>
  <c r="AM2272" i="1"/>
  <c r="AP2271" i="1"/>
  <c r="H167" i="1"/>
  <c r="V181" i="8" l="1"/>
  <c r="O181" i="8"/>
  <c r="AN2906" i="1"/>
  <c r="AP2905" i="1"/>
  <c r="AM2911" i="1"/>
  <c r="AM2273" i="1"/>
  <c r="AP2272" i="1"/>
  <c r="H168" i="1"/>
  <c r="M3" i="1"/>
  <c r="AU3" i="1" s="1"/>
  <c r="V182" i="8" l="1"/>
  <c r="O182" i="8"/>
  <c r="AN2907" i="1"/>
  <c r="AP2906" i="1"/>
  <c r="AM2912" i="1"/>
  <c r="AM2274" i="1"/>
  <c r="AP2273" i="1"/>
  <c r="BB3" i="1"/>
  <c r="BC3" i="1" s="1"/>
  <c r="BD3" i="1" s="1"/>
  <c r="H169" i="1"/>
  <c r="AV3" i="1"/>
  <c r="AW3" i="1" a="1"/>
  <c r="AW3" i="1" s="1"/>
  <c r="M4" i="1"/>
  <c r="V183" i="8" l="1"/>
  <c r="O183" i="8"/>
  <c r="AN2908" i="1"/>
  <c r="AP2907" i="1"/>
  <c r="AM2913" i="1"/>
  <c r="AM2275" i="1"/>
  <c r="AP2274" i="1"/>
  <c r="AU4" i="1"/>
  <c r="BB4" i="1"/>
  <c r="BC4" i="1" s="1"/>
  <c r="BD4" i="1" s="1"/>
  <c r="H170" i="1"/>
  <c r="V184" i="8" l="1"/>
  <c r="O184" i="8"/>
  <c r="AN2909" i="1"/>
  <c r="AP2908" i="1"/>
  <c r="AM2914" i="1"/>
  <c r="AM2276" i="1"/>
  <c r="AP2275" i="1"/>
  <c r="AV4" i="1"/>
  <c r="AW4" i="1" a="1"/>
  <c r="AW4" i="1" s="1"/>
  <c r="H171" i="1"/>
  <c r="V185" i="8" l="1"/>
  <c r="O185" i="8"/>
  <c r="AN2910" i="1"/>
  <c r="AP2909" i="1"/>
  <c r="AM2915" i="1"/>
  <c r="AM2277" i="1"/>
  <c r="AP2276" i="1"/>
  <c r="H172" i="1"/>
  <c r="V186" i="8" l="1"/>
  <c r="O186" i="8"/>
  <c r="AN2911" i="1"/>
  <c r="AP2910" i="1"/>
  <c r="AM2916" i="1"/>
  <c r="AM2278" i="1"/>
  <c r="AP2277" i="1"/>
  <c r="H173" i="1"/>
  <c r="V187" i="8" l="1"/>
  <c r="O187" i="8"/>
  <c r="AN2912" i="1"/>
  <c r="AP2911" i="1"/>
  <c r="AM2917" i="1"/>
  <c r="AM2279" i="1"/>
  <c r="AP2278" i="1"/>
  <c r="H174" i="1"/>
  <c r="V188" i="8" l="1"/>
  <c r="O188" i="8"/>
  <c r="AN2913" i="1"/>
  <c r="AP2912" i="1"/>
  <c r="AM2918" i="1"/>
  <c r="AM2280" i="1"/>
  <c r="AP2279" i="1"/>
  <c r="H175" i="1"/>
  <c r="V189" i="8" l="1"/>
  <c r="O189" i="8"/>
  <c r="AN2914" i="1"/>
  <c r="AP2913" i="1"/>
  <c r="AM2919" i="1"/>
  <c r="AM2281" i="1"/>
  <c r="AP2280" i="1"/>
  <c r="H176" i="1"/>
  <c r="V190" i="8" l="1"/>
  <c r="O190" i="8"/>
  <c r="AN2915" i="1"/>
  <c r="AP2914" i="1"/>
  <c r="AM2920" i="1"/>
  <c r="AM2282" i="1"/>
  <c r="AP2281" i="1"/>
  <c r="H177" i="1"/>
  <c r="V191" i="8" l="1"/>
  <c r="O191" i="8"/>
  <c r="AN2916" i="1"/>
  <c r="AP2915" i="1"/>
  <c r="AM2921" i="1"/>
  <c r="AM2283" i="1"/>
  <c r="AP2282" i="1"/>
  <c r="H178" i="1"/>
  <c r="V192" i="8" l="1"/>
  <c r="O192" i="8"/>
  <c r="AN2917" i="1"/>
  <c r="AP2916" i="1"/>
  <c r="AM2922" i="1"/>
  <c r="AM2284" i="1"/>
  <c r="AP2283" i="1"/>
  <c r="H179" i="1"/>
  <c r="V193" i="8" l="1"/>
  <c r="O193" i="8"/>
  <c r="AN2918" i="1"/>
  <c r="AP2917" i="1"/>
  <c r="AM2923" i="1"/>
  <c r="AM2285" i="1"/>
  <c r="AP2284" i="1"/>
  <c r="H180" i="1"/>
  <c r="V194" i="8" l="1"/>
  <c r="O194" i="8"/>
  <c r="AN2919" i="1"/>
  <c r="AP2918" i="1"/>
  <c r="AM2924" i="1"/>
  <c r="AM2286" i="1"/>
  <c r="AP2285" i="1"/>
  <c r="H181" i="1"/>
  <c r="V195" i="8" l="1"/>
  <c r="O195" i="8"/>
  <c r="AN2920" i="1"/>
  <c r="AP2919" i="1"/>
  <c r="AM2925" i="1"/>
  <c r="AM2287" i="1"/>
  <c r="AP2286" i="1"/>
  <c r="H182" i="1"/>
  <c r="V196" i="8" l="1"/>
  <c r="O196" i="8"/>
  <c r="AN2921" i="1"/>
  <c r="AP2920" i="1"/>
  <c r="AM2926" i="1"/>
  <c r="AM2288" i="1"/>
  <c r="AP2287" i="1"/>
  <c r="H183" i="1"/>
  <c r="V197" i="8" l="1"/>
  <c r="O197" i="8"/>
  <c r="AN2922" i="1"/>
  <c r="AP2921" i="1"/>
  <c r="AM2927" i="1"/>
  <c r="AM2289" i="1"/>
  <c r="AP2288" i="1"/>
  <c r="H184" i="1"/>
  <c r="V198" i="8" l="1"/>
  <c r="O198" i="8"/>
  <c r="AN2923" i="1"/>
  <c r="AP2922" i="1"/>
  <c r="AM2928" i="1"/>
  <c r="AM2290" i="1"/>
  <c r="AP2289" i="1"/>
  <c r="H185" i="1"/>
  <c r="V199" i="8" l="1"/>
  <c r="O199" i="8"/>
  <c r="AN2924" i="1"/>
  <c r="AP2923" i="1"/>
  <c r="AM2929" i="1"/>
  <c r="AM2291" i="1"/>
  <c r="AP2290" i="1"/>
  <c r="H186" i="1"/>
  <c r="AN2925" i="1" l="1"/>
  <c r="AP2924" i="1"/>
  <c r="AM2930" i="1"/>
  <c r="AM2292" i="1"/>
  <c r="AP2291" i="1"/>
  <c r="H187" i="1"/>
  <c r="AN2926" i="1" l="1"/>
  <c r="AP2925" i="1"/>
  <c r="AM2931" i="1"/>
  <c r="AM2293" i="1"/>
  <c r="AP2292" i="1"/>
  <c r="H188" i="1"/>
  <c r="AN2927" i="1" l="1"/>
  <c r="AP2926" i="1"/>
  <c r="AM2932" i="1"/>
  <c r="AM2294" i="1"/>
  <c r="AP2293" i="1"/>
  <c r="H189" i="1"/>
  <c r="AN2928" i="1" l="1"/>
  <c r="AP2927" i="1"/>
  <c r="AM2933" i="1"/>
  <c r="AM2295" i="1"/>
  <c r="AP2294" i="1"/>
  <c r="H190" i="1"/>
  <c r="AN2929" i="1" l="1"/>
  <c r="AP2928" i="1"/>
  <c r="AM2934" i="1"/>
  <c r="AM2296" i="1"/>
  <c r="AP2295" i="1"/>
  <c r="H191" i="1"/>
  <c r="AN2930" i="1" l="1"/>
  <c r="AP2929" i="1"/>
  <c r="AM2935" i="1"/>
  <c r="AM2297" i="1"/>
  <c r="AP2296" i="1"/>
  <c r="H192" i="1"/>
  <c r="AN2931" i="1" l="1"/>
  <c r="AP2930" i="1"/>
  <c r="AM2936" i="1"/>
  <c r="AM2298" i="1"/>
  <c r="AP2297" i="1"/>
  <c r="H193" i="1"/>
  <c r="AN2932" i="1" l="1"/>
  <c r="AP2931" i="1"/>
  <c r="AM2937" i="1"/>
  <c r="AM2299" i="1"/>
  <c r="AP2298" i="1"/>
  <c r="H194" i="1"/>
  <c r="AN2933" i="1" l="1"/>
  <c r="AP2932" i="1"/>
  <c r="AM2938" i="1"/>
  <c r="AM2300" i="1"/>
  <c r="AP2299" i="1"/>
  <c r="H195" i="1"/>
  <c r="AN2934" i="1" l="1"/>
  <c r="AP2933" i="1"/>
  <c r="AM2939" i="1"/>
  <c r="AM2301" i="1"/>
  <c r="AP2300" i="1"/>
  <c r="H196" i="1"/>
  <c r="AN2935" i="1" l="1"/>
  <c r="AP2934" i="1"/>
  <c r="AM2940" i="1"/>
  <c r="AM2302" i="1"/>
  <c r="AP2301" i="1"/>
  <c r="H197" i="1"/>
  <c r="AN2936" i="1" l="1"/>
  <c r="AP2935" i="1"/>
  <c r="AM2941" i="1"/>
  <c r="AM2303" i="1"/>
  <c r="AP2302" i="1"/>
  <c r="H198" i="1"/>
  <c r="AN2937" i="1" l="1"/>
  <c r="AP2936" i="1"/>
  <c r="AM2942" i="1"/>
  <c r="AM2304" i="1"/>
  <c r="AP2303" i="1"/>
  <c r="H199" i="1"/>
  <c r="AN2938" i="1" l="1"/>
  <c r="AP2937" i="1"/>
  <c r="AM2943" i="1"/>
  <c r="AM2305" i="1"/>
  <c r="AP2304" i="1"/>
  <c r="H200" i="1"/>
  <c r="AN2939" i="1" l="1"/>
  <c r="AP2938" i="1"/>
  <c r="AM2944" i="1"/>
  <c r="AM2306" i="1"/>
  <c r="AP2305" i="1"/>
  <c r="H201" i="1"/>
  <c r="AN2940" i="1" l="1"/>
  <c r="AP2939" i="1"/>
  <c r="AM2945" i="1"/>
  <c r="AM2307" i="1"/>
  <c r="AP2306" i="1"/>
  <c r="H202" i="1"/>
  <c r="AN2941" i="1" l="1"/>
  <c r="AP2940" i="1"/>
  <c r="AM2946" i="1"/>
  <c r="AM2308" i="1"/>
  <c r="AP2307" i="1"/>
  <c r="H203" i="1"/>
  <c r="AN2942" i="1" l="1"/>
  <c r="AP2941" i="1"/>
  <c r="AM2947" i="1"/>
  <c r="AM2309" i="1"/>
  <c r="AP2308" i="1"/>
  <c r="H204" i="1"/>
  <c r="AN2943" i="1" l="1"/>
  <c r="AP2942" i="1"/>
  <c r="AM2948" i="1"/>
  <c r="AM2310" i="1"/>
  <c r="AP2309" i="1"/>
  <c r="H205" i="1"/>
  <c r="AN2944" i="1" l="1"/>
  <c r="AP2943" i="1"/>
  <c r="AM2949" i="1"/>
  <c r="AM2311" i="1"/>
  <c r="AP2310" i="1"/>
  <c r="H206" i="1"/>
  <c r="AN2945" i="1" l="1"/>
  <c r="AP2944" i="1"/>
  <c r="AM2950" i="1"/>
  <c r="AM2312" i="1"/>
  <c r="AP2311" i="1"/>
  <c r="H207" i="1"/>
  <c r="AN2946" i="1" l="1"/>
  <c r="AP2945" i="1"/>
  <c r="AM2951" i="1"/>
  <c r="AM2313" i="1"/>
  <c r="AP2312" i="1"/>
  <c r="H208" i="1"/>
  <c r="AN2947" i="1" l="1"/>
  <c r="AP2946" i="1"/>
  <c r="AM2952" i="1"/>
  <c r="AM2314" i="1"/>
  <c r="AP2313" i="1"/>
  <c r="H209" i="1"/>
  <c r="AN2948" i="1" l="1"/>
  <c r="AP2947" i="1"/>
  <c r="AM2953" i="1"/>
  <c r="AM2315" i="1"/>
  <c r="AP2314" i="1"/>
  <c r="H210" i="1"/>
  <c r="AN2949" i="1" l="1"/>
  <c r="AP2948" i="1"/>
  <c r="AM2954" i="1"/>
  <c r="AM2316" i="1"/>
  <c r="AP2315" i="1"/>
  <c r="H211" i="1"/>
  <c r="AN2950" i="1" l="1"/>
  <c r="AP2949" i="1"/>
  <c r="AM2955" i="1"/>
  <c r="AM2317" i="1"/>
  <c r="AP2316" i="1"/>
  <c r="H212" i="1"/>
  <c r="AN2951" i="1" l="1"/>
  <c r="AP2950" i="1"/>
  <c r="AM2956" i="1"/>
  <c r="AM2318" i="1"/>
  <c r="AP2317" i="1"/>
  <c r="H213" i="1"/>
  <c r="AN2952" i="1" l="1"/>
  <c r="AP2951" i="1"/>
  <c r="AM2957" i="1"/>
  <c r="AM2319" i="1"/>
  <c r="AP2318" i="1"/>
  <c r="H214" i="1"/>
  <c r="AN2953" i="1" l="1"/>
  <c r="AP2952" i="1"/>
  <c r="AM2958" i="1"/>
  <c r="AM2320" i="1"/>
  <c r="AP2319" i="1"/>
  <c r="H215" i="1"/>
  <c r="AN2954" i="1" l="1"/>
  <c r="AP2953" i="1"/>
  <c r="AM2959" i="1"/>
  <c r="AM2321" i="1"/>
  <c r="AP2320" i="1"/>
  <c r="H216" i="1"/>
  <c r="AN2955" i="1" l="1"/>
  <c r="AP2954" i="1"/>
  <c r="AM2960" i="1"/>
  <c r="AM2322" i="1"/>
  <c r="AP2321" i="1"/>
  <c r="H217" i="1"/>
  <c r="AN2956" i="1" l="1"/>
  <c r="AP2955" i="1"/>
  <c r="AM2961" i="1"/>
  <c r="AM2323" i="1"/>
  <c r="AP2322" i="1"/>
  <c r="H218" i="1"/>
  <c r="AN2957" i="1" l="1"/>
  <c r="AP2956" i="1"/>
  <c r="AM2962" i="1"/>
  <c r="AM2324" i="1"/>
  <c r="AP2323" i="1"/>
  <c r="H219" i="1"/>
  <c r="AN2958" i="1" l="1"/>
  <c r="AP2957" i="1"/>
  <c r="AM2963" i="1"/>
  <c r="AM2325" i="1"/>
  <c r="AP2324" i="1"/>
  <c r="H220" i="1"/>
  <c r="AN2959" i="1" l="1"/>
  <c r="AP2958" i="1"/>
  <c r="AM2964" i="1"/>
  <c r="AM2326" i="1"/>
  <c r="AP2325" i="1"/>
  <c r="H221" i="1"/>
  <c r="AN2960" i="1" l="1"/>
  <c r="AP2959" i="1"/>
  <c r="AM2965" i="1"/>
  <c r="AM2327" i="1"/>
  <c r="AP2326" i="1"/>
  <c r="H222" i="1"/>
  <c r="AN2961" i="1" l="1"/>
  <c r="AP2960" i="1"/>
  <c r="AM2966" i="1"/>
  <c r="AM2328" i="1"/>
  <c r="AP2327" i="1"/>
  <c r="H223" i="1"/>
  <c r="AN2962" i="1" l="1"/>
  <c r="AP2961" i="1"/>
  <c r="AM2967" i="1"/>
  <c r="AM2329" i="1"/>
  <c r="AP2328" i="1"/>
  <c r="H224" i="1"/>
  <c r="AN2963" i="1" l="1"/>
  <c r="AP2962" i="1"/>
  <c r="AM2968" i="1"/>
  <c r="AM2330" i="1"/>
  <c r="AP2329" i="1"/>
  <c r="H225" i="1"/>
  <c r="AN2964" i="1" l="1"/>
  <c r="AP2963" i="1"/>
  <c r="AM2969" i="1"/>
  <c r="AM2331" i="1"/>
  <c r="AP2330" i="1"/>
  <c r="H226" i="1"/>
  <c r="AN2965" i="1" l="1"/>
  <c r="AP2964" i="1"/>
  <c r="AM2970" i="1"/>
  <c r="AM2332" i="1"/>
  <c r="AP2331" i="1"/>
  <c r="H227" i="1"/>
  <c r="AN2966" i="1" l="1"/>
  <c r="AP2965" i="1"/>
  <c r="AM2971" i="1"/>
  <c r="AM2333" i="1"/>
  <c r="AP2332" i="1"/>
  <c r="H228" i="1"/>
  <c r="AN2967" i="1" l="1"/>
  <c r="AP2966" i="1"/>
  <c r="AM2972" i="1"/>
  <c r="AM2334" i="1"/>
  <c r="AP2333" i="1"/>
  <c r="H229" i="1"/>
  <c r="AN2968" i="1" l="1"/>
  <c r="AP2967" i="1"/>
  <c r="AM2973" i="1"/>
  <c r="AM2335" i="1"/>
  <c r="AP2334" i="1"/>
  <c r="H230" i="1"/>
  <c r="AN2969" i="1" l="1"/>
  <c r="AP2968" i="1"/>
  <c r="AM2974" i="1"/>
  <c r="AM2336" i="1"/>
  <c r="AP2335" i="1"/>
  <c r="H231" i="1"/>
  <c r="AN2970" i="1" l="1"/>
  <c r="AP2969" i="1"/>
  <c r="AM2975" i="1"/>
  <c r="AM2337" i="1"/>
  <c r="AP2336" i="1"/>
  <c r="H232" i="1"/>
  <c r="AN2971" i="1" l="1"/>
  <c r="AP2970" i="1"/>
  <c r="AM2976" i="1"/>
  <c r="AM2338" i="1"/>
  <c r="AP2337" i="1"/>
  <c r="H233" i="1"/>
  <c r="AN2972" i="1" l="1"/>
  <c r="AP2971" i="1"/>
  <c r="AM2977" i="1"/>
  <c r="AM2339" i="1"/>
  <c r="AP2338" i="1"/>
  <c r="H234" i="1"/>
  <c r="AN2973" i="1" l="1"/>
  <c r="AP2972" i="1"/>
  <c r="AM2978" i="1"/>
  <c r="AM2340" i="1"/>
  <c r="AP2339" i="1"/>
  <c r="H235" i="1"/>
  <c r="AN2974" i="1" l="1"/>
  <c r="AP2973" i="1"/>
  <c r="AM2979" i="1"/>
  <c r="AM2341" i="1"/>
  <c r="AP2340" i="1"/>
  <c r="H236" i="1"/>
  <c r="AN2975" i="1" l="1"/>
  <c r="AP2974" i="1"/>
  <c r="AM2980" i="1"/>
  <c r="AM2342" i="1"/>
  <c r="AP2341" i="1"/>
  <c r="H237" i="1"/>
  <c r="AN2976" i="1" l="1"/>
  <c r="AP2975" i="1"/>
  <c r="AM2981" i="1"/>
  <c r="AM2343" i="1"/>
  <c r="AP2342" i="1"/>
  <c r="H238" i="1"/>
  <c r="AN2977" i="1" l="1"/>
  <c r="AP2976" i="1"/>
  <c r="AM2982" i="1"/>
  <c r="AM2344" i="1"/>
  <c r="AP2343" i="1"/>
  <c r="H239" i="1"/>
  <c r="AN2978" i="1" l="1"/>
  <c r="AP2977" i="1"/>
  <c r="AM2983" i="1"/>
  <c r="AM2345" i="1"/>
  <c r="AP2344" i="1"/>
  <c r="H240" i="1"/>
  <c r="AN2979" i="1" l="1"/>
  <c r="AP2978" i="1"/>
  <c r="AM2984" i="1"/>
  <c r="AM2346" i="1"/>
  <c r="AP2345" i="1"/>
  <c r="H241" i="1"/>
  <c r="AN2980" i="1" l="1"/>
  <c r="AP2979" i="1"/>
  <c r="AM2985" i="1"/>
  <c r="AM2347" i="1"/>
  <c r="AP2346" i="1"/>
  <c r="H242" i="1"/>
  <c r="AN2981" i="1" l="1"/>
  <c r="AP2980" i="1"/>
  <c r="AM2986" i="1"/>
  <c r="AM2348" i="1"/>
  <c r="AP2347" i="1"/>
  <c r="H243" i="1"/>
  <c r="AN2982" i="1" l="1"/>
  <c r="AP2981" i="1"/>
  <c r="AM2987" i="1"/>
  <c r="AM2349" i="1"/>
  <c r="AP2348" i="1"/>
  <c r="H244" i="1"/>
  <c r="AN2983" i="1" l="1"/>
  <c r="AP2982" i="1"/>
  <c r="AM2988" i="1"/>
  <c r="AM2350" i="1"/>
  <c r="AP2349" i="1"/>
  <c r="H245" i="1"/>
  <c r="AN2984" i="1" l="1"/>
  <c r="AP2983" i="1"/>
  <c r="AM2989" i="1"/>
  <c r="AM2351" i="1"/>
  <c r="AP2350" i="1"/>
  <c r="H246" i="1"/>
  <c r="AN2985" i="1" l="1"/>
  <c r="AP2984" i="1"/>
  <c r="AM2990" i="1"/>
  <c r="AM2352" i="1"/>
  <c r="AP2351" i="1"/>
  <c r="H247" i="1"/>
  <c r="AN2986" i="1" l="1"/>
  <c r="AP2985" i="1"/>
  <c r="AM2991" i="1"/>
  <c r="AM2353" i="1"/>
  <c r="AP2352" i="1"/>
  <c r="H248" i="1"/>
  <c r="AN2987" i="1" l="1"/>
  <c r="AP2986" i="1"/>
  <c r="AM2992" i="1"/>
  <c r="AM2354" i="1"/>
  <c r="AP2353" i="1"/>
  <c r="H249" i="1"/>
  <c r="AN2988" i="1" l="1"/>
  <c r="AP2987" i="1"/>
  <c r="AM2993" i="1"/>
  <c r="AM2355" i="1"/>
  <c r="AP2354" i="1"/>
  <c r="H250" i="1"/>
  <c r="AN2989" i="1" l="1"/>
  <c r="AP2988" i="1"/>
  <c r="AM2994" i="1"/>
  <c r="AM2356" i="1"/>
  <c r="AP2355" i="1"/>
  <c r="H251" i="1"/>
  <c r="AN2990" i="1" l="1"/>
  <c r="AP2989" i="1"/>
  <c r="AM2995" i="1"/>
  <c r="AM2357" i="1"/>
  <c r="AP2356" i="1"/>
  <c r="H252" i="1"/>
  <c r="AN2991" i="1" l="1"/>
  <c r="AP2990" i="1"/>
  <c r="AM2996" i="1"/>
  <c r="AM2358" i="1"/>
  <c r="AP2357" i="1"/>
  <c r="H253" i="1"/>
  <c r="AN2992" i="1" l="1"/>
  <c r="AP2991" i="1"/>
  <c r="AM2997" i="1"/>
  <c r="AM2359" i="1"/>
  <c r="AP2358" i="1"/>
  <c r="H254" i="1"/>
  <c r="AN2993" i="1" l="1"/>
  <c r="AP2992" i="1"/>
  <c r="AM2998" i="1"/>
  <c r="AM2360" i="1"/>
  <c r="AP2359" i="1"/>
  <c r="H255" i="1"/>
  <c r="AN2994" i="1" l="1"/>
  <c r="AP2993" i="1"/>
  <c r="AM2999" i="1"/>
  <c r="AM2361" i="1"/>
  <c r="AP2360" i="1"/>
  <c r="H256" i="1"/>
  <c r="AN2995" i="1" l="1"/>
  <c r="AP2994" i="1"/>
  <c r="AM3000" i="1"/>
  <c r="AM2362" i="1"/>
  <c r="AP2361" i="1"/>
  <c r="H257" i="1"/>
  <c r="AN2996" i="1" l="1"/>
  <c r="AP2995" i="1"/>
  <c r="AM3001" i="1"/>
  <c r="AM2363" i="1"/>
  <c r="AP2362" i="1"/>
  <c r="H258" i="1"/>
  <c r="AN2997" i="1" l="1"/>
  <c r="AP2996" i="1"/>
  <c r="AM3002" i="1"/>
  <c r="AM2364" i="1"/>
  <c r="AP2363" i="1"/>
  <c r="H259" i="1"/>
  <c r="AN2998" i="1" l="1"/>
  <c r="AP2997" i="1"/>
  <c r="AM3003" i="1"/>
  <c r="AM2365" i="1"/>
  <c r="AP2364" i="1"/>
  <c r="H260" i="1"/>
  <c r="AN2999" i="1" l="1"/>
  <c r="AP2998" i="1"/>
  <c r="AM3004" i="1"/>
  <c r="AM2366" i="1"/>
  <c r="AP2365" i="1"/>
  <c r="H261" i="1"/>
  <c r="AN3000" i="1" l="1"/>
  <c r="AP2999" i="1"/>
  <c r="AM3005" i="1"/>
  <c r="AM2367" i="1"/>
  <c r="AP2366" i="1"/>
  <c r="H262" i="1"/>
  <c r="AN3001" i="1" l="1"/>
  <c r="AP3000" i="1"/>
  <c r="AM3006" i="1"/>
  <c r="AM2368" i="1"/>
  <c r="AP2367" i="1"/>
  <c r="H263" i="1"/>
  <c r="AN3002" i="1" l="1"/>
  <c r="AP3001" i="1"/>
  <c r="AM3007" i="1"/>
  <c r="AM2369" i="1"/>
  <c r="AP2368" i="1"/>
  <c r="H264" i="1"/>
  <c r="AN3003" i="1" l="1"/>
  <c r="AP3002" i="1"/>
  <c r="AM3008" i="1"/>
  <c r="AM2370" i="1"/>
  <c r="AP2369" i="1"/>
  <c r="H265" i="1"/>
  <c r="AN3004" i="1" l="1"/>
  <c r="AP3003" i="1"/>
  <c r="AM3009" i="1"/>
  <c r="AM2371" i="1"/>
  <c r="AP2370" i="1"/>
  <c r="H266" i="1"/>
  <c r="AN3005" i="1" l="1"/>
  <c r="AP3004" i="1"/>
  <c r="AM3010" i="1"/>
  <c r="AM2372" i="1"/>
  <c r="AP2371" i="1"/>
  <c r="H267" i="1"/>
  <c r="AN3006" i="1" l="1"/>
  <c r="AP3005" i="1"/>
  <c r="AM3011" i="1"/>
  <c r="AM2373" i="1"/>
  <c r="AP2372" i="1"/>
  <c r="H268" i="1"/>
  <c r="AN3007" i="1" l="1"/>
  <c r="AP3006" i="1"/>
  <c r="AM3012" i="1"/>
  <c r="AM2374" i="1"/>
  <c r="AP2373" i="1"/>
  <c r="H269" i="1"/>
  <c r="AN3008" i="1" l="1"/>
  <c r="AP3007" i="1"/>
  <c r="AM3013" i="1"/>
  <c r="AM2375" i="1"/>
  <c r="AP2374" i="1"/>
  <c r="H270" i="1"/>
  <c r="AN3009" i="1" l="1"/>
  <c r="AP3008" i="1"/>
  <c r="AM3014" i="1"/>
  <c r="AM2376" i="1"/>
  <c r="AP2375" i="1"/>
  <c r="H271" i="1"/>
  <c r="AN3010" i="1" l="1"/>
  <c r="AP3009" i="1"/>
  <c r="AM3015" i="1"/>
  <c r="AM2377" i="1"/>
  <c r="AP2376" i="1"/>
  <c r="H272" i="1"/>
  <c r="AN3011" i="1" l="1"/>
  <c r="AP3010" i="1"/>
  <c r="AM3016" i="1"/>
  <c r="AM2378" i="1"/>
  <c r="AP2377" i="1"/>
  <c r="H273" i="1"/>
  <c r="AN3012" i="1" l="1"/>
  <c r="AP3011" i="1"/>
  <c r="AM3017" i="1"/>
  <c r="AM2379" i="1"/>
  <c r="AP2378" i="1"/>
  <c r="H274" i="1"/>
  <c r="AN3013" i="1" l="1"/>
  <c r="AP3012" i="1"/>
  <c r="AM3018" i="1"/>
  <c r="AM2380" i="1"/>
  <c r="AP2379" i="1"/>
  <c r="H275" i="1"/>
  <c r="AN3014" i="1" l="1"/>
  <c r="AP3013" i="1"/>
  <c r="AM3019" i="1"/>
  <c r="AM2381" i="1"/>
  <c r="AP2380" i="1"/>
  <c r="H276" i="1"/>
  <c r="AN3015" i="1" l="1"/>
  <c r="AP3014" i="1"/>
  <c r="AM3020" i="1"/>
  <c r="AM2382" i="1"/>
  <c r="AP2381" i="1"/>
  <c r="H277" i="1"/>
  <c r="AN3016" i="1" l="1"/>
  <c r="AP3015" i="1"/>
  <c r="AM3021" i="1"/>
  <c r="AM2383" i="1"/>
  <c r="AP2382" i="1"/>
  <c r="H278" i="1"/>
  <c r="AN3017" i="1" l="1"/>
  <c r="AP3016" i="1"/>
  <c r="AM3022" i="1"/>
  <c r="AM2384" i="1"/>
  <c r="AP2383" i="1"/>
  <c r="H279" i="1"/>
  <c r="AN3018" i="1" l="1"/>
  <c r="AP3017" i="1"/>
  <c r="AM3023" i="1"/>
  <c r="AM2385" i="1"/>
  <c r="AP2384" i="1"/>
  <c r="H280" i="1"/>
  <c r="AN3019" i="1" l="1"/>
  <c r="AP3018" i="1"/>
  <c r="AM3024" i="1"/>
  <c r="AM2386" i="1"/>
  <c r="AP2385" i="1"/>
  <c r="H281" i="1"/>
  <c r="AN3020" i="1" l="1"/>
  <c r="AP3019" i="1"/>
  <c r="AM3025" i="1"/>
  <c r="AM2387" i="1"/>
  <c r="AP2386" i="1"/>
  <c r="H282" i="1"/>
  <c r="AN3021" i="1" l="1"/>
  <c r="AP3020" i="1"/>
  <c r="AM3026" i="1"/>
  <c r="AM2388" i="1"/>
  <c r="AP2387" i="1"/>
  <c r="H283" i="1"/>
  <c r="AN3022" i="1" l="1"/>
  <c r="AP3021" i="1"/>
  <c r="AM3027" i="1"/>
  <c r="AM2389" i="1"/>
  <c r="AP2388" i="1"/>
  <c r="H284" i="1"/>
  <c r="AN3023" i="1" l="1"/>
  <c r="AP3022" i="1"/>
  <c r="AM3028" i="1"/>
  <c r="AM2390" i="1"/>
  <c r="AP2389" i="1"/>
  <c r="H285" i="1"/>
  <c r="AN3024" i="1" l="1"/>
  <c r="AP3023" i="1"/>
  <c r="AM3029" i="1"/>
  <c r="AM2391" i="1"/>
  <c r="AP2390" i="1"/>
  <c r="H286" i="1"/>
  <c r="AN3025" i="1" l="1"/>
  <c r="AP3024" i="1"/>
  <c r="AM3030" i="1"/>
  <c r="AM2392" i="1"/>
  <c r="AP2391" i="1"/>
  <c r="H287" i="1"/>
  <c r="AN3026" i="1" l="1"/>
  <c r="AP3025" i="1"/>
  <c r="AM3031" i="1"/>
  <c r="AM2393" i="1"/>
  <c r="AP2392" i="1"/>
  <c r="H288" i="1"/>
  <c r="AN3027" i="1" l="1"/>
  <c r="AP3026" i="1"/>
  <c r="AM3032" i="1"/>
  <c r="AM2394" i="1"/>
  <c r="AP2393" i="1"/>
  <c r="H289" i="1"/>
  <c r="AN3028" i="1" l="1"/>
  <c r="AP3027" i="1"/>
  <c r="AM3033" i="1"/>
  <c r="AM2395" i="1"/>
  <c r="AP2394" i="1"/>
  <c r="H290" i="1"/>
  <c r="AN3029" i="1" l="1"/>
  <c r="AP3028" i="1"/>
  <c r="AM3034" i="1"/>
  <c r="AM2396" i="1"/>
  <c r="AP2395" i="1"/>
  <c r="H291" i="1"/>
  <c r="AN3030" i="1" l="1"/>
  <c r="AP3029" i="1"/>
  <c r="AM3035" i="1"/>
  <c r="AM2397" i="1"/>
  <c r="AP2396" i="1"/>
  <c r="H292" i="1"/>
  <c r="AN3031" i="1" l="1"/>
  <c r="AP3030" i="1"/>
  <c r="AM3036" i="1"/>
  <c r="AM2398" i="1"/>
  <c r="AP2397" i="1"/>
  <c r="H293" i="1"/>
  <c r="AN3032" i="1" l="1"/>
  <c r="AP3031" i="1"/>
  <c r="AM3037" i="1"/>
  <c r="AM2399" i="1"/>
  <c r="AP2398" i="1"/>
  <c r="H294" i="1"/>
  <c r="AN3033" i="1" l="1"/>
  <c r="AP3032" i="1"/>
  <c r="AM3038" i="1"/>
  <c r="AM2400" i="1"/>
  <c r="AP2399" i="1"/>
  <c r="H295" i="1"/>
  <c r="AN3034" i="1" l="1"/>
  <c r="AP3033" i="1"/>
  <c r="AM3039" i="1"/>
  <c r="AM2401" i="1"/>
  <c r="AP2400" i="1"/>
  <c r="H296" i="1"/>
  <c r="AN3035" i="1" l="1"/>
  <c r="AP3034" i="1"/>
  <c r="AM3040" i="1"/>
  <c r="AM2402" i="1"/>
  <c r="AP2401" i="1"/>
  <c r="H297" i="1"/>
  <c r="AN3036" i="1" l="1"/>
  <c r="AP3035" i="1"/>
  <c r="AM3041" i="1"/>
  <c r="AM2403" i="1"/>
  <c r="AP2402" i="1"/>
  <c r="H298" i="1"/>
  <c r="AN3037" i="1" l="1"/>
  <c r="AP3036" i="1"/>
  <c r="AM3042" i="1"/>
  <c r="AM2404" i="1"/>
  <c r="AP2403" i="1"/>
  <c r="H299" i="1"/>
  <c r="AN3038" i="1" l="1"/>
  <c r="AP3037" i="1"/>
  <c r="AM3043" i="1"/>
  <c r="AM2405" i="1"/>
  <c r="AP2404" i="1"/>
  <c r="H300" i="1"/>
  <c r="AN3039" i="1" l="1"/>
  <c r="AP3038" i="1"/>
  <c r="AM3044" i="1"/>
  <c r="AM2406" i="1"/>
  <c r="AP2405" i="1"/>
  <c r="H301" i="1"/>
  <c r="AN3040" i="1" l="1"/>
  <c r="AP3039" i="1"/>
  <c r="AM3045" i="1"/>
  <c r="AM2407" i="1"/>
  <c r="AP2406" i="1"/>
  <c r="H302" i="1"/>
  <c r="AN3041" i="1" l="1"/>
  <c r="AP3040" i="1"/>
  <c r="AM3046" i="1"/>
  <c r="AM2408" i="1"/>
  <c r="AP2407" i="1"/>
  <c r="H303" i="1"/>
  <c r="AN3042" i="1" l="1"/>
  <c r="AP3041" i="1"/>
  <c r="AM3047" i="1"/>
  <c r="AM2409" i="1"/>
  <c r="AP2408" i="1"/>
  <c r="H304" i="1"/>
  <c r="AN3043" i="1" l="1"/>
  <c r="AP3042" i="1"/>
  <c r="AM3048" i="1"/>
  <c r="AM2410" i="1"/>
  <c r="AP2409" i="1"/>
  <c r="H305" i="1"/>
  <c r="AN3044" i="1" l="1"/>
  <c r="AP3043" i="1"/>
  <c r="AM3049" i="1"/>
  <c r="AM2411" i="1"/>
  <c r="AP2410" i="1"/>
  <c r="H306" i="1"/>
  <c r="AN3045" i="1" l="1"/>
  <c r="AP3044" i="1"/>
  <c r="AM3050" i="1"/>
  <c r="AM2412" i="1"/>
  <c r="AP2411" i="1"/>
  <c r="H307" i="1"/>
  <c r="AN3046" i="1" l="1"/>
  <c r="AP3045" i="1"/>
  <c r="AM3051" i="1"/>
  <c r="AM2413" i="1"/>
  <c r="AP2412" i="1"/>
  <c r="H308" i="1"/>
  <c r="AN3047" i="1" l="1"/>
  <c r="AP3046" i="1"/>
  <c r="AM3052" i="1"/>
  <c r="AM2414" i="1"/>
  <c r="AP2413" i="1"/>
  <c r="H309" i="1"/>
  <c r="AN3048" i="1" l="1"/>
  <c r="AP3047" i="1"/>
  <c r="AM3053" i="1"/>
  <c r="AM2415" i="1"/>
  <c r="AP2414" i="1"/>
  <c r="H310" i="1"/>
  <c r="AN3049" i="1" l="1"/>
  <c r="AP3048" i="1"/>
  <c r="AM3054" i="1"/>
  <c r="AM2416" i="1"/>
  <c r="AP2415" i="1"/>
  <c r="H311" i="1"/>
  <c r="AN3050" i="1" l="1"/>
  <c r="AP3049" i="1"/>
  <c r="AM3055" i="1"/>
  <c r="AM2417" i="1"/>
  <c r="AP2416" i="1"/>
  <c r="H312" i="1"/>
  <c r="AN3051" i="1" l="1"/>
  <c r="AP3050" i="1"/>
  <c r="AM3056" i="1"/>
  <c r="AM2418" i="1"/>
  <c r="AP2417" i="1"/>
  <c r="H313" i="1"/>
  <c r="AN3052" i="1" l="1"/>
  <c r="AP3051" i="1"/>
  <c r="AM3057" i="1"/>
  <c r="AM2419" i="1"/>
  <c r="AP2418" i="1"/>
  <c r="H314" i="1"/>
  <c r="AN3053" i="1" l="1"/>
  <c r="AP3052" i="1"/>
  <c r="AM3058" i="1"/>
  <c r="AM2420" i="1"/>
  <c r="AP2419" i="1"/>
  <c r="H315" i="1"/>
  <c r="AN3054" i="1" l="1"/>
  <c r="AP3053" i="1"/>
  <c r="AM3059" i="1"/>
  <c r="AM2421" i="1"/>
  <c r="AP2420" i="1"/>
  <c r="H316" i="1"/>
  <c r="AN3055" i="1" l="1"/>
  <c r="AP3054" i="1"/>
  <c r="AM3060" i="1"/>
  <c r="AM2422" i="1"/>
  <c r="AP2421" i="1"/>
  <c r="H317" i="1"/>
  <c r="AN3056" i="1" l="1"/>
  <c r="AP3055" i="1"/>
  <c r="AM3061" i="1"/>
  <c r="AM2423" i="1"/>
  <c r="AP2422" i="1"/>
  <c r="H318" i="1"/>
  <c r="AN3057" i="1" l="1"/>
  <c r="AP3056" i="1"/>
  <c r="AM3062" i="1"/>
  <c r="AM2424" i="1"/>
  <c r="AP2423" i="1"/>
  <c r="H319" i="1"/>
  <c r="AN3058" i="1" l="1"/>
  <c r="AP3057" i="1"/>
  <c r="AM3063" i="1"/>
  <c r="AM2425" i="1"/>
  <c r="AP2424" i="1"/>
  <c r="H320" i="1"/>
  <c r="AN3059" i="1" l="1"/>
  <c r="AP3058" i="1"/>
  <c r="AM3064" i="1"/>
  <c r="AM2426" i="1"/>
  <c r="AP2425" i="1"/>
  <c r="H321" i="1"/>
  <c r="AN3060" i="1" l="1"/>
  <c r="AP3059" i="1"/>
  <c r="AM3065" i="1"/>
  <c r="AM2427" i="1"/>
  <c r="AP2426" i="1"/>
  <c r="H322" i="1"/>
  <c r="AN3061" i="1" l="1"/>
  <c r="AP3060" i="1"/>
  <c r="AM3066" i="1"/>
  <c r="AM2428" i="1"/>
  <c r="AP2427" i="1"/>
  <c r="H323" i="1"/>
  <c r="AN3062" i="1" l="1"/>
  <c r="AP3061" i="1"/>
  <c r="AM3067" i="1"/>
  <c r="AM2429" i="1"/>
  <c r="AP2428" i="1"/>
  <c r="H324" i="1"/>
  <c r="AN3063" i="1" l="1"/>
  <c r="AP3062" i="1"/>
  <c r="AM3068" i="1"/>
  <c r="AM2430" i="1"/>
  <c r="AP2429" i="1"/>
  <c r="H325" i="1"/>
  <c r="AN3064" i="1" l="1"/>
  <c r="AP3063" i="1"/>
  <c r="AM3069" i="1"/>
  <c r="AM2431" i="1"/>
  <c r="AP2430" i="1"/>
  <c r="H326" i="1"/>
  <c r="AN3065" i="1" l="1"/>
  <c r="AP3064" i="1"/>
  <c r="AM3070" i="1"/>
  <c r="AM2432" i="1"/>
  <c r="AP2431" i="1"/>
  <c r="H327" i="1"/>
  <c r="AN3066" i="1" l="1"/>
  <c r="AP3065" i="1"/>
  <c r="AM3071" i="1"/>
  <c r="AM2433" i="1"/>
  <c r="AP2432" i="1"/>
  <c r="H328" i="1"/>
  <c r="AN3067" i="1" l="1"/>
  <c r="AP3066" i="1"/>
  <c r="AM3072" i="1"/>
  <c r="AM2434" i="1"/>
  <c r="AP2433" i="1"/>
  <c r="H329" i="1"/>
  <c r="AN3068" i="1" l="1"/>
  <c r="AP3067" i="1"/>
  <c r="AM3073" i="1"/>
  <c r="AM2435" i="1"/>
  <c r="AP2434" i="1"/>
  <c r="H330" i="1"/>
  <c r="AN3069" i="1" l="1"/>
  <c r="AP3068" i="1"/>
  <c r="AM3074" i="1"/>
  <c r="AM2436" i="1"/>
  <c r="AP2435" i="1"/>
  <c r="H331" i="1"/>
  <c r="AN3070" i="1" l="1"/>
  <c r="AP3069" i="1"/>
  <c r="AM3075" i="1"/>
  <c r="AM2437" i="1"/>
  <c r="AP2436" i="1"/>
  <c r="H332" i="1"/>
  <c r="AN3071" i="1" l="1"/>
  <c r="AP3070" i="1"/>
  <c r="AM3076" i="1"/>
  <c r="AM2438" i="1"/>
  <c r="AP2437" i="1"/>
  <c r="H333" i="1"/>
  <c r="AN3072" i="1" l="1"/>
  <c r="AP3071" i="1"/>
  <c r="AM3077" i="1"/>
  <c r="AM2439" i="1"/>
  <c r="AP2438" i="1"/>
  <c r="H334" i="1"/>
  <c r="AN3073" i="1" l="1"/>
  <c r="AP3072" i="1"/>
  <c r="AM3078" i="1"/>
  <c r="AM2440" i="1"/>
  <c r="AP2439" i="1"/>
  <c r="H335" i="1"/>
  <c r="AN3074" i="1" l="1"/>
  <c r="AP3073" i="1"/>
  <c r="AM3079" i="1"/>
  <c r="AM2441" i="1"/>
  <c r="AP2440" i="1"/>
  <c r="H336" i="1"/>
  <c r="AN3075" i="1" l="1"/>
  <c r="AP3074" i="1"/>
  <c r="AM3080" i="1"/>
  <c r="AM2442" i="1"/>
  <c r="AP2441" i="1"/>
  <c r="H337" i="1"/>
  <c r="AN3076" i="1" l="1"/>
  <c r="AP3075" i="1"/>
  <c r="AM3081" i="1"/>
  <c r="AM2443" i="1"/>
  <c r="AP2442" i="1"/>
  <c r="H338" i="1"/>
  <c r="AN3077" i="1" l="1"/>
  <c r="AP3076" i="1"/>
  <c r="AM3082" i="1"/>
  <c r="AM2444" i="1"/>
  <c r="AP2443" i="1"/>
  <c r="H339" i="1"/>
  <c r="AN3078" i="1" l="1"/>
  <c r="AP3077" i="1"/>
  <c r="AM3083" i="1"/>
  <c r="AM2445" i="1"/>
  <c r="AP2444" i="1"/>
  <c r="H340" i="1"/>
  <c r="AN3079" i="1" l="1"/>
  <c r="AP3078" i="1"/>
  <c r="AM3084" i="1"/>
  <c r="AM2446" i="1"/>
  <c r="AP2445" i="1"/>
  <c r="H341" i="1"/>
  <c r="AN3080" i="1" l="1"/>
  <c r="AP3079" i="1"/>
  <c r="AM3085" i="1"/>
  <c r="AM2447" i="1"/>
  <c r="AP2446" i="1"/>
  <c r="H342" i="1"/>
  <c r="AN3081" i="1" l="1"/>
  <c r="AP3080" i="1"/>
  <c r="AM3086" i="1"/>
  <c r="AM2448" i="1"/>
  <c r="AP2447" i="1"/>
  <c r="H343" i="1"/>
  <c r="AN3082" i="1" l="1"/>
  <c r="AP3081" i="1"/>
  <c r="AM3087" i="1"/>
  <c r="AM2449" i="1"/>
  <c r="AP2448" i="1"/>
  <c r="H344" i="1"/>
  <c r="AN3083" i="1" l="1"/>
  <c r="AP3082" i="1"/>
  <c r="AM3088" i="1"/>
  <c r="AM2450" i="1"/>
  <c r="AP2449" i="1"/>
  <c r="H345" i="1"/>
  <c r="AN3084" i="1" l="1"/>
  <c r="AP3083" i="1"/>
  <c r="AM3089" i="1"/>
  <c r="AM2451" i="1"/>
  <c r="AP2450" i="1"/>
  <c r="H346" i="1"/>
  <c r="AN3085" i="1" l="1"/>
  <c r="AP3084" i="1"/>
  <c r="AM3090" i="1"/>
  <c r="AM2452" i="1"/>
  <c r="AP2451" i="1"/>
  <c r="H347" i="1"/>
  <c r="AN3086" i="1" l="1"/>
  <c r="AP3085" i="1"/>
  <c r="AM3091" i="1"/>
  <c r="AM2453" i="1"/>
  <c r="AP2452" i="1"/>
  <c r="H348" i="1"/>
  <c r="AN3087" i="1" l="1"/>
  <c r="AP3086" i="1"/>
  <c r="AM3092" i="1"/>
  <c r="AM2454" i="1"/>
  <c r="AP2453" i="1"/>
  <c r="H349" i="1"/>
  <c r="AN3088" i="1" l="1"/>
  <c r="AP3087" i="1"/>
  <c r="AM3093" i="1"/>
  <c r="AM2455" i="1"/>
  <c r="AP2454" i="1"/>
  <c r="H350" i="1"/>
  <c r="AN3089" i="1" l="1"/>
  <c r="AP3088" i="1"/>
  <c r="AM3094" i="1"/>
  <c r="AM2456" i="1"/>
  <c r="AP2455" i="1"/>
  <c r="H351" i="1"/>
  <c r="AN3090" i="1" l="1"/>
  <c r="AP3089" i="1"/>
  <c r="AM3095" i="1"/>
  <c r="AM2457" i="1"/>
  <c r="AP2456" i="1"/>
  <c r="H352" i="1"/>
  <c r="AN3091" i="1" l="1"/>
  <c r="AP3090" i="1"/>
  <c r="AM3096" i="1"/>
  <c r="AM2458" i="1"/>
  <c r="AP2457" i="1"/>
  <c r="H353" i="1"/>
  <c r="AN3092" i="1" l="1"/>
  <c r="AP3091" i="1"/>
  <c r="AM3097" i="1"/>
  <c r="AM2459" i="1"/>
  <c r="AP2458" i="1"/>
  <c r="H354" i="1"/>
  <c r="AN3093" i="1" l="1"/>
  <c r="AP3092" i="1"/>
  <c r="AM3098" i="1"/>
  <c r="AM2460" i="1"/>
  <c r="AP2459" i="1"/>
  <c r="H355" i="1"/>
  <c r="AN3094" i="1" l="1"/>
  <c r="AP3093" i="1"/>
  <c r="AM3099" i="1"/>
  <c r="AM2461" i="1"/>
  <c r="AP2460" i="1"/>
  <c r="H356" i="1"/>
  <c r="AN3095" i="1" l="1"/>
  <c r="AP3094" i="1"/>
  <c r="AM3100" i="1"/>
  <c r="AM2462" i="1"/>
  <c r="AP2461" i="1"/>
  <c r="H357" i="1"/>
  <c r="AN3096" i="1" l="1"/>
  <c r="AP3095" i="1"/>
  <c r="AM3101" i="1"/>
  <c r="AM2463" i="1"/>
  <c r="AP2462" i="1"/>
  <c r="H358" i="1"/>
  <c r="AN3097" i="1" l="1"/>
  <c r="AP3096" i="1"/>
  <c r="AM3102" i="1"/>
  <c r="AM2464" i="1"/>
  <c r="AP2463" i="1"/>
  <c r="H359" i="1"/>
  <c r="AN3098" i="1" l="1"/>
  <c r="AP3097" i="1"/>
  <c r="AM3103" i="1"/>
  <c r="AM2465" i="1"/>
  <c r="AP2464" i="1"/>
  <c r="H360" i="1"/>
  <c r="AN3099" i="1" l="1"/>
  <c r="AP3098" i="1"/>
  <c r="AM3104" i="1"/>
  <c r="AM2466" i="1"/>
  <c r="AP2465" i="1"/>
  <c r="H361" i="1"/>
  <c r="AN3100" i="1" l="1"/>
  <c r="AP3099" i="1"/>
  <c r="AM3105" i="1"/>
  <c r="AM2467" i="1"/>
  <c r="AP2466" i="1"/>
  <c r="H362" i="1"/>
  <c r="AN3101" i="1" l="1"/>
  <c r="AP3100" i="1"/>
  <c r="AM3106" i="1"/>
  <c r="AM2468" i="1"/>
  <c r="AP2467" i="1"/>
  <c r="H363" i="1"/>
  <c r="AN3102" i="1" l="1"/>
  <c r="AP3101" i="1"/>
  <c r="AM3107" i="1"/>
  <c r="AM2469" i="1"/>
  <c r="AP2468" i="1"/>
  <c r="H364" i="1"/>
  <c r="AN3103" i="1" l="1"/>
  <c r="AP3102" i="1"/>
  <c r="AM3108" i="1"/>
  <c r="AM2470" i="1"/>
  <c r="AP2469" i="1"/>
  <c r="H365" i="1"/>
  <c r="AN3104" i="1" l="1"/>
  <c r="AP3103" i="1"/>
  <c r="AM3109" i="1"/>
  <c r="AM2471" i="1"/>
  <c r="AP2470" i="1"/>
  <c r="H366" i="1"/>
  <c r="AN3105" i="1" l="1"/>
  <c r="AP3104" i="1"/>
  <c r="AM3110" i="1"/>
  <c r="AM2472" i="1"/>
  <c r="AP2471" i="1"/>
  <c r="H367" i="1"/>
  <c r="AN3106" i="1" l="1"/>
  <c r="AP3105" i="1"/>
  <c r="AM3111" i="1"/>
  <c r="AM2473" i="1"/>
  <c r="AP2472" i="1"/>
  <c r="H368" i="1"/>
  <c r="AN3107" i="1" l="1"/>
  <c r="AP3106" i="1"/>
  <c r="AM3112" i="1"/>
  <c r="AM2474" i="1"/>
  <c r="AP2473" i="1"/>
  <c r="H369" i="1"/>
  <c r="AN3108" i="1" l="1"/>
  <c r="AP3107" i="1"/>
  <c r="AM3113" i="1"/>
  <c r="AM2475" i="1"/>
  <c r="AP2474" i="1"/>
  <c r="H370" i="1"/>
  <c r="AN3109" i="1" l="1"/>
  <c r="AP3108" i="1"/>
  <c r="AM3114" i="1"/>
  <c r="AM2476" i="1"/>
  <c r="AP2475" i="1"/>
  <c r="H371" i="1"/>
  <c r="AN3110" i="1" l="1"/>
  <c r="AP3109" i="1"/>
  <c r="AM3115" i="1"/>
  <c r="AM2477" i="1"/>
  <c r="AP2476" i="1"/>
  <c r="H372" i="1"/>
  <c r="AN3111" i="1" l="1"/>
  <c r="AP3110" i="1"/>
  <c r="AM3116" i="1"/>
  <c r="AM2478" i="1"/>
  <c r="AP2477" i="1"/>
  <c r="H373" i="1"/>
  <c r="AN3112" i="1" l="1"/>
  <c r="AP3111" i="1"/>
  <c r="AM3117" i="1"/>
  <c r="AM2479" i="1"/>
  <c r="AP2478" i="1"/>
  <c r="H374" i="1"/>
  <c r="AN3113" i="1" l="1"/>
  <c r="AP3112" i="1"/>
  <c r="AM3118" i="1"/>
  <c r="AM2480" i="1"/>
  <c r="AP2479" i="1"/>
  <c r="H375" i="1"/>
  <c r="AN3114" i="1" l="1"/>
  <c r="AP3113" i="1"/>
  <c r="AM3119" i="1"/>
  <c r="AM2481" i="1"/>
  <c r="AP2480" i="1"/>
  <c r="H376" i="1"/>
  <c r="AN3115" i="1" l="1"/>
  <c r="AP3114" i="1"/>
  <c r="AM3120" i="1"/>
  <c r="AM2482" i="1"/>
  <c r="AP2481" i="1"/>
  <c r="H377" i="1"/>
  <c r="AN3116" i="1" l="1"/>
  <c r="AP3115" i="1"/>
  <c r="AM3121" i="1"/>
  <c r="AM2483" i="1"/>
  <c r="AP2482" i="1"/>
  <c r="H378" i="1"/>
  <c r="AN3117" i="1" l="1"/>
  <c r="AP3116" i="1"/>
  <c r="AM3122" i="1"/>
  <c r="AM2484" i="1"/>
  <c r="AP2483" i="1"/>
  <c r="H379" i="1"/>
  <c r="AN3118" i="1" l="1"/>
  <c r="AP3117" i="1"/>
  <c r="AM3123" i="1"/>
  <c r="AM2485" i="1"/>
  <c r="AP2484" i="1"/>
  <c r="H380" i="1"/>
  <c r="AN3119" i="1" l="1"/>
  <c r="AP3118" i="1"/>
  <c r="AM3124" i="1"/>
  <c r="AM2486" i="1"/>
  <c r="AP2485" i="1"/>
  <c r="H381" i="1"/>
  <c r="AN3120" i="1" l="1"/>
  <c r="AP3119" i="1"/>
  <c r="AM3125" i="1"/>
  <c r="AM2487" i="1"/>
  <c r="AP2486" i="1"/>
  <c r="H382" i="1"/>
  <c r="AN3121" i="1" l="1"/>
  <c r="AP3120" i="1"/>
  <c r="AM3126" i="1"/>
  <c r="AM2488" i="1"/>
  <c r="AP2487" i="1"/>
  <c r="H383" i="1"/>
  <c r="AN3122" i="1" l="1"/>
  <c r="AP3121" i="1"/>
  <c r="AM3127" i="1"/>
  <c r="AM2489" i="1"/>
  <c r="AP2488" i="1"/>
  <c r="H384" i="1"/>
  <c r="AN3123" i="1" l="1"/>
  <c r="AP3122" i="1"/>
  <c r="AM3128" i="1"/>
  <c r="AM2490" i="1"/>
  <c r="AP2489" i="1"/>
  <c r="H385" i="1"/>
  <c r="AN3124" i="1" l="1"/>
  <c r="AP3123" i="1"/>
  <c r="AM3129" i="1"/>
  <c r="AM2491" i="1"/>
  <c r="AP2490" i="1"/>
  <c r="H386" i="1"/>
  <c r="AN3125" i="1" l="1"/>
  <c r="AP3124" i="1"/>
  <c r="AM3130" i="1"/>
  <c r="AM2492" i="1"/>
  <c r="AP2491" i="1"/>
  <c r="H387" i="1"/>
  <c r="AN3126" i="1" l="1"/>
  <c r="AP3125" i="1"/>
  <c r="AM3131" i="1"/>
  <c r="AM2493" i="1"/>
  <c r="AP2492" i="1"/>
  <c r="H388" i="1"/>
  <c r="AN3127" i="1" l="1"/>
  <c r="AP3126" i="1"/>
  <c r="AM3132" i="1"/>
  <c r="AM2494" i="1"/>
  <c r="AP2493" i="1"/>
  <c r="H389" i="1"/>
  <c r="AN3128" i="1" l="1"/>
  <c r="AP3127" i="1"/>
  <c r="AM3133" i="1"/>
  <c r="AM2495" i="1"/>
  <c r="AP2494" i="1"/>
  <c r="H390" i="1"/>
  <c r="AN3129" i="1" l="1"/>
  <c r="AP3128" i="1"/>
  <c r="AM3134" i="1"/>
  <c r="AM2496" i="1"/>
  <c r="AP2495" i="1"/>
  <c r="H391" i="1"/>
  <c r="AN3130" i="1" l="1"/>
  <c r="AP3129" i="1"/>
  <c r="AM3135" i="1"/>
  <c r="AM2497" i="1"/>
  <c r="AP2496" i="1"/>
  <c r="H392" i="1"/>
  <c r="AN3131" i="1" l="1"/>
  <c r="AP3130" i="1"/>
  <c r="AM3136" i="1"/>
  <c r="AM2498" i="1"/>
  <c r="AP2497" i="1"/>
  <c r="H393" i="1"/>
  <c r="AN3132" i="1" l="1"/>
  <c r="AP3131" i="1"/>
  <c r="AM3137" i="1"/>
  <c r="AM2499" i="1"/>
  <c r="AP2498" i="1"/>
  <c r="H394" i="1"/>
  <c r="AN3133" i="1" l="1"/>
  <c r="AP3132" i="1"/>
  <c r="AM3138" i="1"/>
  <c r="AM2500" i="1"/>
  <c r="AP2499" i="1"/>
  <c r="H395" i="1"/>
  <c r="AN3134" i="1" l="1"/>
  <c r="AP3133" i="1"/>
  <c r="AM3139" i="1"/>
  <c r="AM2501" i="1"/>
  <c r="AP2500" i="1"/>
  <c r="H396" i="1"/>
  <c r="AN3135" i="1" l="1"/>
  <c r="AP3134" i="1"/>
  <c r="AM3140" i="1"/>
  <c r="AM2502" i="1"/>
  <c r="AP2501" i="1"/>
  <c r="H397" i="1"/>
  <c r="AN3136" i="1" l="1"/>
  <c r="AP3135" i="1"/>
  <c r="AM3141" i="1"/>
  <c r="AM2503" i="1"/>
  <c r="AP2502" i="1"/>
  <c r="H398" i="1"/>
  <c r="AN3137" i="1" l="1"/>
  <c r="AP3136" i="1"/>
  <c r="AM3142" i="1"/>
  <c r="AM2504" i="1"/>
  <c r="AP2503" i="1"/>
  <c r="H399" i="1"/>
  <c r="AN3138" i="1" l="1"/>
  <c r="AP3137" i="1"/>
  <c r="AM3143" i="1"/>
  <c r="AM2505" i="1"/>
  <c r="AP2504" i="1"/>
  <c r="H400" i="1"/>
  <c r="AN3139" i="1" l="1"/>
  <c r="AP3138" i="1"/>
  <c r="AM3144" i="1"/>
  <c r="AM2506" i="1"/>
  <c r="AP2505" i="1"/>
  <c r="H401" i="1"/>
  <c r="AN3140" i="1" l="1"/>
  <c r="AP3139" i="1"/>
  <c r="AM3145" i="1"/>
  <c r="AM2507" i="1"/>
  <c r="AP2506" i="1"/>
  <c r="H402" i="1"/>
  <c r="AN3141" i="1" l="1"/>
  <c r="AP3140" i="1"/>
  <c r="AM3146" i="1"/>
  <c r="AM2508" i="1"/>
  <c r="AP2507" i="1"/>
  <c r="H403" i="1"/>
  <c r="AN3142" i="1" l="1"/>
  <c r="AP3141" i="1"/>
  <c r="AM3147" i="1"/>
  <c r="AM2509" i="1"/>
  <c r="AP2508" i="1"/>
  <c r="H404" i="1"/>
  <c r="AN3143" i="1" l="1"/>
  <c r="AP3142" i="1"/>
  <c r="AM3148" i="1"/>
  <c r="AM2510" i="1"/>
  <c r="AP2509" i="1"/>
  <c r="H405" i="1"/>
  <c r="AN3144" i="1" l="1"/>
  <c r="AP3143" i="1"/>
  <c r="AM3149" i="1"/>
  <c r="AM2511" i="1"/>
  <c r="AP2510" i="1"/>
  <c r="H406" i="1"/>
  <c r="AN3145" i="1" l="1"/>
  <c r="AP3144" i="1"/>
  <c r="AM3150" i="1"/>
  <c r="AM2512" i="1"/>
  <c r="AP2511" i="1"/>
  <c r="H407" i="1"/>
  <c r="AN3146" i="1" l="1"/>
  <c r="AP3145" i="1"/>
  <c r="AM3151" i="1"/>
  <c r="AM2513" i="1"/>
  <c r="AP2512" i="1"/>
  <c r="H408" i="1"/>
  <c r="AN3147" i="1" l="1"/>
  <c r="AP3146" i="1"/>
  <c r="AM3152" i="1"/>
  <c r="AM2514" i="1"/>
  <c r="AP2513" i="1"/>
  <c r="H409" i="1"/>
  <c r="AN3148" i="1" l="1"/>
  <c r="AP3147" i="1"/>
  <c r="AM3153" i="1"/>
  <c r="AM2515" i="1"/>
  <c r="AP2514" i="1"/>
  <c r="H410" i="1"/>
  <c r="AN3149" i="1" l="1"/>
  <c r="AP3148" i="1"/>
  <c r="AM3154" i="1"/>
  <c r="AM2516" i="1"/>
  <c r="AP2515" i="1"/>
  <c r="H411" i="1"/>
  <c r="AN3150" i="1" l="1"/>
  <c r="AP3149" i="1"/>
  <c r="AM3155" i="1"/>
  <c r="AM2517" i="1"/>
  <c r="AP2516" i="1"/>
  <c r="H412" i="1"/>
  <c r="AN3151" i="1" l="1"/>
  <c r="AP3150" i="1"/>
  <c r="AM3156" i="1"/>
  <c r="AM2518" i="1"/>
  <c r="AP2517" i="1"/>
  <c r="H413" i="1"/>
  <c r="AN3152" i="1" l="1"/>
  <c r="AP3151" i="1"/>
  <c r="AM3157" i="1"/>
  <c r="AM2519" i="1"/>
  <c r="AP2518" i="1"/>
  <c r="H414" i="1"/>
  <c r="AN3153" i="1" l="1"/>
  <c r="AP3152" i="1"/>
  <c r="AM3158" i="1"/>
  <c r="AM2520" i="1"/>
  <c r="AP2519" i="1"/>
  <c r="H415" i="1"/>
  <c r="AN3154" i="1" l="1"/>
  <c r="AP3153" i="1"/>
  <c r="AM3159" i="1"/>
  <c r="AM2521" i="1"/>
  <c r="AP2520" i="1"/>
  <c r="H416" i="1"/>
  <c r="AN3155" i="1" l="1"/>
  <c r="AP3154" i="1"/>
  <c r="AM3160" i="1"/>
  <c r="AM2522" i="1"/>
  <c r="AP2521" i="1"/>
  <c r="H417" i="1"/>
  <c r="AN3156" i="1" l="1"/>
  <c r="AP3155" i="1"/>
  <c r="AM3161" i="1"/>
  <c r="AM2523" i="1"/>
  <c r="AP2522" i="1"/>
  <c r="H418" i="1"/>
  <c r="AN3157" i="1" l="1"/>
  <c r="AP3156" i="1"/>
  <c r="AM3162" i="1"/>
  <c r="AM2524" i="1"/>
  <c r="AP2523" i="1"/>
  <c r="H419" i="1"/>
  <c r="AN3158" i="1" l="1"/>
  <c r="AP3157" i="1"/>
  <c r="AM3163" i="1"/>
  <c r="AM2525" i="1"/>
  <c r="AP2524" i="1"/>
  <c r="H420" i="1"/>
  <c r="AN3159" i="1" l="1"/>
  <c r="AP3158" i="1"/>
  <c r="AM3164" i="1"/>
  <c r="AM2526" i="1"/>
  <c r="AP2525" i="1"/>
  <c r="H421" i="1"/>
  <c r="AN3160" i="1" l="1"/>
  <c r="AP3159" i="1"/>
  <c r="AM3165" i="1"/>
  <c r="AM2527" i="1"/>
  <c r="AP2526" i="1"/>
  <c r="H422" i="1"/>
  <c r="AN3161" i="1" l="1"/>
  <c r="AP3160" i="1"/>
  <c r="AM3166" i="1"/>
  <c r="AM2528" i="1"/>
  <c r="AP2527" i="1"/>
  <c r="H423" i="1"/>
  <c r="AN3162" i="1" l="1"/>
  <c r="AP3161" i="1"/>
  <c r="AM3167" i="1"/>
  <c r="AM2529" i="1"/>
  <c r="AP2528" i="1"/>
  <c r="H424" i="1"/>
  <c r="AN3163" i="1" l="1"/>
  <c r="AP3162" i="1"/>
  <c r="AM3168" i="1"/>
  <c r="AM2530" i="1"/>
  <c r="AP2529" i="1"/>
  <c r="H425" i="1"/>
  <c r="AN3164" i="1" l="1"/>
  <c r="AP3163" i="1"/>
  <c r="AM3169" i="1"/>
  <c r="AM2531" i="1"/>
  <c r="AP2530" i="1"/>
  <c r="H426" i="1"/>
  <c r="AN3165" i="1" l="1"/>
  <c r="AP3164" i="1"/>
  <c r="AM3170" i="1"/>
  <c r="AM2532" i="1"/>
  <c r="AP2531" i="1"/>
  <c r="H427" i="1"/>
  <c r="AN3166" i="1" l="1"/>
  <c r="AP3165" i="1"/>
  <c r="AM3171" i="1"/>
  <c r="AM2533" i="1"/>
  <c r="AP2532" i="1"/>
  <c r="H428" i="1"/>
  <c r="AN3167" i="1" l="1"/>
  <c r="AP3166" i="1"/>
  <c r="AM3172" i="1"/>
  <c r="AM2534" i="1"/>
  <c r="AP2533" i="1"/>
  <c r="H429" i="1"/>
  <c r="AN3168" i="1" l="1"/>
  <c r="AP3167" i="1"/>
  <c r="AM3173" i="1"/>
  <c r="AM2535" i="1"/>
  <c r="AP2534" i="1"/>
  <c r="H430" i="1"/>
  <c r="AN3169" i="1" l="1"/>
  <c r="AP3168" i="1"/>
  <c r="AM3174" i="1"/>
  <c r="AM2536" i="1"/>
  <c r="AP2535" i="1"/>
  <c r="H431" i="1"/>
  <c r="AN3170" i="1" l="1"/>
  <c r="AP3169" i="1"/>
  <c r="AM3175" i="1"/>
  <c r="AM2537" i="1"/>
  <c r="AP2536" i="1"/>
  <c r="H432" i="1"/>
  <c r="AN3171" i="1" l="1"/>
  <c r="AP3170" i="1"/>
  <c r="AM3176" i="1"/>
  <c r="AM2538" i="1"/>
  <c r="AP2537" i="1"/>
  <c r="H433" i="1"/>
  <c r="AN3172" i="1" l="1"/>
  <c r="AP3171" i="1"/>
  <c r="AM3177" i="1"/>
  <c r="AM2539" i="1"/>
  <c r="AP2538" i="1"/>
  <c r="H434" i="1"/>
  <c r="AN3173" i="1" l="1"/>
  <c r="AP3172" i="1"/>
  <c r="AM3178" i="1"/>
  <c r="AM2540" i="1"/>
  <c r="AP2539" i="1"/>
  <c r="H435" i="1"/>
  <c r="AN3174" i="1" l="1"/>
  <c r="AP3173" i="1"/>
  <c r="AM3179" i="1"/>
  <c r="AM2541" i="1"/>
  <c r="AP2540" i="1"/>
  <c r="H436" i="1"/>
  <c r="AN3175" i="1" l="1"/>
  <c r="AP3174" i="1"/>
  <c r="AM3180" i="1"/>
  <c r="AM2542" i="1"/>
  <c r="AP2541" i="1"/>
  <c r="H437" i="1"/>
  <c r="AN3176" i="1" l="1"/>
  <c r="AP3175" i="1"/>
  <c r="AM3181" i="1"/>
  <c r="AM2543" i="1"/>
  <c r="AP2542" i="1"/>
  <c r="H438" i="1"/>
  <c r="AN3177" i="1" l="1"/>
  <c r="AP3176" i="1"/>
  <c r="AM3182" i="1"/>
  <c r="AM2544" i="1"/>
  <c r="AP2543" i="1"/>
  <c r="H439" i="1"/>
  <c r="AN3178" i="1" l="1"/>
  <c r="AP3177" i="1"/>
  <c r="AM3183" i="1"/>
  <c r="AM2545" i="1"/>
  <c r="AP2544" i="1"/>
  <c r="H440" i="1"/>
  <c r="AN3179" i="1" l="1"/>
  <c r="AP3178" i="1"/>
  <c r="AM3184" i="1"/>
  <c r="AM2546" i="1"/>
  <c r="AP2545" i="1"/>
  <c r="H441" i="1"/>
  <c r="AN3180" i="1" l="1"/>
  <c r="AP3179" i="1"/>
  <c r="AM3185" i="1"/>
  <c r="AM2547" i="1"/>
  <c r="AP2546" i="1"/>
  <c r="H442" i="1"/>
  <c r="AN3181" i="1" l="1"/>
  <c r="AP3180" i="1"/>
  <c r="AM3186" i="1"/>
  <c r="AM2548" i="1"/>
  <c r="AP2547" i="1"/>
  <c r="H443" i="1"/>
  <c r="AN3182" i="1" l="1"/>
  <c r="AP3181" i="1"/>
  <c r="AM3187" i="1"/>
  <c r="AM2549" i="1"/>
  <c r="AP2548" i="1"/>
  <c r="H444" i="1"/>
  <c r="AN3183" i="1" l="1"/>
  <c r="AP3182" i="1"/>
  <c r="AM3188" i="1"/>
  <c r="AM2550" i="1"/>
  <c r="AP2549" i="1"/>
  <c r="H445" i="1"/>
  <c r="AN3184" i="1" l="1"/>
  <c r="AP3183" i="1"/>
  <c r="AM3189" i="1"/>
  <c r="AM2551" i="1"/>
  <c r="AP2550" i="1"/>
  <c r="H446" i="1"/>
  <c r="AN3185" i="1" l="1"/>
  <c r="AP3184" i="1"/>
  <c r="AM3190" i="1"/>
  <c r="AM2552" i="1"/>
  <c r="AP2551" i="1"/>
  <c r="H447" i="1"/>
  <c r="AN3186" i="1" l="1"/>
  <c r="AP3185" i="1"/>
  <c r="AM3191" i="1"/>
  <c r="AM2553" i="1"/>
  <c r="AP2552" i="1"/>
  <c r="H448" i="1"/>
  <c r="AN3187" i="1" l="1"/>
  <c r="AP3186" i="1"/>
  <c r="AM3192" i="1"/>
  <c r="AM2554" i="1"/>
  <c r="AP2553" i="1"/>
  <c r="H449" i="1"/>
  <c r="AN3188" i="1" l="1"/>
  <c r="AP3187" i="1"/>
  <c r="AM3193" i="1"/>
  <c r="AM2555" i="1"/>
  <c r="AP2554" i="1"/>
  <c r="H450" i="1"/>
  <c r="AN3189" i="1" l="1"/>
  <c r="AP3188" i="1"/>
  <c r="AM3194" i="1"/>
  <c r="AM2556" i="1"/>
  <c r="AP2555" i="1"/>
  <c r="H451" i="1"/>
  <c r="AN3190" i="1" l="1"/>
  <c r="AP3189" i="1"/>
  <c r="AM3195" i="1"/>
  <c r="AM2557" i="1"/>
  <c r="AP2556" i="1"/>
  <c r="H452" i="1"/>
  <c r="AN3191" i="1" l="1"/>
  <c r="AP3190" i="1"/>
  <c r="AM3196" i="1"/>
  <c r="AM2558" i="1"/>
  <c r="AP2557" i="1"/>
  <c r="H453" i="1"/>
  <c r="AN3192" i="1" l="1"/>
  <c r="AP3191" i="1"/>
  <c r="AM3197" i="1"/>
  <c r="AM2559" i="1"/>
  <c r="AP2558" i="1"/>
  <c r="H454" i="1"/>
  <c r="AN3193" i="1" l="1"/>
  <c r="AP3192" i="1"/>
  <c r="AM3198" i="1"/>
  <c r="AM2560" i="1"/>
  <c r="AP2559" i="1"/>
  <c r="H455" i="1"/>
  <c r="AN3194" i="1" l="1"/>
  <c r="AP3193" i="1"/>
  <c r="AM3199" i="1"/>
  <c r="AM2561" i="1"/>
  <c r="AP2560" i="1"/>
  <c r="H456" i="1"/>
  <c r="AN3195" i="1" l="1"/>
  <c r="AP3194" i="1"/>
  <c r="AM3200" i="1"/>
  <c r="AM2562" i="1"/>
  <c r="AP2561" i="1"/>
  <c r="H457" i="1"/>
  <c r="AN3196" i="1" l="1"/>
  <c r="AP3195" i="1"/>
  <c r="AM3201" i="1"/>
  <c r="AM2563" i="1"/>
  <c r="AP2562" i="1"/>
  <c r="H458" i="1"/>
  <c r="AN3197" i="1" l="1"/>
  <c r="AP3196" i="1"/>
  <c r="AM3202" i="1"/>
  <c r="AM2564" i="1"/>
  <c r="AP2563" i="1"/>
  <c r="H459" i="1"/>
  <c r="AN3198" i="1" l="1"/>
  <c r="AP3197" i="1"/>
  <c r="AM3203" i="1"/>
  <c r="AM2565" i="1"/>
  <c r="AP2564" i="1"/>
  <c r="H460" i="1"/>
  <c r="AN3199" i="1" l="1"/>
  <c r="AP3198" i="1"/>
  <c r="AM3204" i="1"/>
  <c r="AM2566" i="1"/>
  <c r="AP2565" i="1"/>
  <c r="H461" i="1"/>
  <c r="AN3200" i="1" l="1"/>
  <c r="AP3199" i="1"/>
  <c r="AM3205" i="1"/>
  <c r="AM2567" i="1"/>
  <c r="AP2566" i="1"/>
  <c r="H462" i="1"/>
  <c r="AN3201" i="1" l="1"/>
  <c r="AP3200" i="1"/>
  <c r="AM3206" i="1"/>
  <c r="AM2568" i="1"/>
  <c r="AP2567" i="1"/>
  <c r="H463" i="1"/>
  <c r="AN3202" i="1" l="1"/>
  <c r="AP3201" i="1"/>
  <c r="AM3207" i="1"/>
  <c r="AM2569" i="1"/>
  <c r="AP2568" i="1"/>
  <c r="H464" i="1"/>
  <c r="AN3203" i="1" l="1"/>
  <c r="AP3202" i="1"/>
  <c r="AM3208" i="1"/>
  <c r="AM2570" i="1"/>
  <c r="AP2569" i="1"/>
  <c r="H465" i="1"/>
  <c r="AN3204" i="1" l="1"/>
  <c r="AP3203" i="1"/>
  <c r="AM3209" i="1"/>
  <c r="AM2571" i="1"/>
  <c r="AP2570" i="1"/>
  <c r="H466" i="1"/>
  <c r="AN3205" i="1" l="1"/>
  <c r="AP3204" i="1"/>
  <c r="AM3210" i="1"/>
  <c r="AM2572" i="1"/>
  <c r="AP2571" i="1"/>
  <c r="H467" i="1"/>
  <c r="AN3206" i="1" l="1"/>
  <c r="AP3205" i="1"/>
  <c r="AM3211" i="1"/>
  <c r="AM2573" i="1"/>
  <c r="AP2572" i="1"/>
  <c r="H468" i="1"/>
  <c r="AN3207" i="1" l="1"/>
  <c r="AP3206" i="1"/>
  <c r="AM3212" i="1"/>
  <c r="AM2574" i="1"/>
  <c r="AP2573" i="1"/>
  <c r="H469" i="1"/>
  <c r="AN3208" i="1" l="1"/>
  <c r="AP3207" i="1"/>
  <c r="AM3213" i="1"/>
  <c r="AM2575" i="1"/>
  <c r="AP2574" i="1"/>
  <c r="H470" i="1"/>
  <c r="AN3209" i="1" l="1"/>
  <c r="AP3208" i="1"/>
  <c r="AM3214" i="1"/>
  <c r="AM2576" i="1"/>
  <c r="AP2575" i="1"/>
  <c r="H471" i="1"/>
  <c r="AN3210" i="1" l="1"/>
  <c r="AP3209" i="1"/>
  <c r="AM3215" i="1"/>
  <c r="AM2577" i="1"/>
  <c r="AP2576" i="1"/>
  <c r="H472" i="1"/>
  <c r="AN3211" i="1" l="1"/>
  <c r="AP3210" i="1"/>
  <c r="AM3216" i="1"/>
  <c r="AM2578" i="1"/>
  <c r="AP2577" i="1"/>
  <c r="H473" i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AN3212" i="1" l="1"/>
  <c r="AP3211" i="1"/>
  <c r="AM3217" i="1"/>
  <c r="AM2579" i="1"/>
  <c r="AP2578" i="1"/>
  <c r="H784" i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783" i="1"/>
  <c r="AN3213" i="1" l="1"/>
  <c r="AP3212" i="1"/>
  <c r="AM3218" i="1"/>
  <c r="AM2580" i="1"/>
  <c r="AP2579" i="1"/>
  <c r="H1235" i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W2" i="8"/>
  <c r="H2401" i="1" l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AN3214" i="1"/>
  <c r="AP3213" i="1"/>
  <c r="AM3219" i="1"/>
  <c r="AM2581" i="1"/>
  <c r="AP2580" i="1"/>
  <c r="M5" i="1"/>
  <c r="BB5" i="1" s="1"/>
  <c r="BC5" i="1" s="1"/>
  <c r="BD5" i="1" s="1"/>
  <c r="AN3215" i="1" l="1"/>
  <c r="AP3214" i="1"/>
  <c r="AM3220" i="1"/>
  <c r="H2603" i="1"/>
  <c r="AM2582" i="1"/>
  <c r="AP2581" i="1"/>
  <c r="AN3216" i="1" l="1"/>
  <c r="AP3215" i="1"/>
  <c r="AM3221" i="1"/>
  <c r="H2604" i="1"/>
  <c r="AM2583" i="1"/>
  <c r="AP2582" i="1"/>
  <c r="AN3217" i="1" l="1"/>
  <c r="AP3216" i="1"/>
  <c r="AM3222" i="1"/>
  <c r="H2605" i="1"/>
  <c r="AM2584" i="1"/>
  <c r="AP2583" i="1"/>
  <c r="AN3218" i="1" l="1"/>
  <c r="AP3217" i="1"/>
  <c r="AM3223" i="1"/>
  <c r="H2606" i="1"/>
  <c r="AM2585" i="1"/>
  <c r="AP2584" i="1"/>
  <c r="AN3219" i="1" l="1"/>
  <c r="AP3218" i="1"/>
  <c r="AM3224" i="1"/>
  <c r="H2607" i="1"/>
  <c r="AM2586" i="1"/>
  <c r="AP2585" i="1"/>
  <c r="AN3220" i="1" l="1"/>
  <c r="AP3219" i="1"/>
  <c r="AM3225" i="1"/>
  <c r="H2608" i="1"/>
  <c r="AM2587" i="1"/>
  <c r="AP2586" i="1"/>
  <c r="AN3221" i="1" l="1"/>
  <c r="AP3220" i="1"/>
  <c r="AM3226" i="1"/>
  <c r="H2609" i="1"/>
  <c r="AM2588" i="1"/>
  <c r="AP2587" i="1"/>
  <c r="AN3222" i="1" l="1"/>
  <c r="AP3221" i="1"/>
  <c r="AM3227" i="1"/>
  <c r="H2610" i="1"/>
  <c r="AM2589" i="1"/>
  <c r="AP2588" i="1"/>
  <c r="AN3223" i="1" l="1"/>
  <c r="AP3222" i="1"/>
  <c r="AM3228" i="1"/>
  <c r="H2611" i="1"/>
  <c r="AM2590" i="1"/>
  <c r="AP2589" i="1"/>
  <c r="AN3224" i="1" l="1"/>
  <c r="AP3223" i="1"/>
  <c r="AM3229" i="1"/>
  <c r="H2612" i="1"/>
  <c r="AM2591" i="1"/>
  <c r="AP2590" i="1"/>
  <c r="AN3225" i="1" l="1"/>
  <c r="AP3224" i="1"/>
  <c r="AM3230" i="1"/>
  <c r="H2613" i="1"/>
  <c r="AM2592" i="1"/>
  <c r="AP2591" i="1"/>
  <c r="AN3226" i="1" l="1"/>
  <c r="AP3225" i="1"/>
  <c r="AM3231" i="1"/>
  <c r="H2614" i="1"/>
  <c r="AM2593" i="1"/>
  <c r="AP2592" i="1"/>
  <c r="AN3227" i="1" l="1"/>
  <c r="AP3226" i="1"/>
  <c r="AM3232" i="1"/>
  <c r="H2615" i="1"/>
  <c r="AM2594" i="1"/>
  <c r="AP2593" i="1"/>
  <c r="AN3228" i="1" l="1"/>
  <c r="AP3227" i="1"/>
  <c r="AM3233" i="1"/>
  <c r="H2616" i="1"/>
  <c r="AM2595" i="1"/>
  <c r="AP2594" i="1"/>
  <c r="AN3229" i="1" l="1"/>
  <c r="AP3228" i="1"/>
  <c r="AM3234" i="1"/>
  <c r="H2617" i="1"/>
  <c r="AM2596" i="1"/>
  <c r="AP2595" i="1"/>
  <c r="AN3230" i="1" l="1"/>
  <c r="AP3229" i="1"/>
  <c r="AM3235" i="1"/>
  <c r="H2618" i="1"/>
  <c r="AM2597" i="1"/>
  <c r="AP2597" i="1" s="1"/>
  <c r="AP2596" i="1"/>
  <c r="AN3231" i="1" l="1"/>
  <c r="AP3230" i="1"/>
  <c r="AM3236" i="1"/>
  <c r="H2619" i="1"/>
  <c r="AM2598" i="1"/>
  <c r="AP2598" i="1" s="1"/>
  <c r="AN3232" i="1" l="1"/>
  <c r="AP3231" i="1"/>
  <c r="AM3237" i="1"/>
  <c r="H2620" i="1"/>
  <c r="AM2599" i="1"/>
  <c r="AP2599" i="1" s="1"/>
  <c r="AN3233" i="1" l="1"/>
  <c r="AP3232" i="1"/>
  <c r="AM3238" i="1"/>
  <c r="H2621" i="1"/>
  <c r="AM2600" i="1"/>
  <c r="AP2600" i="1" s="1"/>
  <c r="AN3234" i="1" l="1"/>
  <c r="AP3233" i="1"/>
  <c r="AM3239" i="1"/>
  <c r="H2622" i="1"/>
  <c r="AM2601" i="1"/>
  <c r="AP2601" i="1" s="1"/>
  <c r="AN3235" i="1" l="1"/>
  <c r="AP3234" i="1"/>
  <c r="AM3240" i="1"/>
  <c r="H2623" i="1"/>
  <c r="AM2602" i="1"/>
  <c r="AP2602" i="1" s="1"/>
  <c r="AN3236" i="1" l="1"/>
  <c r="AP3235" i="1"/>
  <c r="AM3241" i="1"/>
  <c r="H2624" i="1"/>
  <c r="AM2603" i="1"/>
  <c r="AP2603" i="1" s="1"/>
  <c r="AN3237" i="1" l="1"/>
  <c r="AP3236" i="1"/>
  <c r="AM3242" i="1"/>
  <c r="H2625" i="1"/>
  <c r="AM2604" i="1"/>
  <c r="AP2604" i="1" s="1"/>
  <c r="AN3238" i="1" l="1"/>
  <c r="AP3237" i="1"/>
  <c r="AM3243" i="1"/>
  <c r="H2626" i="1"/>
  <c r="AN3239" i="1" l="1"/>
  <c r="AP3238" i="1"/>
  <c r="AM3244" i="1"/>
  <c r="H2627" i="1"/>
  <c r="AN3240" i="1" l="1"/>
  <c r="AP3239" i="1"/>
  <c r="AM3245" i="1"/>
  <c r="H2628" i="1"/>
  <c r="AN3241" i="1" l="1"/>
  <c r="AP3240" i="1"/>
  <c r="AM3246" i="1"/>
  <c r="H2629" i="1"/>
  <c r="AN3242" i="1" l="1"/>
  <c r="AP3241" i="1"/>
  <c r="AM3247" i="1"/>
  <c r="H2630" i="1"/>
  <c r="AN3243" i="1" l="1"/>
  <c r="AP3242" i="1"/>
  <c r="AM3248" i="1"/>
  <c r="H2631" i="1"/>
  <c r="AN3244" i="1" l="1"/>
  <c r="AP3243" i="1"/>
  <c r="AM3249" i="1"/>
  <c r="H2632" i="1"/>
  <c r="AN3245" i="1" l="1"/>
  <c r="AP3244" i="1"/>
  <c r="AM3250" i="1"/>
  <c r="H2633" i="1"/>
  <c r="AN3246" i="1" l="1"/>
  <c r="AP3245" i="1"/>
  <c r="AM3251" i="1"/>
  <c r="H2634" i="1"/>
  <c r="AN3247" i="1" l="1"/>
  <c r="AP3246" i="1"/>
  <c r="AM3252" i="1"/>
  <c r="H2635" i="1"/>
  <c r="AN3248" i="1" l="1"/>
  <c r="AP3247" i="1"/>
  <c r="AM3253" i="1"/>
  <c r="H2636" i="1"/>
  <c r="AN3249" i="1" l="1"/>
  <c r="AP3248" i="1"/>
  <c r="AM3254" i="1"/>
  <c r="H2637" i="1"/>
  <c r="AN3250" i="1" l="1"/>
  <c r="AP3249" i="1"/>
  <c r="AM3255" i="1"/>
  <c r="H2638" i="1"/>
  <c r="AN3251" i="1" l="1"/>
  <c r="AP3250" i="1"/>
  <c r="AM3256" i="1"/>
  <c r="H2639" i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l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AN3252" i="1"/>
  <c r="AP3251" i="1"/>
  <c r="AM3257" i="1"/>
  <c r="H2902" i="1" l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AN3253" i="1"/>
  <c r="AP3252" i="1"/>
  <c r="AM3258" i="1"/>
  <c r="AN3254" i="1" l="1"/>
  <c r="AP3253" i="1"/>
  <c r="AM3259" i="1"/>
  <c r="AN3255" i="1" l="1"/>
  <c r="AP3254" i="1"/>
  <c r="AM3260" i="1"/>
  <c r="AN3256" i="1" l="1"/>
  <c r="AP3255" i="1"/>
  <c r="AM3261" i="1"/>
  <c r="AN3257" i="1" l="1"/>
  <c r="AP3256" i="1"/>
  <c r="AM3262" i="1"/>
  <c r="AN3258" i="1" l="1"/>
  <c r="AP3257" i="1"/>
  <c r="AM3263" i="1"/>
  <c r="AN3259" i="1" l="1"/>
  <c r="AP3258" i="1"/>
  <c r="AM3264" i="1"/>
  <c r="AN3260" i="1" l="1"/>
  <c r="AP3259" i="1"/>
  <c r="AM3265" i="1"/>
  <c r="AN3261" i="1" l="1"/>
  <c r="AP3260" i="1"/>
  <c r="AM3266" i="1"/>
  <c r="AN3262" i="1" l="1"/>
  <c r="AP3261" i="1"/>
  <c r="AM3267" i="1"/>
  <c r="AN3263" i="1" l="1"/>
  <c r="AP3262" i="1"/>
  <c r="AM3268" i="1"/>
  <c r="AN3264" i="1" l="1"/>
  <c r="AP3263" i="1"/>
  <c r="AM3269" i="1"/>
  <c r="AN3265" i="1" l="1"/>
  <c r="AP3264" i="1"/>
  <c r="AM3270" i="1"/>
  <c r="AN3266" i="1" l="1"/>
  <c r="AP3265" i="1"/>
  <c r="AM3271" i="1"/>
  <c r="AN3267" i="1" l="1"/>
  <c r="AP3266" i="1"/>
  <c r="AM3272" i="1"/>
  <c r="AN3268" i="1" l="1"/>
  <c r="AP3267" i="1"/>
  <c r="AM3273" i="1"/>
  <c r="AN3269" i="1" l="1"/>
  <c r="AP3268" i="1"/>
  <c r="AM3274" i="1"/>
  <c r="AN3270" i="1" l="1"/>
  <c r="AP3269" i="1"/>
  <c r="AM3275" i="1"/>
  <c r="AN3271" i="1" l="1"/>
  <c r="AP3270" i="1"/>
  <c r="AM3276" i="1"/>
  <c r="AN3272" i="1" l="1"/>
  <c r="AP3271" i="1"/>
  <c r="AM3277" i="1"/>
  <c r="AN3273" i="1" l="1"/>
  <c r="AP3272" i="1"/>
  <c r="AM3278" i="1"/>
  <c r="AN3274" i="1" l="1"/>
  <c r="AP3273" i="1"/>
  <c r="AM3279" i="1"/>
  <c r="AN3275" i="1" l="1"/>
  <c r="AP3274" i="1"/>
  <c r="AM3280" i="1"/>
  <c r="AN3276" i="1" l="1"/>
  <c r="AP3275" i="1"/>
  <c r="AM3281" i="1"/>
  <c r="AN3277" i="1" l="1"/>
  <c r="AP3276" i="1"/>
  <c r="AM3282" i="1"/>
  <c r="AN3278" i="1" l="1"/>
  <c r="AP3277" i="1"/>
  <c r="AM3283" i="1"/>
  <c r="AN3279" i="1" l="1"/>
  <c r="AP3278" i="1"/>
  <c r="AM3284" i="1"/>
  <c r="AN3280" i="1" l="1"/>
  <c r="AP3279" i="1"/>
  <c r="AM3285" i="1"/>
  <c r="AN3281" i="1" l="1"/>
  <c r="AP3280" i="1"/>
  <c r="AM3286" i="1"/>
  <c r="AN3282" i="1" l="1"/>
  <c r="AP3281" i="1"/>
  <c r="AM3287" i="1"/>
  <c r="AN3283" i="1" l="1"/>
  <c r="AP3282" i="1"/>
  <c r="AM3288" i="1"/>
  <c r="AN3284" i="1" l="1"/>
  <c r="AP3283" i="1"/>
  <c r="AM3289" i="1"/>
  <c r="AN3285" i="1" l="1"/>
  <c r="AP3284" i="1"/>
  <c r="AM3290" i="1"/>
  <c r="AN3286" i="1" l="1"/>
  <c r="AP3285" i="1"/>
  <c r="AM3291" i="1"/>
  <c r="AN3287" i="1" l="1"/>
  <c r="AP3286" i="1"/>
  <c r="AM3292" i="1"/>
  <c r="AN3288" i="1" l="1"/>
  <c r="AP3287" i="1"/>
  <c r="AM3293" i="1"/>
  <c r="AN3289" i="1" l="1"/>
  <c r="AP3288" i="1"/>
  <c r="AM3294" i="1"/>
  <c r="AN3290" i="1" l="1"/>
  <c r="AP3289" i="1"/>
  <c r="AM3295" i="1"/>
  <c r="AN3291" i="1" l="1"/>
  <c r="AP3290" i="1"/>
  <c r="AM3296" i="1"/>
  <c r="AN3292" i="1" l="1"/>
  <c r="AP3291" i="1"/>
  <c r="AM3297" i="1"/>
  <c r="AN3293" i="1" l="1"/>
  <c r="AP3292" i="1"/>
  <c r="AM3298" i="1"/>
  <c r="AN3294" i="1" l="1"/>
  <c r="AP3293" i="1"/>
  <c r="AM3299" i="1"/>
  <c r="AN3295" i="1" l="1"/>
  <c r="AP3294" i="1"/>
  <c r="AM3300" i="1"/>
  <c r="AN3296" i="1" l="1"/>
  <c r="AP3295" i="1"/>
  <c r="AM3301" i="1"/>
  <c r="AN3297" i="1" l="1"/>
  <c r="AP3296" i="1"/>
  <c r="AM3302" i="1"/>
  <c r="AN3298" i="1" l="1"/>
  <c r="AP3297" i="1"/>
  <c r="AM3303" i="1"/>
  <c r="AN3299" i="1" l="1"/>
  <c r="AP3298" i="1"/>
  <c r="AM3304" i="1"/>
  <c r="AN3300" i="1" l="1"/>
  <c r="AP3299" i="1"/>
  <c r="AM3305" i="1"/>
  <c r="AN3301" i="1" l="1"/>
  <c r="AP3300" i="1"/>
  <c r="AM3306" i="1"/>
  <c r="AN3302" i="1" l="1"/>
  <c r="AP3301" i="1"/>
  <c r="AM3307" i="1"/>
  <c r="AN3303" i="1" l="1"/>
  <c r="AP3302" i="1"/>
  <c r="AM3308" i="1"/>
  <c r="AN3304" i="1" l="1"/>
  <c r="AP3303" i="1"/>
  <c r="AM3309" i="1"/>
  <c r="AN3305" i="1" l="1"/>
  <c r="AP3304" i="1"/>
  <c r="AM3310" i="1"/>
  <c r="AN3306" i="1" l="1"/>
  <c r="AP3305" i="1"/>
  <c r="AM3311" i="1"/>
  <c r="AN3307" i="1" l="1"/>
  <c r="AP3306" i="1"/>
  <c r="AM3312" i="1"/>
  <c r="AN3308" i="1" l="1"/>
  <c r="AP3307" i="1"/>
  <c r="AM3313" i="1"/>
  <c r="AN3309" i="1" l="1"/>
  <c r="AP3308" i="1"/>
  <c r="AM3314" i="1"/>
  <c r="AN3310" i="1" l="1"/>
  <c r="AP3309" i="1"/>
  <c r="AM3315" i="1"/>
  <c r="AN3311" i="1" l="1"/>
  <c r="AP3310" i="1"/>
  <c r="AM3316" i="1"/>
  <c r="AN3312" i="1" l="1"/>
  <c r="AP3311" i="1"/>
  <c r="AM3317" i="1"/>
  <c r="AN3313" i="1" l="1"/>
  <c r="AP3312" i="1"/>
  <c r="AM3318" i="1"/>
  <c r="AN3314" i="1" l="1"/>
  <c r="AP3313" i="1"/>
  <c r="AM3319" i="1"/>
  <c r="AN3315" i="1" l="1"/>
  <c r="AP3314" i="1"/>
  <c r="AM3320" i="1"/>
  <c r="AN3316" i="1" l="1"/>
  <c r="AP3315" i="1"/>
  <c r="AM3321" i="1"/>
  <c r="AN3317" i="1" l="1"/>
  <c r="AP3316" i="1"/>
  <c r="AM3322" i="1"/>
  <c r="AN3318" i="1" l="1"/>
  <c r="AP3317" i="1"/>
  <c r="AM3323" i="1"/>
  <c r="AN3319" i="1" l="1"/>
  <c r="AP3318" i="1"/>
  <c r="AM3324" i="1"/>
  <c r="AN3320" i="1" l="1"/>
  <c r="AP3319" i="1"/>
  <c r="AM3325" i="1"/>
  <c r="AN3321" i="1" l="1"/>
  <c r="AP3320" i="1"/>
  <c r="AM3326" i="1"/>
  <c r="AN3322" i="1" l="1"/>
  <c r="AP3321" i="1"/>
  <c r="AM3327" i="1"/>
  <c r="AN3323" i="1" l="1"/>
  <c r="AP3322" i="1"/>
  <c r="AM3328" i="1"/>
  <c r="AN3324" i="1" l="1"/>
  <c r="AP3323" i="1"/>
  <c r="AM3329" i="1"/>
  <c r="AN3325" i="1" l="1"/>
  <c r="AP3324" i="1"/>
  <c r="AM3330" i="1"/>
  <c r="AN3326" i="1" l="1"/>
  <c r="AP3325" i="1"/>
  <c r="AM3331" i="1"/>
  <c r="AN3327" i="1" l="1"/>
  <c r="AP3326" i="1"/>
  <c r="AM3332" i="1"/>
  <c r="AN3328" i="1" l="1"/>
  <c r="AP3327" i="1"/>
  <c r="AM3333" i="1"/>
  <c r="AN3329" i="1" l="1"/>
  <c r="AP3328" i="1"/>
  <c r="AM3334" i="1"/>
  <c r="AN3330" i="1" l="1"/>
  <c r="AP3329" i="1"/>
  <c r="AM3335" i="1"/>
  <c r="AN3331" i="1" l="1"/>
  <c r="AP3330" i="1"/>
  <c r="AM3336" i="1"/>
  <c r="AN3332" i="1" l="1"/>
  <c r="AP3331" i="1"/>
  <c r="AM3337" i="1"/>
  <c r="AN3333" i="1" l="1"/>
  <c r="AP3332" i="1"/>
  <c r="AM3338" i="1"/>
  <c r="AN3334" i="1" l="1"/>
  <c r="AP3333" i="1"/>
  <c r="AM3339" i="1"/>
  <c r="AN3335" i="1" l="1"/>
  <c r="AP3334" i="1"/>
  <c r="AM3340" i="1"/>
  <c r="AN3336" i="1" l="1"/>
  <c r="AP3335" i="1"/>
  <c r="AM3341" i="1"/>
  <c r="AN3337" i="1" l="1"/>
  <c r="AP3336" i="1"/>
  <c r="AM3342" i="1"/>
  <c r="AN3338" i="1" l="1"/>
  <c r="AP3337" i="1"/>
  <c r="AM3343" i="1"/>
  <c r="AN3339" i="1" l="1"/>
  <c r="AP3338" i="1"/>
  <c r="AM3344" i="1"/>
  <c r="AN3340" i="1" l="1"/>
  <c r="AP3339" i="1"/>
  <c r="AM3345" i="1"/>
  <c r="AN3341" i="1" l="1"/>
  <c r="AP3340" i="1"/>
  <c r="AM3346" i="1"/>
  <c r="AN3342" i="1" l="1"/>
  <c r="AP3341" i="1"/>
  <c r="AM3347" i="1"/>
  <c r="AN3343" i="1" l="1"/>
  <c r="AP3342" i="1"/>
  <c r="AM3348" i="1"/>
  <c r="AN3344" i="1" l="1"/>
  <c r="AP3343" i="1"/>
  <c r="AM3349" i="1"/>
  <c r="AN3345" i="1" l="1"/>
  <c r="AP3344" i="1"/>
  <c r="AM3350" i="1"/>
  <c r="AN3346" i="1" l="1"/>
  <c r="AP3345" i="1"/>
  <c r="AM3351" i="1"/>
  <c r="AN3347" i="1" l="1"/>
  <c r="AP3346" i="1"/>
  <c r="AM3352" i="1"/>
  <c r="AN3348" i="1" l="1"/>
  <c r="AP3347" i="1"/>
  <c r="AM3353" i="1"/>
  <c r="AN3349" i="1" l="1"/>
  <c r="AP3348" i="1"/>
  <c r="AM3354" i="1"/>
  <c r="AN3350" i="1" l="1"/>
  <c r="AP3349" i="1"/>
  <c r="AM3355" i="1"/>
  <c r="AN3351" i="1" l="1"/>
  <c r="AP3350" i="1"/>
  <c r="AM3356" i="1"/>
  <c r="AN3352" i="1" l="1"/>
  <c r="AP3351" i="1"/>
  <c r="AM3357" i="1"/>
  <c r="AN3353" i="1" l="1"/>
  <c r="AP3352" i="1"/>
  <c r="AM3358" i="1"/>
  <c r="AN3354" i="1" l="1"/>
  <c r="AP3353" i="1"/>
  <c r="AM3359" i="1"/>
  <c r="AN3355" i="1" l="1"/>
  <c r="AP3354" i="1"/>
  <c r="AM3360" i="1"/>
  <c r="AN3356" i="1" l="1"/>
  <c r="AP3355" i="1"/>
  <c r="AM3361" i="1"/>
  <c r="AN3357" i="1" l="1"/>
  <c r="AP3356" i="1"/>
  <c r="AM3362" i="1"/>
  <c r="AN3358" i="1" l="1"/>
  <c r="AP3357" i="1"/>
  <c r="AM3363" i="1"/>
  <c r="AN3359" i="1" l="1"/>
  <c r="AP3358" i="1"/>
  <c r="AM3364" i="1"/>
  <c r="AN3360" i="1" l="1"/>
  <c r="AP3359" i="1"/>
  <c r="AM3365" i="1"/>
  <c r="AN3361" i="1" l="1"/>
  <c r="AP3360" i="1"/>
  <c r="AM3366" i="1"/>
  <c r="AN3362" i="1" l="1"/>
  <c r="AP3361" i="1"/>
  <c r="AM3367" i="1"/>
  <c r="AN3363" i="1" l="1"/>
  <c r="AP3362" i="1"/>
  <c r="AM3368" i="1"/>
  <c r="AN3364" i="1" l="1"/>
  <c r="AP3363" i="1"/>
  <c r="AM3369" i="1"/>
  <c r="AN3365" i="1" l="1"/>
  <c r="AP3364" i="1"/>
  <c r="AM3370" i="1"/>
  <c r="AN3366" i="1" l="1"/>
  <c r="AP3365" i="1"/>
  <c r="AM3371" i="1"/>
  <c r="AN3367" i="1" l="1"/>
  <c r="AP3366" i="1"/>
  <c r="AM3372" i="1"/>
  <c r="AN3368" i="1" l="1"/>
  <c r="AP3367" i="1"/>
  <c r="AM3373" i="1"/>
  <c r="AN3369" i="1" l="1"/>
  <c r="AP3368" i="1"/>
  <c r="AM3374" i="1"/>
  <c r="AN3370" i="1" l="1"/>
  <c r="AP3369" i="1"/>
  <c r="AM3375" i="1"/>
  <c r="AN3371" i="1" l="1"/>
  <c r="AP3370" i="1"/>
  <c r="AM3376" i="1"/>
  <c r="AN3372" i="1" l="1"/>
  <c r="AP3371" i="1"/>
  <c r="AM3377" i="1"/>
  <c r="AN3373" i="1" l="1"/>
  <c r="AP3372" i="1"/>
  <c r="AM3378" i="1"/>
  <c r="AN3374" i="1" l="1"/>
  <c r="AP3373" i="1"/>
  <c r="AM3379" i="1"/>
  <c r="AN3375" i="1" l="1"/>
  <c r="AP3374" i="1"/>
  <c r="AM3380" i="1"/>
  <c r="AN3376" i="1" l="1"/>
  <c r="AP3375" i="1"/>
  <c r="AM3381" i="1"/>
  <c r="AN3377" i="1" l="1"/>
  <c r="AP3376" i="1"/>
  <c r="AM3382" i="1"/>
  <c r="AN3378" i="1" l="1"/>
  <c r="AP3377" i="1"/>
  <c r="AM3383" i="1"/>
  <c r="AN3379" i="1" l="1"/>
  <c r="AP3378" i="1"/>
  <c r="AM3384" i="1"/>
  <c r="AN3380" i="1" l="1"/>
  <c r="AP3379" i="1"/>
  <c r="AM3385" i="1"/>
  <c r="AN3381" i="1" l="1"/>
  <c r="AP3380" i="1"/>
  <c r="AM3386" i="1"/>
  <c r="AN3382" i="1" l="1"/>
  <c r="AP3381" i="1"/>
  <c r="AM3387" i="1"/>
  <c r="AN3383" i="1" l="1"/>
  <c r="AP3382" i="1"/>
  <c r="AM3388" i="1"/>
  <c r="AN3384" i="1" l="1"/>
  <c r="AP3383" i="1"/>
  <c r="AM3389" i="1"/>
  <c r="AN3385" i="1" l="1"/>
  <c r="AP3384" i="1"/>
  <c r="AM3390" i="1"/>
  <c r="AN3386" i="1" l="1"/>
  <c r="AP3385" i="1"/>
  <c r="AM3391" i="1"/>
  <c r="AN3387" i="1" l="1"/>
  <c r="AP3386" i="1"/>
  <c r="AM3392" i="1"/>
  <c r="AN3388" i="1" l="1"/>
  <c r="AP3387" i="1"/>
  <c r="AM3393" i="1"/>
  <c r="AN3389" i="1" l="1"/>
  <c r="AP3388" i="1"/>
  <c r="AM3394" i="1"/>
  <c r="AN3390" i="1" l="1"/>
  <c r="AP3389" i="1"/>
  <c r="AM3395" i="1"/>
  <c r="AN3391" i="1" l="1"/>
  <c r="AP3390" i="1"/>
  <c r="AM3396" i="1"/>
  <c r="AN3392" i="1" l="1"/>
  <c r="AP3391" i="1"/>
  <c r="AM3397" i="1"/>
  <c r="AN3393" i="1" l="1"/>
  <c r="AP3392" i="1"/>
  <c r="AM3398" i="1"/>
  <c r="AN3394" i="1" l="1"/>
  <c r="AP3393" i="1"/>
  <c r="AM3399" i="1"/>
  <c r="AN3395" i="1" l="1"/>
  <c r="AP3394" i="1"/>
  <c r="AM3400" i="1"/>
  <c r="AN3396" i="1" l="1"/>
  <c r="AP3395" i="1"/>
  <c r="AM3401" i="1"/>
  <c r="AN3397" i="1" l="1"/>
  <c r="AP3396" i="1"/>
  <c r="AM3402" i="1"/>
  <c r="AN3398" i="1" l="1"/>
  <c r="AP3397" i="1"/>
  <c r="AM3403" i="1"/>
  <c r="AN3399" i="1" l="1"/>
  <c r="AP3398" i="1"/>
  <c r="AM3404" i="1"/>
  <c r="AN3400" i="1" l="1"/>
  <c r="AP3399" i="1"/>
  <c r="AM3405" i="1"/>
  <c r="AN3401" i="1" l="1"/>
  <c r="AP3400" i="1"/>
  <c r="AM3406" i="1"/>
  <c r="AN3402" i="1" l="1"/>
  <c r="AP3401" i="1"/>
  <c r="AM3407" i="1"/>
  <c r="AN3403" i="1" l="1"/>
  <c r="AP3402" i="1"/>
  <c r="AM3408" i="1"/>
  <c r="AN3404" i="1" l="1"/>
  <c r="AP3403" i="1"/>
  <c r="AM3409" i="1"/>
  <c r="AN3405" i="1" l="1"/>
  <c r="AP3404" i="1"/>
  <c r="AM3410" i="1"/>
  <c r="AN3406" i="1" l="1"/>
  <c r="AP3405" i="1"/>
  <c r="AM3411" i="1"/>
  <c r="AN3407" i="1" l="1"/>
  <c r="AP3406" i="1"/>
  <c r="AM3412" i="1"/>
  <c r="AN3408" i="1" l="1"/>
  <c r="AP3407" i="1"/>
  <c r="AM3413" i="1"/>
  <c r="AN3409" i="1" l="1"/>
  <c r="AP3408" i="1"/>
  <c r="AM3414" i="1"/>
  <c r="AN3410" i="1" l="1"/>
  <c r="AP3409" i="1"/>
  <c r="AM3415" i="1"/>
  <c r="AN3411" i="1" l="1"/>
  <c r="AP3410" i="1"/>
  <c r="AM3416" i="1"/>
  <c r="AN3412" i="1" l="1"/>
  <c r="AP3411" i="1"/>
  <c r="AM3417" i="1"/>
  <c r="AN3413" i="1" l="1"/>
  <c r="AP3412" i="1"/>
  <c r="AM3418" i="1"/>
  <c r="AN3414" i="1" l="1"/>
  <c r="AP3413" i="1"/>
  <c r="AM3419" i="1"/>
  <c r="AN3415" i="1" l="1"/>
  <c r="AP3414" i="1"/>
  <c r="AM3420" i="1"/>
  <c r="AN3416" i="1" l="1"/>
  <c r="AP3415" i="1"/>
  <c r="AM3421" i="1"/>
  <c r="AN3417" i="1" l="1"/>
  <c r="AP3416" i="1"/>
  <c r="AM3422" i="1"/>
  <c r="AN3418" i="1" l="1"/>
  <c r="AP3417" i="1"/>
  <c r="AM3423" i="1"/>
  <c r="AN3419" i="1" l="1"/>
  <c r="AP3418" i="1"/>
  <c r="AM3424" i="1"/>
  <c r="AN3420" i="1" l="1"/>
  <c r="AP3419" i="1"/>
  <c r="AM3425" i="1"/>
  <c r="AN3421" i="1" l="1"/>
  <c r="AP3420" i="1"/>
  <c r="AM3426" i="1"/>
  <c r="AN3422" i="1" l="1"/>
  <c r="AP3421" i="1"/>
  <c r="AM3427" i="1"/>
  <c r="AN3423" i="1" l="1"/>
  <c r="AP3422" i="1"/>
  <c r="AM3428" i="1"/>
  <c r="AN3424" i="1" l="1"/>
  <c r="AP3423" i="1"/>
  <c r="AM3429" i="1"/>
  <c r="AN3425" i="1" l="1"/>
  <c r="AP3424" i="1"/>
  <c r="AM3430" i="1"/>
  <c r="AN3426" i="1" l="1"/>
  <c r="AP3425" i="1"/>
  <c r="AM3431" i="1"/>
  <c r="AN3427" i="1" l="1"/>
  <c r="AP3426" i="1"/>
  <c r="AM3432" i="1"/>
  <c r="AN3428" i="1" l="1"/>
  <c r="AP3427" i="1"/>
  <c r="AM3433" i="1"/>
  <c r="AN3429" i="1" l="1"/>
  <c r="AP3428" i="1"/>
  <c r="AM3434" i="1"/>
  <c r="AN3430" i="1" l="1"/>
  <c r="AP3429" i="1"/>
  <c r="AM3435" i="1"/>
  <c r="AN3431" i="1" l="1"/>
  <c r="AP3430" i="1"/>
  <c r="AM3436" i="1"/>
  <c r="AN3432" i="1" l="1"/>
  <c r="AP3431" i="1"/>
  <c r="AM3437" i="1"/>
  <c r="AN3433" i="1" l="1"/>
  <c r="AP3432" i="1"/>
  <c r="AM3438" i="1"/>
  <c r="AN3434" i="1" l="1"/>
  <c r="AP3433" i="1"/>
  <c r="AM3439" i="1"/>
  <c r="AN3435" i="1" l="1"/>
  <c r="AP3434" i="1"/>
  <c r="AM3440" i="1"/>
  <c r="AN3436" i="1" l="1"/>
  <c r="AP3435" i="1"/>
  <c r="AM3441" i="1"/>
  <c r="AN3437" i="1" l="1"/>
  <c r="AP3436" i="1"/>
  <c r="AM3442" i="1"/>
  <c r="AN3438" i="1" l="1"/>
  <c r="AP3437" i="1"/>
  <c r="AM3443" i="1"/>
  <c r="AN3439" i="1" l="1"/>
  <c r="AP3438" i="1"/>
  <c r="AM3444" i="1"/>
  <c r="AN3440" i="1" l="1"/>
  <c r="AP3439" i="1"/>
  <c r="AM3445" i="1"/>
  <c r="AN3441" i="1" l="1"/>
  <c r="AP3440" i="1"/>
  <c r="AM3446" i="1"/>
  <c r="AN3442" i="1" l="1"/>
  <c r="AP3441" i="1"/>
  <c r="AM3447" i="1"/>
  <c r="AN3443" i="1" l="1"/>
  <c r="AP3442" i="1"/>
  <c r="AM3448" i="1"/>
  <c r="AN3444" i="1" l="1"/>
  <c r="AP3443" i="1"/>
  <c r="AM3449" i="1"/>
  <c r="AN3445" i="1" l="1"/>
  <c r="AP3444" i="1"/>
  <c r="AM3450" i="1"/>
  <c r="AN3446" i="1" l="1"/>
  <c r="AP3445" i="1"/>
  <c r="AM3451" i="1"/>
  <c r="AN3447" i="1" l="1"/>
  <c r="AP3446" i="1"/>
  <c r="AM3452" i="1"/>
  <c r="AN3448" i="1" l="1"/>
  <c r="AP3447" i="1"/>
  <c r="AM3453" i="1"/>
  <c r="AN3449" i="1" l="1"/>
  <c r="AP3448" i="1"/>
  <c r="AM3454" i="1"/>
  <c r="AN3450" i="1" l="1"/>
  <c r="AP3449" i="1"/>
  <c r="AM3455" i="1"/>
  <c r="AN3451" i="1" l="1"/>
  <c r="AP3450" i="1"/>
  <c r="AM3456" i="1"/>
  <c r="AN3452" i="1" l="1"/>
  <c r="AP3451" i="1"/>
  <c r="AM3457" i="1"/>
  <c r="AN3453" i="1" l="1"/>
  <c r="AP3452" i="1"/>
  <c r="AM3458" i="1"/>
  <c r="AN3454" i="1" l="1"/>
  <c r="AP3453" i="1"/>
  <c r="AM3459" i="1"/>
  <c r="AN3455" i="1" l="1"/>
  <c r="AP3454" i="1"/>
  <c r="AM3460" i="1"/>
  <c r="AN3456" i="1" l="1"/>
  <c r="AP3455" i="1"/>
  <c r="AM3461" i="1"/>
  <c r="AN3457" i="1" l="1"/>
  <c r="AP3456" i="1"/>
  <c r="AM3462" i="1"/>
  <c r="AN3458" i="1" l="1"/>
  <c r="AP3457" i="1"/>
  <c r="AM3463" i="1"/>
  <c r="AN3459" i="1" l="1"/>
  <c r="AP3458" i="1"/>
  <c r="AM3464" i="1"/>
  <c r="AN3460" i="1" l="1"/>
  <c r="AP3459" i="1"/>
  <c r="AM3465" i="1"/>
  <c r="AN3461" i="1" l="1"/>
  <c r="AP3460" i="1"/>
  <c r="AM3466" i="1"/>
  <c r="AN3462" i="1" l="1"/>
  <c r="AP3461" i="1"/>
  <c r="AM3467" i="1"/>
  <c r="AN3463" i="1" l="1"/>
  <c r="AP3462" i="1"/>
  <c r="AM3468" i="1"/>
  <c r="AN3464" i="1" l="1"/>
  <c r="AP3463" i="1"/>
  <c r="AM3469" i="1"/>
  <c r="AN3465" i="1" l="1"/>
  <c r="AP3464" i="1"/>
  <c r="AM3470" i="1"/>
  <c r="AN3466" i="1" l="1"/>
  <c r="AP3465" i="1"/>
  <c r="AM3471" i="1"/>
  <c r="AN3467" i="1" l="1"/>
  <c r="AP3466" i="1"/>
  <c r="AM3472" i="1"/>
  <c r="AN3468" i="1" l="1"/>
  <c r="AP3467" i="1"/>
  <c r="AM3473" i="1"/>
  <c r="AN3469" i="1" l="1"/>
  <c r="AP3468" i="1"/>
  <c r="AM3474" i="1"/>
  <c r="AN3470" i="1" l="1"/>
  <c r="AP3469" i="1"/>
  <c r="AM3475" i="1"/>
  <c r="AN3471" i="1" l="1"/>
  <c r="AP3470" i="1"/>
  <c r="AM3476" i="1"/>
  <c r="AN3472" i="1" l="1"/>
  <c r="AP3471" i="1"/>
  <c r="AM3477" i="1"/>
  <c r="AN3473" i="1" l="1"/>
  <c r="AP3472" i="1"/>
  <c r="AM3478" i="1"/>
  <c r="AN3474" i="1" l="1"/>
  <c r="AP3473" i="1"/>
  <c r="AM3479" i="1"/>
  <c r="AN3475" i="1" l="1"/>
  <c r="AP3474" i="1"/>
  <c r="AM3480" i="1"/>
  <c r="AN3476" i="1" l="1"/>
  <c r="AP3475" i="1"/>
  <c r="AM3481" i="1"/>
  <c r="AN3477" i="1" l="1"/>
  <c r="AP3476" i="1"/>
  <c r="AM3482" i="1"/>
  <c r="AN3478" i="1" l="1"/>
  <c r="AP3477" i="1"/>
  <c r="AM3483" i="1"/>
  <c r="AN3479" i="1" l="1"/>
  <c r="AP3478" i="1"/>
  <c r="AM3484" i="1"/>
  <c r="AN3480" i="1" l="1"/>
  <c r="AP3479" i="1"/>
  <c r="AM3485" i="1"/>
  <c r="AN3481" i="1" l="1"/>
  <c r="AP3480" i="1"/>
  <c r="AM3486" i="1"/>
  <c r="AN3482" i="1" l="1"/>
  <c r="AP3481" i="1"/>
  <c r="AM3487" i="1"/>
  <c r="AN3483" i="1" l="1"/>
  <c r="AP3482" i="1"/>
  <c r="AM3488" i="1"/>
  <c r="AN3484" i="1" l="1"/>
  <c r="AP3483" i="1"/>
  <c r="AM3489" i="1"/>
  <c r="AN3485" i="1" l="1"/>
  <c r="AP3484" i="1"/>
  <c r="AM3490" i="1"/>
  <c r="AN3486" i="1" l="1"/>
  <c r="AP3485" i="1"/>
  <c r="AM3491" i="1"/>
  <c r="AN3487" i="1" l="1"/>
  <c r="AP3486" i="1"/>
  <c r="AM3492" i="1"/>
  <c r="AN3488" i="1" l="1"/>
  <c r="AP3487" i="1"/>
  <c r="AM3493" i="1"/>
  <c r="AN3489" i="1" l="1"/>
  <c r="AP3488" i="1"/>
  <c r="AM3494" i="1"/>
  <c r="AN3490" i="1" l="1"/>
  <c r="AP3489" i="1"/>
  <c r="AM3495" i="1"/>
  <c r="AN3491" i="1" l="1"/>
  <c r="AP3490" i="1"/>
  <c r="AM3496" i="1"/>
  <c r="AN3492" i="1" l="1"/>
  <c r="AP3491" i="1"/>
  <c r="AM3497" i="1"/>
  <c r="AN3493" i="1" l="1"/>
  <c r="AP3492" i="1"/>
  <c r="AM3498" i="1"/>
  <c r="AN3494" i="1" l="1"/>
  <c r="AP3493" i="1"/>
  <c r="AM3499" i="1"/>
  <c r="AN3495" i="1" l="1"/>
  <c r="AP3494" i="1"/>
  <c r="AM3500" i="1"/>
  <c r="AN3496" i="1" l="1"/>
  <c r="AP3495" i="1"/>
  <c r="AM3501" i="1"/>
  <c r="AN3497" i="1" l="1"/>
  <c r="AP3496" i="1"/>
  <c r="AM3502" i="1"/>
  <c r="AN3498" i="1" l="1"/>
  <c r="AP3497" i="1"/>
  <c r="AM3503" i="1"/>
  <c r="AN3499" i="1" l="1"/>
  <c r="AP3498" i="1"/>
  <c r="AM3504" i="1"/>
  <c r="AN3500" i="1" l="1"/>
  <c r="AP3499" i="1"/>
  <c r="AM3505" i="1"/>
  <c r="AN3501" i="1" l="1"/>
  <c r="AP3500" i="1"/>
  <c r="AM3506" i="1"/>
  <c r="AN3502" i="1" l="1"/>
  <c r="AP3501" i="1"/>
  <c r="AM3507" i="1"/>
  <c r="AN3503" i="1" l="1"/>
  <c r="AP3502" i="1"/>
  <c r="AM3508" i="1"/>
  <c r="AN3504" i="1" l="1"/>
  <c r="AP3503" i="1"/>
  <c r="AM3509" i="1"/>
  <c r="AN3505" i="1" l="1"/>
  <c r="AP3504" i="1"/>
  <c r="AM3510" i="1"/>
  <c r="AN3506" i="1" l="1"/>
  <c r="AP3505" i="1"/>
  <c r="AM3511" i="1"/>
  <c r="AN3507" i="1" l="1"/>
  <c r="AP3506" i="1"/>
  <c r="AM3512" i="1"/>
  <c r="AN3508" i="1" l="1"/>
  <c r="AP3507" i="1"/>
  <c r="AM3513" i="1"/>
  <c r="AN3509" i="1" l="1"/>
  <c r="AP3508" i="1"/>
  <c r="AM3514" i="1"/>
  <c r="AN3510" i="1" l="1"/>
  <c r="AP3509" i="1"/>
  <c r="AM3515" i="1"/>
  <c r="AN3511" i="1" l="1"/>
  <c r="AP3510" i="1"/>
  <c r="AM3516" i="1"/>
  <c r="AN3512" i="1" l="1"/>
  <c r="AP3511" i="1"/>
  <c r="AM3517" i="1"/>
  <c r="AN3513" i="1" l="1"/>
  <c r="AP3512" i="1"/>
  <c r="AM3518" i="1"/>
  <c r="AN3514" i="1" l="1"/>
  <c r="AP3513" i="1"/>
  <c r="AM3519" i="1"/>
  <c r="AN3515" i="1" l="1"/>
  <c r="AP3514" i="1"/>
  <c r="AM3520" i="1"/>
  <c r="AN3516" i="1" l="1"/>
  <c r="AP3515" i="1"/>
  <c r="AM3521" i="1"/>
  <c r="AN3517" i="1" l="1"/>
  <c r="AP3516" i="1"/>
  <c r="AM3522" i="1"/>
  <c r="AN3518" i="1" l="1"/>
  <c r="AP3517" i="1"/>
  <c r="AM3523" i="1"/>
  <c r="AN3519" i="1" l="1"/>
  <c r="AP3518" i="1"/>
  <c r="AM3524" i="1"/>
  <c r="AN3520" i="1" l="1"/>
  <c r="AP3519" i="1"/>
  <c r="AM3525" i="1"/>
  <c r="AN3521" i="1" l="1"/>
  <c r="AP3520" i="1"/>
  <c r="AM3526" i="1"/>
  <c r="AN3522" i="1" l="1"/>
  <c r="AP3521" i="1"/>
  <c r="AM3527" i="1"/>
  <c r="AN3523" i="1" l="1"/>
  <c r="AP3522" i="1"/>
  <c r="AM3528" i="1"/>
  <c r="AN3524" i="1" l="1"/>
  <c r="AP3523" i="1"/>
  <c r="AM3529" i="1"/>
  <c r="AN3525" i="1" l="1"/>
  <c r="AP3524" i="1"/>
  <c r="AM3530" i="1"/>
  <c r="AN3526" i="1" l="1"/>
  <c r="AP3525" i="1"/>
  <c r="AM3531" i="1"/>
  <c r="AN3527" i="1" l="1"/>
  <c r="AP3526" i="1"/>
  <c r="AM3532" i="1"/>
  <c r="AN3528" i="1" l="1"/>
  <c r="AP3527" i="1"/>
  <c r="AM3533" i="1"/>
  <c r="AN3529" i="1" l="1"/>
  <c r="AP3528" i="1"/>
  <c r="AM3534" i="1"/>
  <c r="AN3530" i="1" l="1"/>
  <c r="AP3529" i="1"/>
  <c r="AM3535" i="1"/>
  <c r="AN3531" i="1" l="1"/>
  <c r="AP3530" i="1"/>
  <c r="AM3536" i="1"/>
  <c r="AN3532" i="1" l="1"/>
  <c r="AP3531" i="1"/>
  <c r="AM3537" i="1"/>
  <c r="AN3533" i="1" l="1"/>
  <c r="AP3532" i="1"/>
  <c r="AM3538" i="1"/>
  <c r="AN3534" i="1" l="1"/>
  <c r="AP3533" i="1"/>
  <c r="AM3539" i="1"/>
  <c r="AN3535" i="1" l="1"/>
  <c r="AP3534" i="1"/>
  <c r="AM3540" i="1"/>
  <c r="AN3536" i="1" l="1"/>
  <c r="AP3535" i="1"/>
  <c r="AM3541" i="1"/>
  <c r="AN3537" i="1" l="1"/>
  <c r="AP3536" i="1"/>
  <c r="AM3542" i="1"/>
  <c r="AN3538" i="1" l="1"/>
  <c r="AP3537" i="1"/>
  <c r="AM3543" i="1"/>
  <c r="AN3539" i="1" l="1"/>
  <c r="AP3538" i="1"/>
  <c r="AM3544" i="1"/>
  <c r="AN3540" i="1" l="1"/>
  <c r="AP3539" i="1"/>
  <c r="AM3545" i="1"/>
  <c r="AN3541" i="1" l="1"/>
  <c r="AP3540" i="1"/>
  <c r="AM3546" i="1"/>
  <c r="AN3542" i="1" l="1"/>
  <c r="AP3541" i="1"/>
  <c r="AM3547" i="1"/>
  <c r="AN3543" i="1" l="1"/>
  <c r="AP3542" i="1"/>
  <c r="AM3548" i="1"/>
  <c r="AN3544" i="1" l="1"/>
  <c r="AP3543" i="1"/>
  <c r="AM3549" i="1"/>
  <c r="AN3545" i="1" l="1"/>
  <c r="AP3544" i="1"/>
  <c r="AM3550" i="1"/>
  <c r="AN3546" i="1" l="1"/>
  <c r="AP3545" i="1"/>
  <c r="AM3551" i="1"/>
  <c r="AN3547" i="1" l="1"/>
  <c r="AP3546" i="1"/>
  <c r="AM3552" i="1"/>
  <c r="AN3548" i="1" l="1"/>
  <c r="AP3547" i="1"/>
  <c r="AM3553" i="1"/>
  <c r="AN3549" i="1" l="1"/>
  <c r="AP3548" i="1"/>
  <c r="AM3554" i="1"/>
  <c r="AN3550" i="1" l="1"/>
  <c r="AP3549" i="1"/>
  <c r="AM3555" i="1"/>
  <c r="AN3551" i="1" l="1"/>
  <c r="AP3550" i="1"/>
  <c r="AM3556" i="1"/>
  <c r="AN3552" i="1" l="1"/>
  <c r="AP3551" i="1"/>
  <c r="AM3557" i="1"/>
  <c r="AN3553" i="1" l="1"/>
  <c r="AP3552" i="1"/>
  <c r="AM3558" i="1"/>
  <c r="AN3554" i="1" l="1"/>
  <c r="AP3553" i="1"/>
  <c r="AM3559" i="1"/>
  <c r="AN3555" i="1" l="1"/>
  <c r="AP3554" i="1"/>
  <c r="AM3560" i="1"/>
  <c r="AN3556" i="1" l="1"/>
  <c r="AP3555" i="1"/>
  <c r="AM3561" i="1"/>
  <c r="AN3557" i="1" l="1"/>
  <c r="AP3556" i="1"/>
  <c r="AM3562" i="1"/>
  <c r="AN3558" i="1" l="1"/>
  <c r="AP3557" i="1"/>
  <c r="AM3563" i="1"/>
  <c r="AN3559" i="1" l="1"/>
  <c r="AP3558" i="1"/>
  <c r="AM3564" i="1"/>
  <c r="AN3560" i="1" l="1"/>
  <c r="AP3559" i="1"/>
  <c r="AM3565" i="1"/>
  <c r="AN3561" i="1" l="1"/>
  <c r="AP3560" i="1"/>
  <c r="AM3566" i="1"/>
  <c r="AN3562" i="1" l="1"/>
  <c r="AP3561" i="1"/>
  <c r="AM3567" i="1"/>
  <c r="AN3563" i="1" l="1"/>
  <c r="AP3562" i="1"/>
  <c r="AM3568" i="1"/>
  <c r="AN3564" i="1" l="1"/>
  <c r="AP3563" i="1"/>
  <c r="AM3569" i="1"/>
  <c r="AN3565" i="1" l="1"/>
  <c r="AP3564" i="1"/>
  <c r="AM3570" i="1"/>
  <c r="AN3566" i="1" l="1"/>
  <c r="AP3565" i="1"/>
  <c r="AM3571" i="1"/>
  <c r="AN3567" i="1" l="1"/>
  <c r="AP3566" i="1"/>
  <c r="AM3572" i="1"/>
  <c r="AN3568" i="1" l="1"/>
  <c r="AP3567" i="1"/>
  <c r="AM3573" i="1"/>
  <c r="AN3569" i="1" l="1"/>
  <c r="AP3568" i="1"/>
  <c r="AM3574" i="1"/>
  <c r="AN3570" i="1" l="1"/>
  <c r="AP3569" i="1"/>
  <c r="AM3575" i="1"/>
  <c r="AN3571" i="1" l="1"/>
  <c r="AP3570" i="1"/>
  <c r="AM3576" i="1"/>
  <c r="AN3572" i="1" l="1"/>
  <c r="AP3571" i="1"/>
  <c r="AM3577" i="1"/>
  <c r="AN3573" i="1" l="1"/>
  <c r="AP3572" i="1"/>
  <c r="AM3578" i="1"/>
  <c r="AN3574" i="1" l="1"/>
  <c r="AP3573" i="1"/>
  <c r="AM3579" i="1"/>
  <c r="AN3575" i="1" l="1"/>
  <c r="AP3574" i="1"/>
  <c r="AM3580" i="1"/>
  <c r="AN3576" i="1" l="1"/>
  <c r="AP3575" i="1"/>
  <c r="AM3581" i="1"/>
  <c r="AN3577" i="1" l="1"/>
  <c r="AP3576" i="1"/>
  <c r="AM3582" i="1"/>
  <c r="AN3578" i="1" l="1"/>
  <c r="AP3577" i="1"/>
  <c r="AM3583" i="1"/>
  <c r="AN3579" i="1" l="1"/>
  <c r="AP3578" i="1"/>
  <c r="AM3584" i="1"/>
  <c r="AN3580" i="1" l="1"/>
  <c r="AP3579" i="1"/>
  <c r="AM3585" i="1"/>
  <c r="AN3581" i="1" l="1"/>
  <c r="AP3580" i="1"/>
  <c r="AM3586" i="1"/>
  <c r="AN3582" i="1" l="1"/>
  <c r="AP3581" i="1"/>
  <c r="AM3587" i="1"/>
  <c r="AN3583" i="1" l="1"/>
  <c r="AP3582" i="1"/>
  <c r="AM3588" i="1"/>
  <c r="AN3584" i="1" l="1"/>
  <c r="AP3583" i="1"/>
  <c r="AM3589" i="1"/>
  <c r="AN3585" i="1" l="1"/>
  <c r="AP3584" i="1"/>
  <c r="AM3590" i="1"/>
  <c r="AN3586" i="1" l="1"/>
  <c r="AP3585" i="1"/>
  <c r="AM3591" i="1"/>
  <c r="AN3587" i="1" l="1"/>
  <c r="AP3586" i="1"/>
  <c r="AM3592" i="1"/>
  <c r="AN3588" i="1" l="1"/>
  <c r="AP3587" i="1"/>
  <c r="AM3593" i="1"/>
  <c r="AN3589" i="1" l="1"/>
  <c r="AP3588" i="1"/>
  <c r="AM3594" i="1"/>
  <c r="AN3590" i="1" l="1"/>
  <c r="AP3589" i="1"/>
  <c r="AM3595" i="1"/>
  <c r="AN3591" i="1" l="1"/>
  <c r="AP3590" i="1"/>
  <c r="AM3596" i="1"/>
  <c r="AN3592" i="1" l="1"/>
  <c r="AP3591" i="1"/>
  <c r="AM3597" i="1"/>
  <c r="AN3593" i="1" l="1"/>
  <c r="AP3592" i="1"/>
  <c r="AM3598" i="1"/>
  <c r="AN3594" i="1" l="1"/>
  <c r="AP3593" i="1"/>
  <c r="AM3599" i="1"/>
  <c r="AN3595" i="1" l="1"/>
  <c r="AP3594" i="1"/>
  <c r="AM3600" i="1"/>
  <c r="AN3596" i="1" l="1"/>
  <c r="AP3595" i="1"/>
  <c r="AM3601" i="1"/>
  <c r="AN3597" i="1" l="1"/>
  <c r="AP3596" i="1"/>
  <c r="AM3602" i="1"/>
  <c r="AN3598" i="1" l="1"/>
  <c r="AP3597" i="1"/>
  <c r="AM3603" i="1"/>
  <c r="AN3599" i="1" l="1"/>
  <c r="AP3598" i="1"/>
  <c r="AM3604" i="1"/>
  <c r="AN3600" i="1" l="1"/>
  <c r="AP3599" i="1"/>
  <c r="AM3605" i="1"/>
  <c r="AN3601" i="1" l="1"/>
  <c r="AP3600" i="1"/>
  <c r="AM3606" i="1"/>
  <c r="AN3602" i="1" l="1"/>
  <c r="AP3601" i="1"/>
  <c r="AM3607" i="1"/>
  <c r="AN3603" i="1" l="1"/>
  <c r="AP3602" i="1"/>
  <c r="AM3608" i="1"/>
  <c r="AN3604" i="1" l="1"/>
  <c r="AP3603" i="1"/>
  <c r="AM3609" i="1"/>
  <c r="AN3605" i="1" l="1"/>
  <c r="AP3604" i="1"/>
  <c r="AM3610" i="1"/>
  <c r="AN3606" i="1" l="1"/>
  <c r="AP3605" i="1"/>
  <c r="AM3611" i="1"/>
  <c r="AN3607" i="1" l="1"/>
  <c r="AP3606" i="1"/>
  <c r="AM3612" i="1"/>
  <c r="AN3608" i="1" l="1"/>
  <c r="AP3607" i="1"/>
  <c r="AM3613" i="1"/>
  <c r="AN3609" i="1" l="1"/>
  <c r="AP3608" i="1"/>
  <c r="AM3614" i="1"/>
  <c r="AN3610" i="1" l="1"/>
  <c r="AP3609" i="1"/>
  <c r="AM3615" i="1"/>
  <c r="AN3611" i="1" l="1"/>
  <c r="AP3610" i="1"/>
  <c r="AM3616" i="1"/>
  <c r="AN3612" i="1" l="1"/>
  <c r="AP3611" i="1"/>
  <c r="AM3617" i="1"/>
  <c r="AN3613" i="1" l="1"/>
  <c r="AP3612" i="1"/>
  <c r="AM3618" i="1"/>
  <c r="AN3614" i="1" l="1"/>
  <c r="AP3613" i="1"/>
  <c r="AM3619" i="1"/>
  <c r="AN3615" i="1" l="1"/>
  <c r="AP3614" i="1"/>
  <c r="AM3620" i="1"/>
  <c r="AN3616" i="1" l="1"/>
  <c r="AP3615" i="1"/>
  <c r="AM3621" i="1"/>
  <c r="AN3617" i="1" l="1"/>
  <c r="AP3616" i="1"/>
  <c r="AM3622" i="1"/>
  <c r="AN3618" i="1" l="1"/>
  <c r="AP3617" i="1"/>
  <c r="AM3623" i="1"/>
  <c r="AN3619" i="1" l="1"/>
  <c r="AP3618" i="1"/>
  <c r="AM3624" i="1"/>
  <c r="AN3620" i="1" l="1"/>
  <c r="AP3619" i="1"/>
  <c r="AM3625" i="1"/>
  <c r="AN3621" i="1" l="1"/>
  <c r="AP3620" i="1"/>
  <c r="AM3626" i="1"/>
  <c r="AN3622" i="1" l="1"/>
  <c r="AP3621" i="1"/>
  <c r="AM3627" i="1"/>
  <c r="AN3623" i="1" l="1"/>
  <c r="AP3622" i="1"/>
  <c r="AM3628" i="1"/>
  <c r="AN3624" i="1" l="1"/>
  <c r="AP3623" i="1"/>
  <c r="AM3629" i="1"/>
  <c r="AN3625" i="1" l="1"/>
  <c r="AP3624" i="1"/>
  <c r="AM3630" i="1"/>
  <c r="AN3626" i="1" l="1"/>
  <c r="AP3625" i="1"/>
  <c r="AM3631" i="1"/>
  <c r="AN3627" i="1" l="1"/>
  <c r="AP3626" i="1"/>
  <c r="AM3632" i="1"/>
  <c r="AN3628" i="1" l="1"/>
  <c r="AP3627" i="1"/>
  <c r="AM3633" i="1"/>
  <c r="AN3629" i="1" l="1"/>
  <c r="AP3628" i="1"/>
  <c r="AM3634" i="1"/>
  <c r="AN3630" i="1" l="1"/>
  <c r="AP3629" i="1"/>
  <c r="AM3635" i="1"/>
  <c r="AN3631" i="1" l="1"/>
  <c r="AP3630" i="1"/>
  <c r="AM3636" i="1"/>
  <c r="AN3632" i="1" l="1"/>
  <c r="AP3631" i="1"/>
  <c r="AM3637" i="1"/>
  <c r="AN3633" i="1" l="1"/>
  <c r="AP3632" i="1"/>
  <c r="AM3638" i="1"/>
  <c r="AN3634" i="1" l="1"/>
  <c r="AP3633" i="1"/>
  <c r="AM3639" i="1"/>
  <c r="AN3635" i="1" l="1"/>
  <c r="AP3634" i="1"/>
  <c r="AM3640" i="1"/>
  <c r="AN3636" i="1" l="1"/>
  <c r="AP3635" i="1"/>
  <c r="AM3641" i="1"/>
  <c r="AN3637" i="1" l="1"/>
  <c r="AP3636" i="1"/>
  <c r="AM3642" i="1"/>
  <c r="AN3638" i="1" l="1"/>
  <c r="AP3637" i="1"/>
  <c r="AM3643" i="1"/>
  <c r="AN3639" i="1" l="1"/>
  <c r="AP3638" i="1"/>
  <c r="AM3644" i="1"/>
  <c r="AN3640" i="1" l="1"/>
  <c r="AP3639" i="1"/>
  <c r="AM3645" i="1"/>
  <c r="AN3641" i="1" l="1"/>
  <c r="AP3640" i="1"/>
  <c r="AM3646" i="1"/>
  <c r="AN3642" i="1" l="1"/>
  <c r="AP3641" i="1"/>
  <c r="AM3647" i="1"/>
  <c r="AN3643" i="1" l="1"/>
  <c r="AP3642" i="1"/>
  <c r="AM3648" i="1"/>
  <c r="AN3644" i="1" l="1"/>
  <c r="AP3643" i="1"/>
  <c r="AM3649" i="1"/>
  <c r="AN3645" i="1" l="1"/>
  <c r="AP3644" i="1"/>
  <c r="AM3650" i="1"/>
  <c r="AN3646" i="1" l="1"/>
  <c r="AP3645" i="1"/>
  <c r="AM3651" i="1"/>
  <c r="AN3647" i="1" l="1"/>
  <c r="AP3646" i="1"/>
  <c r="AM3652" i="1"/>
  <c r="AN3648" i="1" l="1"/>
  <c r="AP3647" i="1"/>
  <c r="AM3653" i="1"/>
  <c r="AN3649" i="1" l="1"/>
  <c r="AP3648" i="1"/>
  <c r="AM3654" i="1"/>
  <c r="AN3650" i="1" l="1"/>
  <c r="AP3649" i="1"/>
  <c r="AM3655" i="1"/>
  <c r="AN3651" i="1" l="1"/>
  <c r="AP3650" i="1"/>
  <c r="AM3656" i="1"/>
  <c r="AN3652" i="1" l="1"/>
  <c r="AP3651" i="1"/>
  <c r="AM3657" i="1"/>
  <c r="AN3653" i="1" l="1"/>
  <c r="AP3652" i="1"/>
  <c r="AM3658" i="1"/>
  <c r="AN3654" i="1" l="1"/>
  <c r="AP3653" i="1"/>
  <c r="AM3659" i="1"/>
  <c r="AN3655" i="1" l="1"/>
  <c r="AP3654" i="1"/>
  <c r="AM3660" i="1"/>
  <c r="AN3656" i="1" l="1"/>
  <c r="AP3655" i="1"/>
  <c r="AM3661" i="1"/>
  <c r="AN3657" i="1" l="1"/>
  <c r="AP3656" i="1"/>
  <c r="AM3662" i="1"/>
  <c r="AN3658" i="1" l="1"/>
  <c r="AP3657" i="1"/>
  <c r="AM3663" i="1"/>
  <c r="AN3659" i="1" l="1"/>
  <c r="AP3658" i="1"/>
  <c r="AM3664" i="1"/>
  <c r="AN3660" i="1" l="1"/>
  <c r="AP3659" i="1"/>
  <c r="AM3665" i="1"/>
  <c r="AN3661" i="1" l="1"/>
  <c r="AP3660" i="1"/>
  <c r="AM3666" i="1"/>
  <c r="AN3662" i="1" l="1"/>
  <c r="AP3661" i="1"/>
  <c r="AM3667" i="1"/>
  <c r="AN3663" i="1" l="1"/>
  <c r="AP3662" i="1"/>
  <c r="AM3668" i="1"/>
  <c r="AN3664" i="1" l="1"/>
  <c r="AP3663" i="1"/>
  <c r="AM3669" i="1"/>
  <c r="AN3665" i="1" l="1"/>
  <c r="AP3664" i="1"/>
  <c r="AM3670" i="1"/>
  <c r="AN3666" i="1" l="1"/>
  <c r="AP3665" i="1"/>
  <c r="AM3671" i="1"/>
  <c r="AN3667" i="1" l="1"/>
  <c r="AP3666" i="1"/>
  <c r="AM3672" i="1"/>
  <c r="AN3668" i="1" l="1"/>
  <c r="AP3667" i="1"/>
  <c r="AM3673" i="1"/>
  <c r="AN3669" i="1" l="1"/>
  <c r="AP3668" i="1"/>
  <c r="AM3674" i="1"/>
  <c r="AN3670" i="1" l="1"/>
  <c r="AP3669" i="1"/>
  <c r="AM3675" i="1"/>
  <c r="AN3671" i="1" l="1"/>
  <c r="AP3670" i="1"/>
  <c r="AM3676" i="1"/>
  <c r="AN3672" i="1" l="1"/>
  <c r="AP3671" i="1"/>
  <c r="AM3677" i="1"/>
  <c r="AN3673" i="1" l="1"/>
  <c r="AP3672" i="1"/>
  <c r="AM3678" i="1"/>
  <c r="AN3674" i="1" l="1"/>
  <c r="AP3673" i="1"/>
  <c r="AM3679" i="1"/>
  <c r="AN3675" i="1" l="1"/>
  <c r="AP3674" i="1"/>
  <c r="AM3680" i="1"/>
  <c r="AN3676" i="1" l="1"/>
  <c r="AP3675" i="1"/>
  <c r="AM3681" i="1"/>
  <c r="AN3677" i="1" l="1"/>
  <c r="AP3676" i="1"/>
  <c r="AM3682" i="1"/>
  <c r="AN3678" i="1" l="1"/>
  <c r="AP3677" i="1"/>
  <c r="AM3683" i="1"/>
  <c r="AN3679" i="1" l="1"/>
  <c r="AP3678" i="1"/>
  <c r="AM3684" i="1"/>
  <c r="AN3680" i="1" l="1"/>
  <c r="AP3679" i="1"/>
  <c r="AM3685" i="1"/>
  <c r="AN3681" i="1" l="1"/>
  <c r="AP3680" i="1"/>
  <c r="AM3686" i="1"/>
  <c r="AN3682" i="1" l="1"/>
  <c r="AP3681" i="1"/>
  <c r="AM3687" i="1"/>
  <c r="AN3683" i="1" l="1"/>
  <c r="AP3682" i="1"/>
  <c r="AM3688" i="1"/>
  <c r="AN3684" i="1" l="1"/>
  <c r="AP3683" i="1"/>
  <c r="AM3689" i="1"/>
  <c r="AN3685" i="1" l="1"/>
  <c r="AP3684" i="1"/>
  <c r="AM3690" i="1"/>
  <c r="AN3686" i="1" l="1"/>
  <c r="AP3685" i="1"/>
  <c r="AM3691" i="1"/>
  <c r="AN3687" i="1" l="1"/>
  <c r="AP3686" i="1"/>
  <c r="AM3692" i="1"/>
  <c r="AN3688" i="1" l="1"/>
  <c r="AP3687" i="1"/>
  <c r="AM3693" i="1"/>
  <c r="AN3689" i="1" l="1"/>
  <c r="AP3688" i="1"/>
  <c r="AM3694" i="1"/>
  <c r="AN3690" i="1" l="1"/>
  <c r="AP3689" i="1"/>
  <c r="AM3695" i="1"/>
  <c r="AN3691" i="1" l="1"/>
  <c r="AP3690" i="1"/>
  <c r="AM3696" i="1"/>
  <c r="AN3692" i="1" l="1"/>
  <c r="AP3691" i="1"/>
  <c r="AM3697" i="1"/>
  <c r="AN3693" i="1" l="1"/>
  <c r="AP3692" i="1"/>
  <c r="AM3698" i="1"/>
  <c r="AN3694" i="1" l="1"/>
  <c r="AP3693" i="1"/>
  <c r="AM3699" i="1"/>
  <c r="AN3695" i="1" l="1"/>
  <c r="AP3694" i="1"/>
  <c r="AM3700" i="1"/>
  <c r="AN3696" i="1" l="1"/>
  <c r="AP3695" i="1"/>
  <c r="AM3701" i="1"/>
  <c r="AN3697" i="1" l="1"/>
  <c r="AP3696" i="1"/>
  <c r="AM3702" i="1"/>
  <c r="AN3698" i="1" l="1"/>
  <c r="AP3697" i="1"/>
  <c r="AM3703" i="1"/>
  <c r="AN3699" i="1" l="1"/>
  <c r="AP3698" i="1"/>
  <c r="AM3704" i="1"/>
  <c r="AN3700" i="1" l="1"/>
  <c r="AP3699" i="1"/>
  <c r="AM3705" i="1"/>
  <c r="AN3701" i="1" l="1"/>
  <c r="AP3700" i="1"/>
  <c r="AM3706" i="1"/>
  <c r="AN3702" i="1" l="1"/>
  <c r="AP3701" i="1"/>
  <c r="AM3707" i="1"/>
  <c r="AN3703" i="1" l="1"/>
  <c r="AP3702" i="1"/>
  <c r="AM3708" i="1"/>
  <c r="AN3704" i="1" l="1"/>
  <c r="AP3703" i="1"/>
  <c r="AM3709" i="1"/>
  <c r="AN3705" i="1" l="1"/>
  <c r="AP3704" i="1"/>
  <c r="AM3710" i="1"/>
  <c r="AN3706" i="1" l="1"/>
  <c r="AP3705" i="1"/>
  <c r="AM3711" i="1"/>
  <c r="AN3707" i="1" l="1"/>
  <c r="AP3706" i="1"/>
  <c r="AM3712" i="1"/>
  <c r="AN3708" i="1" l="1"/>
  <c r="AP3707" i="1"/>
  <c r="AM3713" i="1"/>
  <c r="AN3709" i="1" l="1"/>
  <c r="AP3708" i="1"/>
  <c r="AM3714" i="1"/>
  <c r="AN3710" i="1" l="1"/>
  <c r="AP3709" i="1"/>
  <c r="AM3715" i="1"/>
  <c r="AN3711" i="1" l="1"/>
  <c r="AP3710" i="1"/>
  <c r="AM3716" i="1"/>
  <c r="AN3712" i="1" l="1"/>
  <c r="AP3711" i="1"/>
  <c r="AM3717" i="1"/>
  <c r="AN3713" i="1" l="1"/>
  <c r="AP3712" i="1"/>
  <c r="AM3718" i="1"/>
  <c r="AN3714" i="1" l="1"/>
  <c r="AP3713" i="1"/>
  <c r="AM3719" i="1"/>
  <c r="AN3715" i="1" l="1"/>
  <c r="AP3714" i="1"/>
  <c r="AM3720" i="1"/>
  <c r="AN3716" i="1" l="1"/>
  <c r="AP3715" i="1"/>
  <c r="AM3721" i="1"/>
  <c r="AN3717" i="1" l="1"/>
  <c r="AP3716" i="1"/>
  <c r="AM3722" i="1"/>
  <c r="AN3718" i="1" l="1"/>
  <c r="AP3717" i="1"/>
  <c r="AM3723" i="1"/>
  <c r="AN3719" i="1" l="1"/>
  <c r="AP3718" i="1"/>
  <c r="AM3724" i="1"/>
  <c r="AN3720" i="1" l="1"/>
  <c r="AP3719" i="1"/>
  <c r="AM3725" i="1"/>
  <c r="AN3721" i="1" l="1"/>
  <c r="AP3720" i="1"/>
  <c r="AM3726" i="1"/>
  <c r="AN3722" i="1" l="1"/>
  <c r="AP3721" i="1"/>
  <c r="AM3727" i="1"/>
  <c r="AN3723" i="1" l="1"/>
  <c r="AP3722" i="1"/>
  <c r="AM3728" i="1"/>
  <c r="AN3724" i="1" l="1"/>
  <c r="AP3723" i="1"/>
  <c r="AM3729" i="1"/>
  <c r="AN3725" i="1" l="1"/>
  <c r="AP3724" i="1"/>
  <c r="AM3730" i="1"/>
  <c r="AN3726" i="1" l="1"/>
  <c r="AP3725" i="1"/>
  <c r="AM3731" i="1"/>
  <c r="AN3727" i="1" l="1"/>
  <c r="AP3726" i="1"/>
  <c r="AM3732" i="1"/>
  <c r="AN3728" i="1" l="1"/>
  <c r="AP3727" i="1"/>
  <c r="AM3733" i="1"/>
  <c r="AN3729" i="1" l="1"/>
  <c r="AP3728" i="1"/>
  <c r="AM3734" i="1"/>
  <c r="AN3730" i="1" l="1"/>
  <c r="AP3729" i="1"/>
  <c r="AM3735" i="1"/>
  <c r="AN3731" i="1" l="1"/>
  <c r="AP3730" i="1"/>
  <c r="AM3736" i="1"/>
  <c r="AN3732" i="1" l="1"/>
  <c r="AP3731" i="1"/>
  <c r="AM3737" i="1"/>
  <c r="AN3733" i="1" l="1"/>
  <c r="AP3732" i="1"/>
  <c r="AM3738" i="1"/>
  <c r="AN3734" i="1" l="1"/>
  <c r="AP3733" i="1"/>
  <c r="AM3739" i="1"/>
  <c r="AN3735" i="1" l="1"/>
  <c r="AP3734" i="1"/>
  <c r="AM3740" i="1"/>
  <c r="AN3736" i="1" l="1"/>
  <c r="AP3735" i="1"/>
  <c r="AM3741" i="1"/>
  <c r="AN3737" i="1" l="1"/>
  <c r="AP3736" i="1"/>
  <c r="AM3742" i="1"/>
  <c r="AN3738" i="1" l="1"/>
  <c r="AP3737" i="1"/>
  <c r="AM3743" i="1"/>
  <c r="AN3739" i="1" l="1"/>
  <c r="AP3738" i="1"/>
  <c r="AM3744" i="1"/>
  <c r="AN3740" i="1" l="1"/>
  <c r="AP3739" i="1"/>
  <c r="AM3745" i="1"/>
  <c r="AN3741" i="1" l="1"/>
  <c r="AP3740" i="1"/>
  <c r="AM3746" i="1"/>
  <c r="AN3742" i="1" l="1"/>
  <c r="AP3741" i="1"/>
  <c r="AM3747" i="1"/>
  <c r="AN3743" i="1" l="1"/>
  <c r="AP3742" i="1"/>
  <c r="AM3748" i="1"/>
  <c r="AN3744" i="1" l="1"/>
  <c r="AP3743" i="1"/>
  <c r="AM3749" i="1"/>
  <c r="AN3745" i="1" l="1"/>
  <c r="AP3744" i="1"/>
  <c r="AM3750" i="1"/>
  <c r="AN3746" i="1" l="1"/>
  <c r="AP3745" i="1"/>
  <c r="AM3751" i="1"/>
  <c r="AN3747" i="1" l="1"/>
  <c r="AP3746" i="1"/>
  <c r="AM3752" i="1"/>
  <c r="AN3748" i="1" l="1"/>
  <c r="AP3747" i="1"/>
  <c r="AM3753" i="1"/>
  <c r="AN3749" i="1" l="1"/>
  <c r="AP3748" i="1"/>
  <c r="AM3754" i="1"/>
  <c r="AN3750" i="1" l="1"/>
  <c r="AP3749" i="1"/>
  <c r="AM3755" i="1"/>
  <c r="AN3751" i="1" l="1"/>
  <c r="AP3750" i="1"/>
  <c r="AM3756" i="1"/>
  <c r="AN3752" i="1" l="1"/>
  <c r="AP3751" i="1"/>
  <c r="AM3757" i="1"/>
  <c r="AN3753" i="1" l="1"/>
  <c r="AP3752" i="1"/>
  <c r="AM3758" i="1"/>
  <c r="AN3754" i="1" l="1"/>
  <c r="AP3753" i="1"/>
  <c r="AM3759" i="1"/>
  <c r="AN3755" i="1" l="1"/>
  <c r="AP3754" i="1"/>
  <c r="AM3760" i="1"/>
  <c r="AN3756" i="1" l="1"/>
  <c r="AP3755" i="1"/>
  <c r="AM3761" i="1"/>
  <c r="AN3757" i="1" l="1"/>
  <c r="AP3756" i="1"/>
  <c r="AM3762" i="1"/>
  <c r="AN3758" i="1" l="1"/>
  <c r="AP3757" i="1"/>
  <c r="AM3763" i="1"/>
  <c r="AN3759" i="1" l="1"/>
  <c r="AP3758" i="1"/>
  <c r="AM3764" i="1"/>
  <c r="AN3760" i="1" l="1"/>
  <c r="AP3759" i="1"/>
  <c r="AM3765" i="1"/>
  <c r="AN3761" i="1" l="1"/>
  <c r="AP3760" i="1"/>
  <c r="AM3766" i="1"/>
  <c r="AN3762" i="1" l="1"/>
  <c r="AP3761" i="1"/>
  <c r="AM3767" i="1"/>
  <c r="AN3763" i="1" l="1"/>
  <c r="AP3762" i="1"/>
  <c r="AM3768" i="1"/>
  <c r="AN3764" i="1" l="1"/>
  <c r="AP3763" i="1"/>
  <c r="AM3769" i="1"/>
  <c r="AN3765" i="1" l="1"/>
  <c r="AP3764" i="1"/>
  <c r="AM3770" i="1"/>
  <c r="AN3766" i="1" l="1"/>
  <c r="AP3765" i="1"/>
  <c r="AM3771" i="1"/>
  <c r="AN3767" i="1" l="1"/>
  <c r="AP3766" i="1"/>
  <c r="AM3772" i="1"/>
  <c r="AN3768" i="1" l="1"/>
  <c r="AP3767" i="1"/>
  <c r="AM3773" i="1"/>
  <c r="AN3769" i="1" l="1"/>
  <c r="AP3768" i="1"/>
  <c r="AM3774" i="1"/>
  <c r="AN3770" i="1" l="1"/>
  <c r="AP3769" i="1"/>
  <c r="AM3775" i="1"/>
  <c r="AN3771" i="1" l="1"/>
  <c r="AP3770" i="1"/>
  <c r="AM3776" i="1"/>
  <c r="AN3772" i="1" l="1"/>
  <c r="AP3771" i="1"/>
  <c r="AM3777" i="1"/>
  <c r="AN3773" i="1" l="1"/>
  <c r="AP3772" i="1"/>
  <c r="AM3778" i="1"/>
  <c r="AN3774" i="1" l="1"/>
  <c r="AP3773" i="1"/>
  <c r="AM3779" i="1"/>
  <c r="AN3775" i="1" l="1"/>
  <c r="AP3774" i="1"/>
  <c r="AM3780" i="1"/>
  <c r="AN3776" i="1" l="1"/>
  <c r="AP3775" i="1"/>
  <c r="AM3781" i="1"/>
  <c r="AN3777" i="1" l="1"/>
  <c r="AP3776" i="1"/>
  <c r="AM3782" i="1"/>
  <c r="AN3778" i="1" l="1"/>
  <c r="AP3777" i="1"/>
  <c r="AM3783" i="1"/>
  <c r="AN3779" i="1" l="1"/>
  <c r="AP3778" i="1"/>
  <c r="AM3784" i="1"/>
  <c r="AN3780" i="1" l="1"/>
  <c r="AP3779" i="1"/>
  <c r="AM3785" i="1"/>
  <c r="AN3781" i="1" l="1"/>
  <c r="AP3780" i="1"/>
  <c r="AM3786" i="1"/>
  <c r="AN3782" i="1" l="1"/>
  <c r="AP3781" i="1"/>
  <c r="AM3787" i="1"/>
  <c r="AN3783" i="1" l="1"/>
  <c r="AP3782" i="1"/>
  <c r="AM3788" i="1"/>
  <c r="AN3784" i="1" l="1"/>
  <c r="AP3783" i="1"/>
  <c r="AM3789" i="1"/>
  <c r="AN3785" i="1" l="1"/>
  <c r="AP3784" i="1"/>
  <c r="AM3790" i="1"/>
  <c r="AN3786" i="1" l="1"/>
  <c r="AP3785" i="1"/>
  <c r="AM3791" i="1"/>
  <c r="AN3787" i="1" l="1"/>
  <c r="AP3786" i="1"/>
  <c r="AM3792" i="1"/>
  <c r="AN3788" i="1" l="1"/>
  <c r="AP3787" i="1"/>
  <c r="AM3793" i="1"/>
  <c r="AN3789" i="1" l="1"/>
  <c r="AP3788" i="1"/>
  <c r="AM3794" i="1"/>
  <c r="AN3790" i="1" l="1"/>
  <c r="AP3789" i="1"/>
  <c r="AM3795" i="1"/>
  <c r="AN3791" i="1" l="1"/>
  <c r="AP3790" i="1"/>
  <c r="AM3796" i="1"/>
  <c r="AN3792" i="1" l="1"/>
  <c r="AP3791" i="1"/>
  <c r="AM3797" i="1"/>
  <c r="AN3793" i="1" l="1"/>
  <c r="AP3792" i="1"/>
  <c r="AM3798" i="1"/>
  <c r="AN3794" i="1" l="1"/>
  <c r="AP3793" i="1"/>
  <c r="AM3799" i="1"/>
  <c r="AN3795" i="1" l="1"/>
  <c r="AP3794" i="1"/>
  <c r="AM3800" i="1"/>
  <c r="AN3796" i="1" l="1"/>
  <c r="AP3795" i="1"/>
  <c r="AM3801" i="1"/>
  <c r="AN3797" i="1" l="1"/>
  <c r="AP3796" i="1"/>
  <c r="AM3802" i="1"/>
  <c r="AN3798" i="1" l="1"/>
  <c r="AP3797" i="1"/>
  <c r="AM3803" i="1"/>
  <c r="AN3799" i="1" l="1"/>
  <c r="AP3798" i="1"/>
  <c r="AM3804" i="1"/>
  <c r="AN3800" i="1" l="1"/>
  <c r="AP3799" i="1"/>
  <c r="AM3805" i="1"/>
  <c r="AN3801" i="1" l="1"/>
  <c r="AP3800" i="1"/>
  <c r="AM3806" i="1"/>
  <c r="AN3802" i="1" l="1"/>
  <c r="AP3801" i="1"/>
  <c r="AM3807" i="1"/>
  <c r="AN3803" i="1" l="1"/>
  <c r="AP3802" i="1"/>
  <c r="AM3808" i="1"/>
  <c r="AN3804" i="1" l="1"/>
  <c r="AP3803" i="1"/>
  <c r="AM3809" i="1"/>
  <c r="AN3805" i="1" l="1"/>
  <c r="AP3804" i="1"/>
  <c r="AM3810" i="1"/>
  <c r="AN3806" i="1" l="1"/>
  <c r="AP3805" i="1"/>
  <c r="AM3811" i="1"/>
  <c r="AN3807" i="1" l="1"/>
  <c r="AP3806" i="1"/>
  <c r="AM3812" i="1"/>
  <c r="AN3808" i="1" l="1"/>
  <c r="AP3807" i="1"/>
  <c r="AM3813" i="1"/>
  <c r="AN3809" i="1" l="1"/>
  <c r="AP3808" i="1"/>
  <c r="AM3814" i="1"/>
  <c r="AN3810" i="1" l="1"/>
  <c r="AP3809" i="1"/>
  <c r="AM3815" i="1"/>
  <c r="AN3811" i="1" l="1"/>
  <c r="AP3810" i="1"/>
  <c r="AM3816" i="1"/>
  <c r="AN3812" i="1" l="1"/>
  <c r="AP3811" i="1"/>
  <c r="AM3817" i="1"/>
  <c r="AN3813" i="1" l="1"/>
  <c r="AP3812" i="1"/>
  <c r="AM3818" i="1"/>
  <c r="AN3814" i="1" l="1"/>
  <c r="AP3813" i="1"/>
  <c r="AM3819" i="1"/>
  <c r="AN3815" i="1" l="1"/>
  <c r="AP3814" i="1"/>
  <c r="AM3820" i="1"/>
  <c r="AN3816" i="1" l="1"/>
  <c r="AP3815" i="1"/>
  <c r="AM3821" i="1"/>
  <c r="AN3817" i="1" l="1"/>
  <c r="AP3816" i="1"/>
  <c r="AM3822" i="1"/>
  <c r="AN3818" i="1" l="1"/>
  <c r="AP3817" i="1"/>
  <c r="AM3823" i="1"/>
  <c r="AN3819" i="1" l="1"/>
  <c r="AP3818" i="1"/>
  <c r="AM3824" i="1"/>
  <c r="AN3820" i="1" l="1"/>
  <c r="AP3819" i="1"/>
  <c r="AM3825" i="1"/>
  <c r="AN3821" i="1" l="1"/>
  <c r="AP3820" i="1"/>
  <c r="AM3826" i="1"/>
  <c r="AN3822" i="1" l="1"/>
  <c r="AP3821" i="1"/>
  <c r="AM3827" i="1"/>
  <c r="AN3823" i="1" l="1"/>
  <c r="AP3822" i="1"/>
  <c r="AM3828" i="1"/>
  <c r="AN3824" i="1" l="1"/>
  <c r="AP3823" i="1"/>
  <c r="AM3829" i="1"/>
  <c r="AN3825" i="1" l="1"/>
  <c r="AP3824" i="1"/>
  <c r="AM3830" i="1"/>
  <c r="AN3826" i="1" l="1"/>
  <c r="AP3825" i="1"/>
  <c r="AM3831" i="1"/>
  <c r="AN3827" i="1" l="1"/>
  <c r="AP3826" i="1"/>
  <c r="AM3832" i="1"/>
  <c r="AN3828" i="1" l="1"/>
  <c r="AP3827" i="1"/>
  <c r="AM3833" i="1"/>
  <c r="AN3829" i="1" l="1"/>
  <c r="AP3828" i="1"/>
  <c r="AM3834" i="1"/>
  <c r="AN3830" i="1" l="1"/>
  <c r="AP3829" i="1"/>
  <c r="AM3835" i="1"/>
  <c r="AN3831" i="1" l="1"/>
  <c r="AP3830" i="1"/>
  <c r="AM3836" i="1"/>
  <c r="AN3832" i="1" l="1"/>
  <c r="AP3831" i="1"/>
  <c r="AM3837" i="1"/>
  <c r="AN3833" i="1" l="1"/>
  <c r="AP3832" i="1"/>
  <c r="AM3838" i="1"/>
  <c r="AN3834" i="1" l="1"/>
  <c r="AP3833" i="1"/>
  <c r="AM3839" i="1"/>
  <c r="AN3835" i="1" l="1"/>
  <c r="AP3834" i="1"/>
  <c r="AM3840" i="1"/>
  <c r="AN3836" i="1" l="1"/>
  <c r="AP3835" i="1"/>
  <c r="AM3841" i="1"/>
  <c r="AN3837" i="1" l="1"/>
  <c r="AP3836" i="1"/>
  <c r="AM3842" i="1"/>
  <c r="AN3838" i="1" l="1"/>
  <c r="AP3837" i="1"/>
  <c r="AM3843" i="1"/>
  <c r="AN3839" i="1" l="1"/>
  <c r="AP3838" i="1"/>
  <c r="AM3844" i="1"/>
  <c r="AN3840" i="1" l="1"/>
  <c r="AP3839" i="1"/>
  <c r="AM3845" i="1"/>
  <c r="AN3841" i="1" l="1"/>
  <c r="AP3840" i="1"/>
  <c r="AM3846" i="1"/>
  <c r="AN3842" i="1" l="1"/>
  <c r="AP3841" i="1"/>
  <c r="AM3847" i="1"/>
  <c r="AN3843" i="1" l="1"/>
  <c r="AP3842" i="1"/>
  <c r="AM3848" i="1"/>
  <c r="AN3844" i="1" l="1"/>
  <c r="AP3843" i="1"/>
  <c r="AM3849" i="1"/>
  <c r="AN3845" i="1" l="1"/>
  <c r="AP3844" i="1"/>
  <c r="AM3850" i="1"/>
  <c r="AN3846" i="1" l="1"/>
  <c r="AP3845" i="1"/>
  <c r="AM3851" i="1"/>
  <c r="AN3847" i="1" l="1"/>
  <c r="AP3846" i="1"/>
  <c r="AM3852" i="1"/>
  <c r="AN3848" i="1" l="1"/>
  <c r="AP3847" i="1"/>
  <c r="AM3853" i="1"/>
  <c r="AN3849" i="1" l="1"/>
  <c r="AP3848" i="1"/>
  <c r="AM3854" i="1"/>
  <c r="AN3850" i="1" l="1"/>
  <c r="AP3849" i="1"/>
  <c r="AM3855" i="1"/>
  <c r="AN3851" i="1" l="1"/>
  <c r="AP3850" i="1"/>
  <c r="AM3856" i="1"/>
  <c r="AN3852" i="1" l="1"/>
  <c r="AP3851" i="1"/>
  <c r="AM3857" i="1"/>
  <c r="AN3853" i="1" l="1"/>
  <c r="AP3852" i="1"/>
  <c r="AM3858" i="1"/>
  <c r="AN3854" i="1" l="1"/>
  <c r="AP3853" i="1"/>
  <c r="AM3859" i="1"/>
  <c r="AN3855" i="1" l="1"/>
  <c r="AP3854" i="1"/>
  <c r="AM3860" i="1"/>
  <c r="AN3856" i="1" l="1"/>
  <c r="AP3855" i="1"/>
  <c r="AM3861" i="1"/>
  <c r="AN3857" i="1" l="1"/>
  <c r="AP3856" i="1"/>
  <c r="AM3862" i="1"/>
  <c r="AN3858" i="1" l="1"/>
  <c r="AP3857" i="1"/>
  <c r="AM3863" i="1"/>
  <c r="AN3859" i="1" l="1"/>
  <c r="AP3858" i="1"/>
  <c r="AM3864" i="1"/>
  <c r="AN3860" i="1" l="1"/>
  <c r="AP3859" i="1"/>
  <c r="AM3865" i="1"/>
  <c r="AN3861" i="1" l="1"/>
  <c r="AP3860" i="1"/>
  <c r="AM3866" i="1"/>
  <c r="AN3862" i="1" l="1"/>
  <c r="AP3861" i="1"/>
  <c r="AM3867" i="1"/>
  <c r="AN3863" i="1" l="1"/>
  <c r="AP3862" i="1"/>
  <c r="AM3868" i="1"/>
  <c r="AN3864" i="1" l="1"/>
  <c r="AP3863" i="1"/>
  <c r="AM3869" i="1"/>
  <c r="AN3865" i="1" l="1"/>
  <c r="AP3864" i="1"/>
  <c r="AM3870" i="1"/>
  <c r="AN3866" i="1" l="1"/>
  <c r="AP3865" i="1"/>
  <c r="AM3871" i="1"/>
  <c r="AN3867" i="1" l="1"/>
  <c r="AP3866" i="1"/>
  <c r="AM3872" i="1"/>
  <c r="AN3868" i="1" l="1"/>
  <c r="AP3867" i="1"/>
  <c r="AM3873" i="1"/>
  <c r="AN3869" i="1" l="1"/>
  <c r="AP3868" i="1"/>
  <c r="AM3874" i="1"/>
  <c r="AN3870" i="1" l="1"/>
  <c r="AP3869" i="1"/>
  <c r="AM3875" i="1"/>
  <c r="AN3871" i="1" l="1"/>
  <c r="AP3870" i="1"/>
  <c r="AM3876" i="1"/>
  <c r="AN3872" i="1" l="1"/>
  <c r="AP3871" i="1"/>
  <c r="AM3877" i="1"/>
  <c r="AN3873" i="1" l="1"/>
  <c r="AP3872" i="1"/>
  <c r="AM3878" i="1"/>
  <c r="AN3874" i="1" l="1"/>
  <c r="AP3873" i="1"/>
  <c r="AM3879" i="1"/>
  <c r="AN3875" i="1" l="1"/>
  <c r="AP3874" i="1"/>
  <c r="AM3880" i="1"/>
  <c r="AN3876" i="1" l="1"/>
  <c r="AP3875" i="1"/>
  <c r="AM3881" i="1"/>
  <c r="AN3877" i="1" l="1"/>
  <c r="AP3876" i="1"/>
  <c r="AM3882" i="1"/>
  <c r="AN3878" i="1" l="1"/>
  <c r="AP3877" i="1"/>
  <c r="AM3883" i="1"/>
  <c r="AN3879" i="1" l="1"/>
  <c r="AP3878" i="1"/>
  <c r="AM3884" i="1"/>
  <c r="AN3880" i="1" l="1"/>
  <c r="AP3879" i="1"/>
  <c r="AM3885" i="1"/>
  <c r="AN3881" i="1" l="1"/>
  <c r="AP3880" i="1"/>
  <c r="AM3886" i="1"/>
  <c r="AN3882" i="1" l="1"/>
  <c r="AP3881" i="1"/>
  <c r="AM3887" i="1"/>
  <c r="AN3883" i="1" l="1"/>
  <c r="AP3882" i="1"/>
  <c r="AM3888" i="1"/>
  <c r="AN3884" i="1" l="1"/>
  <c r="AP3883" i="1"/>
  <c r="AM3889" i="1"/>
  <c r="AN3885" i="1" l="1"/>
  <c r="AP3884" i="1"/>
  <c r="AM3890" i="1"/>
  <c r="AN3886" i="1" l="1"/>
  <c r="AP3885" i="1"/>
  <c r="AM3891" i="1"/>
  <c r="AN3887" i="1" l="1"/>
  <c r="AP3886" i="1"/>
  <c r="AM3892" i="1"/>
  <c r="AN3888" i="1" l="1"/>
  <c r="AP3887" i="1"/>
  <c r="AM3893" i="1"/>
  <c r="AN3889" i="1" l="1"/>
  <c r="AP3888" i="1"/>
  <c r="AM3894" i="1"/>
  <c r="AN3890" i="1" l="1"/>
  <c r="AP3889" i="1"/>
  <c r="AM3895" i="1"/>
  <c r="AN3891" i="1" l="1"/>
  <c r="AP3890" i="1"/>
  <c r="AM3896" i="1"/>
  <c r="AN3892" i="1" l="1"/>
  <c r="AP3891" i="1"/>
  <c r="AM3897" i="1"/>
  <c r="AN3893" i="1" l="1"/>
  <c r="AP3892" i="1"/>
  <c r="AM3898" i="1"/>
  <c r="AN3894" i="1" l="1"/>
  <c r="AP3893" i="1"/>
  <c r="AM3899" i="1"/>
  <c r="AN3895" i="1" l="1"/>
  <c r="AP3894" i="1"/>
  <c r="AM3900" i="1"/>
  <c r="AN3896" i="1" l="1"/>
  <c r="AP3895" i="1"/>
  <c r="AM3901" i="1"/>
  <c r="AN3897" i="1" l="1"/>
  <c r="AP3896" i="1"/>
  <c r="AM3902" i="1"/>
  <c r="AN3898" i="1" l="1"/>
  <c r="AP3897" i="1"/>
  <c r="AM3903" i="1"/>
  <c r="AN3899" i="1" l="1"/>
  <c r="AP3898" i="1"/>
  <c r="AM3904" i="1"/>
  <c r="AN3900" i="1" l="1"/>
  <c r="AP3899" i="1"/>
  <c r="AM3905" i="1"/>
  <c r="AN3901" i="1" l="1"/>
  <c r="AP3900" i="1"/>
  <c r="AM3906" i="1"/>
  <c r="AN3902" i="1" l="1"/>
  <c r="AP3901" i="1"/>
  <c r="AM3907" i="1"/>
  <c r="AN3903" i="1" l="1"/>
  <c r="AP3902" i="1"/>
  <c r="AM3908" i="1"/>
  <c r="AN3904" i="1" l="1"/>
  <c r="AP3903" i="1"/>
  <c r="AM3909" i="1"/>
  <c r="AN3905" i="1" l="1"/>
  <c r="AP3904" i="1"/>
  <c r="AM3910" i="1"/>
  <c r="AN3906" i="1" l="1"/>
  <c r="AP3905" i="1"/>
  <c r="AM3911" i="1"/>
  <c r="AN3907" i="1" l="1"/>
  <c r="AP3906" i="1"/>
  <c r="AM3912" i="1"/>
  <c r="AN3908" i="1" l="1"/>
  <c r="AP3907" i="1"/>
  <c r="AM3913" i="1"/>
  <c r="AN3909" i="1" l="1"/>
  <c r="AP3908" i="1"/>
  <c r="AM3914" i="1"/>
  <c r="AN3910" i="1" l="1"/>
  <c r="AP3909" i="1"/>
  <c r="AM3915" i="1"/>
  <c r="AN3911" i="1" l="1"/>
  <c r="AP3910" i="1"/>
  <c r="AM3916" i="1"/>
  <c r="AN3912" i="1" l="1"/>
  <c r="AP3911" i="1"/>
  <c r="AM3917" i="1"/>
  <c r="AN3913" i="1" l="1"/>
  <c r="AP3912" i="1"/>
  <c r="AM3918" i="1"/>
  <c r="AN3914" i="1" l="1"/>
  <c r="AP3913" i="1"/>
  <c r="AM3919" i="1"/>
  <c r="AN3915" i="1" l="1"/>
  <c r="AP3914" i="1"/>
  <c r="AM3920" i="1"/>
  <c r="AN3916" i="1" l="1"/>
  <c r="AP3915" i="1"/>
  <c r="AM3921" i="1"/>
  <c r="AN3917" i="1" l="1"/>
  <c r="AP3916" i="1"/>
  <c r="AM3922" i="1"/>
  <c r="AN3918" i="1" l="1"/>
  <c r="AP3917" i="1"/>
  <c r="AM3923" i="1"/>
  <c r="AN3919" i="1" l="1"/>
  <c r="AP3918" i="1"/>
  <c r="AM3924" i="1"/>
  <c r="AN3920" i="1" l="1"/>
  <c r="AP3919" i="1"/>
  <c r="AM3925" i="1"/>
  <c r="AN3921" i="1" l="1"/>
  <c r="AP3920" i="1"/>
  <c r="AM3926" i="1"/>
  <c r="AN3922" i="1" l="1"/>
  <c r="AP3921" i="1"/>
  <c r="AM3927" i="1"/>
  <c r="AN3923" i="1" l="1"/>
  <c r="AP3922" i="1"/>
  <c r="AM3928" i="1"/>
  <c r="AN3924" i="1" l="1"/>
  <c r="AP3923" i="1"/>
  <c r="AM3929" i="1"/>
  <c r="AN3925" i="1" l="1"/>
  <c r="AP3924" i="1"/>
  <c r="AM3930" i="1"/>
  <c r="AN3926" i="1" l="1"/>
  <c r="AP3925" i="1"/>
  <c r="AM3931" i="1"/>
  <c r="AN3927" i="1" l="1"/>
  <c r="AP3926" i="1"/>
  <c r="AM3932" i="1"/>
  <c r="AN3928" i="1" l="1"/>
  <c r="AP3927" i="1"/>
  <c r="AM3933" i="1"/>
  <c r="AN3929" i="1" l="1"/>
  <c r="AP3928" i="1"/>
  <c r="AM3934" i="1"/>
  <c r="AN3930" i="1" l="1"/>
  <c r="AP3929" i="1"/>
  <c r="AM3935" i="1"/>
  <c r="AN3931" i="1" l="1"/>
  <c r="AP3930" i="1"/>
  <c r="AM3936" i="1"/>
  <c r="AN3932" i="1" l="1"/>
  <c r="AP3931" i="1"/>
  <c r="AM3937" i="1"/>
  <c r="AN3933" i="1" l="1"/>
  <c r="AP3932" i="1"/>
  <c r="AM3938" i="1"/>
  <c r="AN3934" i="1" l="1"/>
  <c r="AP3933" i="1"/>
  <c r="AM3939" i="1"/>
  <c r="AN3935" i="1" l="1"/>
  <c r="AP3934" i="1"/>
  <c r="AM3940" i="1"/>
  <c r="AN3936" i="1" l="1"/>
  <c r="AP3935" i="1"/>
  <c r="AM3941" i="1"/>
  <c r="AN3937" i="1" l="1"/>
  <c r="AP3936" i="1"/>
  <c r="AM3942" i="1"/>
  <c r="AN3938" i="1" l="1"/>
  <c r="AP3937" i="1"/>
  <c r="AM3943" i="1"/>
  <c r="AN3939" i="1" l="1"/>
  <c r="AP3938" i="1"/>
  <c r="AM3944" i="1"/>
  <c r="AN3940" i="1" l="1"/>
  <c r="AP3939" i="1"/>
  <c r="AM3945" i="1"/>
  <c r="AN3941" i="1" l="1"/>
  <c r="AP3940" i="1"/>
  <c r="AM3946" i="1"/>
  <c r="AN3942" i="1" l="1"/>
  <c r="AP3941" i="1"/>
  <c r="AM3947" i="1"/>
  <c r="AN3943" i="1" l="1"/>
  <c r="AP3942" i="1"/>
  <c r="AM3948" i="1"/>
  <c r="AN3944" i="1" l="1"/>
  <c r="AP3943" i="1"/>
  <c r="AM3949" i="1"/>
  <c r="AN3945" i="1" l="1"/>
  <c r="AP3944" i="1"/>
  <c r="AM3950" i="1"/>
  <c r="AN3946" i="1" l="1"/>
  <c r="AP3945" i="1"/>
  <c r="AM3951" i="1"/>
  <c r="AN3947" i="1" l="1"/>
  <c r="AP3946" i="1"/>
  <c r="AM3952" i="1"/>
  <c r="AN3948" i="1" l="1"/>
  <c r="AP3947" i="1"/>
  <c r="AM3953" i="1"/>
  <c r="AN3949" i="1" l="1"/>
  <c r="AP3948" i="1"/>
  <c r="AM3954" i="1"/>
  <c r="AN3950" i="1" l="1"/>
  <c r="AP3949" i="1"/>
  <c r="AM3955" i="1"/>
  <c r="AN3951" i="1" l="1"/>
  <c r="AP3950" i="1"/>
  <c r="AM3956" i="1"/>
  <c r="AN3952" i="1" l="1"/>
  <c r="AP3951" i="1"/>
  <c r="AM3957" i="1"/>
  <c r="AN3953" i="1" l="1"/>
  <c r="AP3952" i="1"/>
  <c r="AM3958" i="1"/>
  <c r="AN3954" i="1" l="1"/>
  <c r="AP3953" i="1"/>
  <c r="AM3959" i="1"/>
  <c r="AN3955" i="1" l="1"/>
  <c r="AP3954" i="1"/>
  <c r="AM3960" i="1"/>
  <c r="AN3956" i="1" l="1"/>
  <c r="AP3955" i="1"/>
  <c r="AM3961" i="1"/>
  <c r="AN3957" i="1" l="1"/>
  <c r="AP3956" i="1"/>
  <c r="AM3962" i="1"/>
  <c r="AN3958" i="1" l="1"/>
  <c r="AP3957" i="1"/>
  <c r="AM3963" i="1"/>
  <c r="AN3959" i="1" l="1"/>
  <c r="AP3958" i="1"/>
  <c r="AM3964" i="1"/>
  <c r="AN3960" i="1" l="1"/>
  <c r="AP3959" i="1"/>
  <c r="AM3965" i="1"/>
  <c r="AN3961" i="1" l="1"/>
  <c r="AP3960" i="1"/>
  <c r="AM3966" i="1"/>
  <c r="AN3962" i="1" l="1"/>
  <c r="AP3961" i="1"/>
  <c r="AM3967" i="1"/>
  <c r="AN3963" i="1" l="1"/>
  <c r="AP3962" i="1"/>
  <c r="AM3968" i="1"/>
  <c r="AN3964" i="1" l="1"/>
  <c r="AP3963" i="1"/>
  <c r="AM3969" i="1"/>
  <c r="AN3965" i="1" l="1"/>
  <c r="AP3964" i="1"/>
  <c r="AM3970" i="1"/>
  <c r="AN3966" i="1" l="1"/>
  <c r="AP3965" i="1"/>
  <c r="AM3971" i="1"/>
  <c r="AN3967" i="1" l="1"/>
  <c r="AP3966" i="1"/>
  <c r="AM3972" i="1"/>
  <c r="AN3968" i="1" l="1"/>
  <c r="AP3967" i="1"/>
  <c r="AM3973" i="1"/>
  <c r="AN3969" i="1" l="1"/>
  <c r="AP3968" i="1"/>
  <c r="AM3974" i="1"/>
  <c r="AN3970" i="1" l="1"/>
  <c r="AP3969" i="1"/>
  <c r="AM3975" i="1"/>
  <c r="AN3971" i="1" l="1"/>
  <c r="AP3970" i="1"/>
  <c r="AM3976" i="1"/>
  <c r="AN3972" i="1" l="1"/>
  <c r="AP3971" i="1"/>
  <c r="AM3977" i="1"/>
  <c r="AN3973" i="1" l="1"/>
  <c r="AP3972" i="1"/>
  <c r="AM3978" i="1"/>
  <c r="AN3974" i="1" l="1"/>
  <c r="AP3973" i="1"/>
  <c r="AM3979" i="1"/>
  <c r="AN3975" i="1" l="1"/>
  <c r="AP3974" i="1"/>
  <c r="AM3980" i="1"/>
  <c r="AN3976" i="1" l="1"/>
  <c r="AP3975" i="1"/>
  <c r="AM3981" i="1"/>
  <c r="AN3977" i="1" l="1"/>
  <c r="AP3976" i="1"/>
  <c r="AM3982" i="1"/>
  <c r="AN3978" i="1" l="1"/>
  <c r="AP3977" i="1"/>
  <c r="AM3983" i="1"/>
  <c r="AN3979" i="1" l="1"/>
  <c r="AP3978" i="1"/>
  <c r="AM3984" i="1"/>
  <c r="AN3980" i="1" l="1"/>
  <c r="AP3979" i="1"/>
  <c r="AM3985" i="1"/>
  <c r="AN3981" i="1" l="1"/>
  <c r="AP3980" i="1"/>
  <c r="AM3986" i="1"/>
  <c r="AN3982" i="1" l="1"/>
  <c r="AP3981" i="1"/>
  <c r="AM3987" i="1"/>
  <c r="AN3983" i="1" l="1"/>
  <c r="AP3982" i="1"/>
  <c r="AM3988" i="1"/>
  <c r="AN3984" i="1" l="1"/>
  <c r="AP3983" i="1"/>
  <c r="AM3989" i="1"/>
  <c r="AN3985" i="1" l="1"/>
  <c r="AP3984" i="1"/>
  <c r="AM3990" i="1"/>
  <c r="AN3986" i="1" l="1"/>
  <c r="AP3985" i="1"/>
  <c r="AM3991" i="1"/>
  <c r="AN3987" i="1" l="1"/>
  <c r="AP3986" i="1"/>
  <c r="AM3992" i="1"/>
  <c r="AN3988" i="1" l="1"/>
  <c r="AP3987" i="1"/>
  <c r="AM3993" i="1"/>
  <c r="AN3989" i="1" l="1"/>
  <c r="AP3988" i="1"/>
  <c r="AM3994" i="1"/>
  <c r="AN3990" i="1" l="1"/>
  <c r="AP3989" i="1"/>
  <c r="AM3995" i="1"/>
  <c r="AN3991" i="1" l="1"/>
  <c r="AP3990" i="1"/>
  <c r="AM3996" i="1"/>
  <c r="AN3992" i="1" l="1"/>
  <c r="AP3991" i="1"/>
  <c r="AM3997" i="1"/>
  <c r="AN3993" i="1" l="1"/>
  <c r="AP3992" i="1"/>
  <c r="AM3998" i="1"/>
  <c r="AN3994" i="1" l="1"/>
  <c r="AP3993" i="1"/>
  <c r="AM3999" i="1"/>
  <c r="AN3995" i="1" l="1"/>
  <c r="AP3994" i="1"/>
  <c r="AM4000" i="1"/>
  <c r="AN3996" i="1" l="1"/>
  <c r="AP3995" i="1"/>
  <c r="AN3997" i="1" l="1"/>
  <c r="AP3996" i="1"/>
  <c r="AN3998" i="1" l="1"/>
  <c r="AP3997" i="1"/>
  <c r="AN3999" i="1" l="1"/>
  <c r="AP3998" i="1"/>
  <c r="AN4000" i="1" l="1"/>
  <c r="AP4000" i="1" s="1"/>
  <c r="AP39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<sst xmlns="http://schemas.openxmlformats.org/spreadsheetml/2006/main" count="18371" uniqueCount="919">
  <si>
    <t>Team</t>
  </si>
  <si>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</si>
  <si>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</si>
  <si>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</si>
  <si>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</si>
  <si>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</si>
  <si>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</si>
  <si>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</si>
  <si>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</si>
  <si>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</si>
  <si>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</si>
  <si>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Zone Entry/Exit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</si>
  <si>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</si>
  <si>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</si>
  <si>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</si>
  <si>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</si>
  <si>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</si>
  <si>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</si>
  <si>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</si>
  <si>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</si>
  <si>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</si>
  <si>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</si>
  <si>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</si>
  <si>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</si>
  <si>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</si>
  <si>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</si>
  <si>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</si>
  <si>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</si>
  <si>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</si>
  <si>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</si>
  <si>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</si>
  <si>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</si>
  <si>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</si>
  <si>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</si>
  <si>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</si>
  <si>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</si>
  <si>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</si>
  <si>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</si>
  <si>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</si>
  <si>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</si>
  <si>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</si>
  <si>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</si>
  <si>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</si>
  <si>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</si>
  <si>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</si>
  <si>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</si>
  <si>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</si>
  <si>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</si>
  <si>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</si>
  <si>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</si>
  <si>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</si>
  <si>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</si>
  <si>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</si>
  <si>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</si>
  <si>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</si>
  <si>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</si>
  <si>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</si>
  <si>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</si>
  <si>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</si>
  <si>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</si>
  <si>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</si>
  <si>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</si>
  <si>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</si>
  <si>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</si>
  <si>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</si>
  <si>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</si>
  <si>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</si>
  <si>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</si>
  <si>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</si>
  <si>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</si>
  <si>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</si>
  <si>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</si>
  <si>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</si>
  <si>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</si>
  <si>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</si>
  <si>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</si>
  <si>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</si>
  <si>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</si>
  <si>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</si>
  <si>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</si>
  <si>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</si>
  <si>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</si>
  <si>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</si>
  <si>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</si>
  <si>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</si>
  <si>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</si>
  <si>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</si>
  <si>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</si>
  <si>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</si>
  <si>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</si>
  <si>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</si>
  <si>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</si>
  <si>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</si>
  <si>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</si>
  <si>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</si>
  <si>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</si>
  <si>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</si>
  <si>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</si>
  <si>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</si>
  <si>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</si>
  <si>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</si>
  <si>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</si>
  <si>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</si>
  <si>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</si>
  <si>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</si>
  <si>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</si>
  <si>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</si>
  <si>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</si>
  <si>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</si>
  <si>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</si>
  <si>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</si>
  <si>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</si>
  <si>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</si>
  <si>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</si>
  <si>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</si>
  <si>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</si>
  <si>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</si>
  <si>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</si>
  <si>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</si>
  <si>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</si>
  <si>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</si>
  <si>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</si>
  <si>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</si>
  <si>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</si>
  <si>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</si>
  <si>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</si>
  <si>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</si>
  <si>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</si>
  <si>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</si>
  <si>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</si>
  <si>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</si>
  <si>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</si>
  <si>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</si>
  <si>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</si>
  <si>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</si>
  <si>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</si>
  <si>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</si>
  <si>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</si>
  <si>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</si>
  <si>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</si>
  <si>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</si>
  <si>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</si>
  <si>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</si>
  <si>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</si>
  <si>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</si>
  <si>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</si>
  <si>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</si>
  <si>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</si>
  <si>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</si>
  <si>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</si>
  <si>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</si>
  <si>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</si>
  <si>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</si>
  <si>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</si>
  <si>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</si>
  <si>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</si>
  <si>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</si>
  <si>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</si>
  <si>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</si>
  <si>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</si>
  <si>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</si>
  <si>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</si>
  <si>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</si>
  <si>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</si>
  <si>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</si>
  <si>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</si>
  <si>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</si>
  <si>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</si>
  <si>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</si>
  <si>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NHL Net</t>
  </si>
  <si>
    <t>X</t>
  </si>
  <si>
    <t>Y</t>
  </si>
  <si>
    <t>Max</t>
  </si>
  <si>
    <t>Min</t>
  </si>
  <si>
    <t>PostX</t>
  </si>
  <si>
    <t>PostY</t>
  </si>
  <si>
    <t>Total Max</t>
  </si>
  <si>
    <t>Total Min</t>
  </si>
  <si>
    <t>Home</t>
  </si>
  <si>
    <t>Away</t>
  </si>
  <si>
    <t>Save-Rebound</t>
  </si>
  <si>
    <t>Save-Freeze</t>
  </si>
  <si>
    <t>ZoneEntry-Other</t>
  </si>
  <si>
    <t>ZoneExit-Other</t>
  </si>
  <si>
    <t>Stoppage-Play</t>
  </si>
  <si>
    <t>Stoppage-Period</t>
  </si>
  <si>
    <t>PenaltyShot/Shootout</t>
  </si>
  <si>
    <t>Penalty-Minor</t>
  </si>
  <si>
    <t>Penalty-Major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</si>
  <si>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</si>
  <si>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</si>
  <si>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</si>
  <si>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</si>
  <si>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</si>
  <si>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</si>
  <si>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</si>
  <si>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</si>
  <si>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</si>
  <si>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</si>
  <si>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</si>
  <si>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</si>
  <si>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</si>
  <si>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</si>
  <si>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</si>
  <si>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</si>
  <si>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</si>
  <si>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</si>
  <si>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</si>
  <si>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</si>
  <si>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</si>
  <si>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</si>
  <si>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</si>
  <si>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</si>
  <si>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</si>
  <si>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</si>
  <si>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</si>
  <si>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</si>
  <si>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</si>
  <si>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</si>
  <si>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</si>
  <si>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</si>
  <si>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</si>
  <si>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</si>
  <si>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</si>
  <si>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</si>
  <si>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</si>
  <si>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</si>
  <si>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</si>
  <si>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</si>
  <si>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</si>
  <si>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</si>
  <si>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</si>
  <si>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</si>
  <si>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</si>
  <si>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</si>
  <si>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</si>
  <si>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</si>
  <si>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</si>
  <si>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</si>
  <si>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</si>
  <si>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</si>
  <si>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</si>
  <si>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</si>
  <si>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</si>
  <si>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</si>
  <si>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</si>
  <si>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</si>
  <si>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</si>
  <si>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All</t>
  </si>
  <si>
    <t>None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</si>
  <si>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</si>
  <si>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</si>
  <si>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</si>
  <si>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</si>
  <si>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</si>
  <si>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</si>
  <si>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</si>
  <si>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</si>
  <si>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Involved</t>
  </si>
  <si>
    <t>Invoived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</si>
  <si>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</si>
  <si>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</si>
  <si>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</si>
  <si>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</si>
  <si>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</si>
  <si>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</si>
  <si>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</si>
  <si>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</si>
  <si>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</si>
  <si>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</si>
  <si>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</si>
  <si>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</si>
  <si>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event_team_player_2</t>
  </si>
  <si>
    <t>event_team_player_1</t>
  </si>
  <si>
    <t>event_team_player_3</t>
  </si>
  <si>
    <t>event_team_player_4</t>
  </si>
  <si>
    <t>event_team_player_5</t>
  </si>
  <si>
    <t>event_team_player_6</t>
  </si>
  <si>
    <t>opp_team_player_1</t>
  </si>
  <si>
    <t>opp_team_player_2</t>
  </si>
  <si>
    <t>opp_team_player_3</t>
  </si>
  <si>
    <t>opp_team_player_4</t>
  </si>
  <si>
    <t>opp_team_player_5</t>
  </si>
  <si>
    <t>opp_team_player_6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</si>
  <si>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</si>
  <si>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</si>
  <si>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</si>
  <si>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</si>
  <si>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</si>
  <si>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</si>
  <si>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</si>
  <si>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</si>
  <si>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</si>
  <si>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</si>
  <si>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</si>
  <si>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</si>
  <si>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</si>
  <si>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</si>
  <si>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</si>
  <si>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</si>
  <si>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</si>
  <si>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</si>
  <si>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</si>
  <si>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</si>
  <si>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</si>
  <si>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</si>
  <si>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</si>
  <si>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</si>
  <si>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</si>
  <si>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</si>
  <si>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</si>
  <si>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</si>
  <si>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</si>
  <si>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</si>
  <si>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</si>
  <si>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</si>
  <si>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</si>
  <si>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</si>
  <si>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</si>
  <si>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</si>
  <si>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</si>
  <si>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</si>
  <si>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</si>
  <si>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</si>
  <si>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</si>
  <si>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</si>
  <si>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</si>
  <si>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</si>
  <si>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</si>
  <si>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</si>
  <si>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</si>
  <si>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</si>
  <si>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</si>
  <si>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</si>
  <si>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</si>
  <si>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</si>
  <si>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</si>
  <si>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</si>
  <si>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</si>
  <si>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</si>
  <si>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</si>
  <si>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</si>
  <si>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</si>
  <si>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</si>
  <si>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</si>
  <si>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</si>
  <si>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</si>
  <si>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</si>
  <si>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</si>
  <si>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</si>
  <si>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</si>
  <si>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</si>
  <si>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</si>
  <si>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</si>
  <si>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</si>
  <si>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</si>
  <si>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</si>
  <si>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</si>
  <si>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</si>
  <si>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</si>
  <si>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</si>
  <si>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</si>
  <si>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</si>
  <si>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</si>
  <si>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</si>
  <si>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</si>
  <si>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</si>
  <si>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</si>
  <si>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</si>
  <si>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</si>
  <si>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</si>
  <si>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</si>
  <si>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</si>
  <si>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</si>
  <si>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</si>
  <si>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</si>
  <si>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</si>
  <si>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</si>
  <si>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</si>
  <si>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</si>
  <si>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</si>
  <si>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</si>
  <si>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</si>
  <si>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</si>
  <si>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</si>
  <si>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</si>
  <si>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</si>
  <si>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</si>
  <si>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</si>
  <si>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</si>
  <si>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</si>
  <si>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</si>
  <si>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</si>
  <si>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</si>
  <si>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</si>
  <si>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</si>
  <si>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</si>
  <si>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</si>
  <si>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</si>
  <si>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</si>
  <si>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</si>
  <si>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</si>
  <si>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</si>
  <si>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</si>
  <si>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</si>
  <si>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</si>
  <si>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</si>
  <si>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</si>
  <si>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</si>
  <si>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</si>
  <si>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</si>
  <si>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</si>
  <si>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</si>
  <si>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</si>
  <si>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</si>
  <si>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</si>
  <si>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</si>
  <si>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</si>
  <si>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</si>
  <si>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</si>
  <si>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</si>
  <si>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</si>
  <si>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</si>
  <si>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</si>
  <si>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</si>
  <si>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</si>
  <si>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</si>
  <si>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</si>
  <si>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</si>
  <si>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</si>
  <si>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</si>
  <si>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</si>
  <si>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</si>
  <si>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</si>
  <si>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</si>
  <si>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</si>
  <si>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</si>
  <si>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</si>
  <si>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</si>
  <si>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</si>
  <si>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</si>
  <si>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</si>
  <si>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</si>
  <si>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</si>
  <si>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</si>
  <si>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</si>
  <si>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</si>
  <si>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07</t>
  </si>
  <si>
    <t>14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</si>
  <si>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</si>
  <si>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</si>
  <si>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</si>
  <si>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</si>
  <si>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</si>
  <si>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</si>
  <si>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</si>
  <si>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</si>
  <si>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</si>
  <si>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</si>
  <si>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</si>
  <si>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</si>
  <si>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</si>
  <si>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</si>
  <si>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</si>
  <si>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</si>
  <si>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</si>
  <si>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</si>
  <si>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</si>
  <si>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</si>
  <si>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</si>
  <si>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</si>
  <si>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</si>
  <si>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</si>
  <si>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</si>
  <si>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</si>
  <si>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</si>
  <si>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</si>
  <si>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</si>
  <si>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</si>
  <si>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</si>
  <si>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</si>
  <si>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</si>
  <si>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</si>
  <si>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</si>
  <si>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</si>
  <si>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Assist-Secondary</t>
  </si>
  <si>
    <t>Assist-Primary</t>
  </si>
  <si>
    <t>Breakout</t>
  </si>
  <si>
    <t>label</t>
  </si>
  <si>
    <t>play_detail1</t>
  </si>
  <si>
    <t>play_detail2</t>
  </si>
  <si>
    <t>play_detail_successful</t>
  </si>
  <si>
    <t>OffensivePlay-Shot</t>
  </si>
  <si>
    <t>OffensivePlay-Pass</t>
  </si>
  <si>
    <t>OffensivePlay_Breakout</t>
  </si>
  <si>
    <t>OffensivePlay-AssistSecondary</t>
  </si>
  <si>
    <t>OffensivePlay-AssistPrimary</t>
  </si>
  <si>
    <t>DefensivePlay-BlockedShot</t>
  </si>
  <si>
    <t>DefensivePlay-PassIntercepted</t>
  </si>
  <si>
    <t>DefensivePlay-PassBlocked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</si>
  <si>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</si>
  <si>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</si>
  <si>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</si>
  <si>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</si>
  <si>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</si>
  <si>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</si>
  <si>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</si>
  <si>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</si>
  <si>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</si>
  <si>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</si>
  <si>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</si>
  <si>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</si>
  <si>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</si>
  <si>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</si>
  <si>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</si>
  <si>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</si>
  <si>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</si>
  <si>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</si>
  <si>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</si>
  <si>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</si>
  <si>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</si>
  <si>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</si>
  <si>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</si>
  <si>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</si>
  <si>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</si>
  <si>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</si>
  <si>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</si>
  <si>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</si>
  <si>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</si>
  <si>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</si>
  <si>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</si>
  <si>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</si>
  <si>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</si>
  <si>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</si>
  <si>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</si>
  <si>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</si>
  <si>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</si>
  <si>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</si>
  <si>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</si>
  <si>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</si>
  <si>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</si>
  <si>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</si>
  <si>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</si>
  <si>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</si>
  <si>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OffensivePlay-FrontofNet</t>
  </si>
  <si>
    <t>DefensivePlay-FrontofNet</t>
  </si>
  <si>
    <t>DefensivePlay-ClearingAttempt</t>
  </si>
  <si>
    <t>OffensivePlay-DumpInAttempt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</si>
  <si>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</si>
  <si>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</si>
  <si>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</si>
  <si>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</si>
  <si>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</si>
  <si>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</si>
  <si>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</si>
  <si>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</si>
  <si>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</si>
  <si>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</si>
  <si>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</si>
  <si>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End-to-End-Rush</t>
  </si>
  <si>
    <t>pre_shot_pass</t>
  </si>
  <si>
    <t>OffensivePlay-OpenIceDeke</t>
  </si>
  <si>
    <t>OffensivePlay-PuckRetrievalDumpIn</t>
  </si>
  <si>
    <t>OffensivePlay-PuckRetrievalShot</t>
  </si>
  <si>
    <t>OffensivePlay-PuckRetreivalTurnover</t>
  </si>
  <si>
    <t>OffensivePlay-PuckRetreivalPass</t>
  </si>
  <si>
    <t>DefensivePlay-PuckRetrievalDumpIn</t>
  </si>
  <si>
    <t>DefensivePlay-PuckRetrievalShot</t>
  </si>
  <si>
    <t>DefensivePlay-PuckRetreivalTurnover</t>
  </si>
  <si>
    <t>DefensivePlay-PuckRetreivalPass</t>
  </si>
  <si>
    <t>OffensivePlay-DriveMiddle</t>
  </si>
  <si>
    <t>OffensivePlay-DriveWide</t>
  </si>
  <si>
    <t>OffensivePlay-DriveCorner</t>
  </si>
  <si>
    <t>OffensivePlay-DriveNetMiddle</t>
  </si>
  <si>
    <t>OffensivePlay-DriveNetWide</t>
  </si>
  <si>
    <t>OffensivePlay-CrashNet</t>
  </si>
  <si>
    <t>OffensivePlay-Delay</t>
  </si>
  <si>
    <t>OffensivePlay-Deke</t>
  </si>
  <si>
    <t>OffensivePlay-Chip</t>
  </si>
  <si>
    <t>OffensivePlay-Other</t>
  </si>
  <si>
    <t>OffensivePlay-DumpChase</t>
  </si>
  <si>
    <t>OffensivePlay-Forecheck</t>
  </si>
  <si>
    <t>OffensivePlay-Speed</t>
  </si>
  <si>
    <t>OffensivePlay-Dump/RimInZone</t>
  </si>
  <si>
    <t>DefensivePlay-PokeCheck</t>
  </si>
  <si>
    <t>DefensivePlay-PokeCheckFailed</t>
  </si>
  <si>
    <t>DefensivePlay-SeperateFromPuck</t>
  </si>
  <si>
    <t>DefensivePlay-Backcheck</t>
  </si>
  <si>
    <t>DefensivePlay-FroceWide</t>
  </si>
  <si>
    <t>DefensivePlay-Contain</t>
  </si>
  <si>
    <t>DefensivePlay-BeatMiddle</t>
  </si>
  <si>
    <t>DefensivePlay-BeatWide</t>
  </si>
  <si>
    <t>DefensivePlay-BeatDeke</t>
  </si>
  <si>
    <t>DefensivePlay-BeatSpeed</t>
  </si>
  <si>
    <t>DefensivePlay-BoxOut</t>
  </si>
  <si>
    <t>DefensivePlay-AttemptedClear</t>
  </si>
  <si>
    <t>DefensivePlay-Other</t>
  </si>
  <si>
    <t>DefnsivePlay-ForceedDumpin/Clear</t>
  </si>
  <si>
    <t>DefensivePlay-Pressure</t>
  </si>
  <si>
    <t>failed_entry</t>
  </si>
  <si>
    <t>failed_exit</t>
  </si>
  <si>
    <t>botched_retreivals</t>
  </si>
  <si>
    <t>retreival_lead_to_breakout</t>
  </si>
  <si>
    <t>DefensivePlay-ZoneEntryDenial</t>
  </si>
  <si>
    <t>DefensivePlay-ZoneExitDenial</t>
  </si>
  <si>
    <t>possession_change</t>
  </si>
  <si>
    <t>side_of_puck</t>
  </si>
  <si>
    <t>Offensive</t>
  </si>
  <si>
    <t>Defensive</t>
  </si>
  <si>
    <t>OffensivePlay-Drive</t>
  </si>
  <si>
    <t>linked_event_index</t>
  </si>
  <si>
    <t>DelayedPenalty</t>
  </si>
  <si>
    <t>Offset Penalty</t>
  </si>
  <si>
    <t>Velodrome</t>
  </si>
  <si>
    <t>Outcan</t>
  </si>
  <si>
    <t>Team_</t>
  </si>
  <si>
    <t>Team__</t>
  </si>
  <si>
    <t>ZoneEntry-PenaltyKillClear</t>
  </si>
  <si>
    <t>ZoneExit-PenaltyKillClear</t>
  </si>
  <si>
    <t>a</t>
  </si>
  <si>
    <t>h</t>
  </si>
  <si>
    <t>17</t>
  </si>
  <si>
    <t>59</t>
  </si>
  <si>
    <t>d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</si>
  <si>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</si>
  <si>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</si>
  <si>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</si>
  <si>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</si>
  <si>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</si>
  <si>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</si>
  <si>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</si>
  <si>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</si>
  <si>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</si>
  <si>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</si>
  <si>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</si>
  <si>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n</t>
  </si>
  <si>
    <t>high_danger</t>
  </si>
  <si>
    <t>55</t>
  </si>
  <si>
    <t>57</t>
  </si>
  <si>
    <t>50</t>
  </si>
  <si>
    <t>48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</si>
  <si>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</si>
  <si>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</si>
  <si>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</si>
  <si>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</si>
  <si>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</si>
  <si>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</si>
  <si>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</si>
  <si>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</si>
  <si>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</si>
  <si>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</si>
  <si>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</si>
  <si>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</si>
  <si>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</si>
  <si>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</si>
  <si>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</si>
  <si>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</si>
  <si>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</si>
  <si>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</si>
  <si>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</si>
  <si>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</si>
  <si>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PassBlocked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</si>
  <si>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</si>
  <si>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</si>
  <si>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</si>
  <si>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</si>
  <si>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</si>
  <si>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</si>
  <si>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</si>
  <si>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</si>
  <si>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</si>
  <si>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</si>
  <si>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45</t>
  </si>
  <si>
    <t>46</t>
  </si>
  <si>
    <t>StickCheck</t>
  </si>
  <si>
    <t>OffensivePlay_</t>
  </si>
  <si>
    <t>Defensive_Play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</si>
  <si>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</si>
  <si>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</si>
  <si>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</si>
  <si>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</si>
  <si>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</si>
  <si>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42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</si>
  <si>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</si>
  <si>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</si>
  <si>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</si>
  <si>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</si>
  <si>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</si>
  <si>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</si>
  <si>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</si>
  <si>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</si>
  <si>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</si>
  <si>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PuckRetreivalRebound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</si>
  <si>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</si>
  <si>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</si>
  <si>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</si>
  <si>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</si>
  <si>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</si>
  <si>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</si>
  <si>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</si>
  <si>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</si>
  <si>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</si>
  <si>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</si>
  <si>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</si>
  <si>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</si>
  <si>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</si>
  <si>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</si>
  <si>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</si>
  <si>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</si>
  <si>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</si>
  <si>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</si>
  <si>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41</t>
  </si>
  <si>
    <t>OffensivePlay_Zone-PuckRetreivalTurnover</t>
  </si>
  <si>
    <t>40</t>
  </si>
  <si>
    <t>Defensive_PlayPossession-PokeCheck</t>
  </si>
  <si>
    <t>Defensive_PlayPossession-StickCheck</t>
  </si>
  <si>
    <t>39</t>
  </si>
  <si>
    <t>35</t>
  </si>
  <si>
    <t>OffensivePlay_Zone-DumpChase</t>
  </si>
  <si>
    <t>33</t>
  </si>
  <si>
    <t>OffensivePlay_Zone-PuckRetrievalDumpIn</t>
  </si>
  <si>
    <t>30</t>
  </si>
  <si>
    <t>Defensive_PlayPass-InShotPassLane</t>
  </si>
  <si>
    <t>Defensive_PlayPass-PassIntercepted</t>
  </si>
  <si>
    <t>29</t>
  </si>
  <si>
    <t>OffensivePlay_Zone-PuckRetreivalPass</t>
  </si>
  <si>
    <t>27</t>
  </si>
  <si>
    <t>24</t>
  </si>
  <si>
    <t>OffensivePlay_Possession-DriveWide</t>
  </si>
  <si>
    <t>Defensive_PlayPossession-FroceWide</t>
  </si>
  <si>
    <t>22</t>
  </si>
  <si>
    <t>19</t>
  </si>
  <si>
    <t>15</t>
  </si>
  <si>
    <t>12</t>
  </si>
  <si>
    <t>10</t>
  </si>
  <si>
    <t>09</t>
  </si>
  <si>
    <t>08</t>
  </si>
  <si>
    <t>Offensive_Zone-AttemptedKeepin</t>
  </si>
  <si>
    <t>05</t>
  </si>
  <si>
    <t>OffensivePlay_Zone-PuckRecoveryShot</t>
  </si>
  <si>
    <t>03</t>
  </si>
  <si>
    <t>02</t>
  </si>
  <si>
    <t>11</t>
  </si>
  <si>
    <t>16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</si>
  <si>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</si>
  <si>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</si>
  <si>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</si>
  <si>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</si>
  <si>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</si>
  <si>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</si>
  <si>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56</t>
  </si>
  <si>
    <t>53</t>
  </si>
  <si>
    <t>OffensivePlay_Zone-PuckRecoveryTurnover</t>
  </si>
  <si>
    <t>49</t>
  </si>
  <si>
    <t>OffensivePlay_Pass-ReceiverMissed</t>
  </si>
  <si>
    <t>43</t>
  </si>
  <si>
    <t>OffensivePlay_Zone-PuckRecoveryPass</t>
  </si>
  <si>
    <t>zone_change_index</t>
  </si>
  <si>
    <t>OffensivePlay_Possession-Chip</t>
  </si>
  <si>
    <t>25</t>
  </si>
  <si>
    <t>20</t>
  </si>
  <si>
    <t>Defensive_PlayZone-PuckRecoveryDumpIn</t>
  </si>
  <si>
    <t>54</t>
  </si>
  <si>
    <t>OffensivePlay_Possession-OpenIceDeke</t>
  </si>
  <si>
    <t>Defensive_PlayPossession-BeatDeke</t>
  </si>
  <si>
    <t>Defensive_PlayPossession-Pressure</t>
  </si>
  <si>
    <t>23</t>
  </si>
  <si>
    <t>OffensivePlay_Possession-Deke</t>
  </si>
  <si>
    <t>13</t>
  </si>
  <si>
    <t>Defensive_PlayShot-FrontofNet</t>
  </si>
  <si>
    <t>OffensivePlay_Possession-FrontofNet</t>
  </si>
  <si>
    <t>OffensivePlay_Possession-CrashNet</t>
  </si>
  <si>
    <t xml:space="preserve"> u</t>
  </si>
  <si>
    <t>51</t>
  </si>
  <si>
    <t>Defensive_PlayPossession-SeperateFromPuck</t>
  </si>
  <si>
    <t>Defensive_PlayZone-PuckRecoveryTurnover</t>
  </si>
  <si>
    <t>36</t>
  </si>
  <si>
    <t>OffensivePlay_Possession-Delay</t>
  </si>
  <si>
    <t>34</t>
  </si>
  <si>
    <t>32</t>
  </si>
  <si>
    <t>26</t>
  </si>
  <si>
    <t>Defensive_PlayPossession-BeatMiddle</t>
  </si>
  <si>
    <t>18</t>
  </si>
  <si>
    <t>Defensive_PlayZone-PuckRetrievalShot</t>
  </si>
  <si>
    <t>OffensivePlay_Pass-Reverse</t>
  </si>
  <si>
    <t>04</t>
  </si>
  <si>
    <t>01</t>
  </si>
  <si>
    <t>Defensive_PlayPossession-BeatWide</t>
  </si>
  <si>
    <t>52</t>
  </si>
  <si>
    <t>47</t>
  </si>
  <si>
    <t>38</t>
  </si>
  <si>
    <t>31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</si>
  <si>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</si>
  <si>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</si>
  <si>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</si>
  <si>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</si>
  <si>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</si>
  <si>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</si>
  <si>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</si>
  <si>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</si>
  <si>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</si>
  <si>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06</t>
  </si>
  <si>
    <t>Defensive_PlayPossession-Surf</t>
  </si>
  <si>
    <t>OffensivePlay_Pass-QuickUp</t>
  </si>
  <si>
    <t>linked_event_id</t>
  </si>
  <si>
    <t>zone_change_id</t>
  </si>
  <si>
    <t>Defensive_PlayShot-BoxOut</t>
  </si>
  <si>
    <t>PuckRetreivalShot</t>
  </si>
  <si>
    <t>OffensivePlay_Zone-PuckRecoveryRebound</t>
  </si>
  <si>
    <t>OffensivePlay_Possession-DriveCorner</t>
  </si>
  <si>
    <t>44</t>
  </si>
  <si>
    <t>37</t>
  </si>
  <si>
    <t>28</t>
  </si>
  <si>
    <t>21</t>
  </si>
  <si>
    <t>OffensivePlay_Pass-SecondTouch</t>
  </si>
  <si>
    <t>9</t>
  </si>
  <si>
    <t>5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</si>
  <si>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</si>
  <si>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</si>
  <si>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</si>
  <si>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</si>
  <si>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</si>
  <si>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</si>
  <si>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</si>
  <si>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</si>
  <si>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</si>
  <si>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</si>
  <si>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</si>
  <si>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</si>
  <si>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</si>
  <si>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</si>
  <si>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</si>
  <si>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</si>
  <si>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</si>
  <si>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</si>
  <si>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</si>
  <si>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</si>
  <si>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</si>
  <si>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</si>
  <si>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</si>
  <si>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</si>
  <si>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</si>
  <si>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</si>
  <si>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</si>
  <si>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</si>
  <si>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</si>
  <si>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</si>
  <si>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</si>
  <si>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</si>
  <si>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</si>
  <si>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</si>
  <si>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</si>
  <si>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</si>
  <si>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</si>
  <si>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</si>
  <si>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</si>
  <si>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</si>
  <si>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</si>
  <si>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</si>
  <si>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</si>
  <si>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</si>
  <si>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</si>
  <si>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</si>
  <si>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</si>
  <si>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</si>
  <si>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</si>
  <si>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</si>
  <si>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</si>
  <si>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</si>
  <si>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</si>
  <si>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</si>
  <si>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</si>
  <si>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</si>
  <si>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</si>
  <si>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</si>
  <si>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</si>
  <si>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</si>
  <si>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</si>
  <si>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</si>
  <si>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</si>
  <si>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</si>
  <si>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</si>
  <si>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</si>
  <si>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</si>
  <si>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</si>
  <si>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</si>
  <si>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</si>
  <si>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/>
  </si>
  <si>
    <t>8</t>
  </si>
  <si>
    <t>linked_event_index_</t>
  </si>
  <si>
    <t>1</t>
  </si>
  <si>
    <t>Offensive_Zone-CededZoneExit</t>
  </si>
  <si>
    <t>Defensive_PlayPass-CededZoneEntry</t>
  </si>
  <si>
    <t>Defensive_Zone-CededZoneEntry</t>
  </si>
  <si>
    <t>Defensive_PlayPossession-GapControl</t>
  </si>
  <si>
    <t>7</t>
  </si>
  <si>
    <t>58</t>
  </si>
  <si>
    <t>6</t>
  </si>
  <si>
    <t>3</t>
  </si>
  <si>
    <t>4</t>
  </si>
  <si>
    <t>2</t>
  </si>
  <si>
    <t>ZoneEntry-Shot</t>
  </si>
  <si>
    <t>ZoneExit-Shot</t>
  </si>
  <si>
    <t>role_abrev_binary</t>
  </si>
  <si>
    <t>x</t>
  </si>
  <si>
    <t>0</t>
  </si>
  <si>
    <t>OffensivePlay_Zone-PuckRetreivalFaceoff</t>
  </si>
  <si>
    <t>OffensivePlay_Zone-PuckRecoveryFaceoff</t>
  </si>
  <si>
    <t>OffensivePlay_Zone-PuckRetreivalOther</t>
  </si>
  <si>
    <t>OffensivePlay_Zone-PuckRecoveryOther</t>
  </si>
  <si>
    <t>DefensivePlay_Zone-PuckRetreivalFaceoff</t>
  </si>
  <si>
    <t>DefensivePlay_Zone-PuckRecoveryFaceoff</t>
  </si>
  <si>
    <t>DefensivePlay_Zone-PuckRetreivalOther</t>
  </si>
  <si>
    <t>DefensivePlay_Zone-PuckRecoveryOther</t>
  </si>
  <si>
    <t>Shot_MissedPost</t>
  </si>
  <si>
    <t>OffensivePlay-ZoneKeepin</t>
  </si>
  <si>
    <t>Defensive_PlayPass-PassDeflected</t>
  </si>
  <si>
    <t xml:space="preserve"> 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</si>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</sst>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/>
    <xf numFmtId="0" fontId="0" fillId="0" borderId="2" xfId="0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30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30" bestFit="1" customWidth="1"/>
    <col min="11" max="17" width="26.6640625" customWidth="1"/>
    <col min="18" max="18" width="4" customWidth="1"/>
    <col min="19" max="19" width="32.83203125" style="30" bestFit="1" customWidth="1"/>
    <col min="21" max="22" width="24" customWidth="1"/>
    <col min="23" max="26" width="21" customWidth="1"/>
    <col min="27" max="27" width="4.5" customWidth="1"/>
    <col min="28" max="28" width="36.6640625" style="30" bestFit="1" customWidth="1"/>
    <col min="36" max="36" width="4" customWidth="1"/>
    <col min="37" max="37" width="39" style="30" bestFit="1" customWidth="1"/>
    <col min="45" max="45" width="4.5" customWidth="1"/>
    <col min="46" max="46" width="9.83203125" style="30" bestFit="1" customWidth="1"/>
    <col min="52" max="52" width="10.83203125" style="30"/>
    <col min="58" max="58" width="20.1640625" style="30" bestFit="1" customWidth="1"/>
    <col min="65" max="65" width="17.1640625" style="30" bestFit="1" customWidth="1"/>
    <col min="70" max="70" width="33.33203125" style="30" bestFit="1" customWidth="1"/>
  </cols>
  <sheetData>
    <row r="1" spans="1:73" s="28" customFormat="1" x14ac:dyDescent="0.2">
      <c r="A1" s="29" t="s">
        <v>2</v>
      </c>
      <c r="B1" s="28" t="s">
        <v>859</v>
      </c>
      <c r="C1" s="28" t="s">
        <v>860</v>
      </c>
      <c r="D1" s="28" t="s">
        <v>862</v>
      </c>
      <c r="E1" s="28" t="s">
        <v>861</v>
      </c>
      <c r="F1" s="28" t="s">
        <v>868</v>
      </c>
      <c r="G1" s="28" t="s">
        <v>869</v>
      </c>
      <c r="J1" s="29" t="s">
        <v>52</v>
      </c>
      <c r="K1" s="28" t="s">
        <v>859</v>
      </c>
      <c r="L1" s="28" t="s">
        <v>860</v>
      </c>
      <c r="M1" s="28" t="s">
        <v>862</v>
      </c>
      <c r="N1" s="28" t="s">
        <v>861</v>
      </c>
      <c r="O1" s="28" t="s">
        <v>868</v>
      </c>
      <c r="P1" s="28" t="s">
        <v>869</v>
      </c>
      <c r="S1" s="29" t="s">
        <v>144</v>
      </c>
      <c r="T1" s="28" t="s">
        <v>859</v>
      </c>
      <c r="U1" s="28" t="s">
        <v>860</v>
      </c>
      <c r="V1" s="28" t="s">
        <v>862</v>
      </c>
      <c r="W1" s="28" t="s">
        <v>861</v>
      </c>
      <c r="X1" s="28" t="s">
        <v>868</v>
      </c>
      <c r="Y1" s="28" t="s">
        <v>869</v>
      </c>
      <c r="AC1" s="28" t="s">
        <v>859</v>
      </c>
      <c r="AD1" s="28" t="s">
        <v>860</v>
      </c>
      <c r="AE1" s="28" t="s">
        <v>862</v>
      </c>
      <c r="AF1" s="28" t="s">
        <v>861</v>
      </c>
      <c r="AG1" s="28" t="s">
        <v>868</v>
      </c>
      <c r="AH1" s="28" t="s">
        <v>869</v>
      </c>
      <c r="AL1" s="28" t="s">
        <v>859</v>
      </c>
      <c r="AM1" s="28" t="s">
        <v>860</v>
      </c>
      <c r="AN1" s="28" t="s">
        <v>862</v>
      </c>
      <c r="AO1" s="28" t="s">
        <v>861</v>
      </c>
      <c r="AP1" s="28" t="s">
        <v>861</v>
      </c>
      <c r="AQ1" s="28" t="s">
        <v>868</v>
      </c>
      <c r="AR1" s="28" t="s">
        <v>869</v>
      </c>
      <c r="AT1" s="29" t="s">
        <v>624</v>
      </c>
      <c r="AU1" s="28" t="s">
        <v>859</v>
      </c>
      <c r="AV1" s="28" t="s">
        <v>860</v>
      </c>
      <c r="AW1" s="28" t="s">
        <v>862</v>
      </c>
      <c r="AX1" s="28" t="s">
        <v>861</v>
      </c>
      <c r="AZ1" s="29" t="s">
        <v>625</v>
      </c>
      <c r="BA1" s="28" t="s">
        <v>859</v>
      </c>
      <c r="BB1" s="28" t="s">
        <v>860</v>
      </c>
      <c r="BC1" s="28" t="s">
        <v>862</v>
      </c>
      <c r="BD1" s="28" t="s">
        <v>861</v>
      </c>
      <c r="BF1" s="29" t="s">
        <v>708</v>
      </c>
      <c r="BG1" s="28" t="s">
        <v>859</v>
      </c>
      <c r="BH1" s="28" t="s">
        <v>860</v>
      </c>
      <c r="BI1" s="28" t="s">
        <v>862</v>
      </c>
      <c r="BJ1" s="28" t="s">
        <v>861</v>
      </c>
      <c r="BM1" s="29" t="s">
        <v>376</v>
      </c>
      <c r="BN1" s="28" t="s">
        <v>859</v>
      </c>
      <c r="BO1" s="28" t="s">
        <v>860</v>
      </c>
      <c r="BP1" s="28" t="s">
        <v>861</v>
      </c>
      <c r="BR1" s="29" t="s">
        <v>377</v>
      </c>
      <c r="BS1" s="28" t="s">
        <v>859</v>
      </c>
      <c r="BT1" s="28" t="s">
        <v>860</v>
      </c>
      <c r="BU1" s="28" t="s">
        <v>861</v>
      </c>
    </row>
    <row r="2" spans="1:73" x14ac:dyDescent="0.2">
      <c r="A2" s="30" t="s">
        <v>6</v>
      </c>
      <c r="J2" s="30" t="s">
        <v>6</v>
      </c>
      <c r="S2" s="30" t="s">
        <v>186</v>
      </c>
      <c r="AB2" s="29" t="s">
        <v>607</v>
      </c>
      <c r="AH2" t="s">
        <v>884</v>
      </c>
      <c r="AK2" s="29" t="s">
        <v>608</v>
      </c>
      <c r="AR2" t="s">
        <v>884</v>
      </c>
      <c r="AT2" s="30" t="s">
        <v>630</v>
      </c>
      <c r="AZ2" s="30" t="s">
        <v>627</v>
      </c>
      <c r="BF2" s="30" t="s">
        <v>793</v>
      </c>
      <c r="BM2" s="30" t="s">
        <v>317</v>
      </c>
      <c r="BR2" s="30" t="s">
        <v>284</v>
      </c>
    </row>
    <row r="3" spans="1:73" x14ac:dyDescent="0.2">
      <c r="A3" s="30" t="s">
        <v>7</v>
      </c>
      <c r="E3" t="s">
        <v>17</v>
      </c>
      <c r="J3" s="30" t="s">
        <v>19</v>
      </c>
      <c r="S3" s="30" t="s">
        <v>193</v>
      </c>
      <c r="X3" t="s">
        <v>706</v>
      </c>
      <c r="AB3" s="30" t="s">
        <v>677</v>
      </c>
      <c r="AK3" s="30" t="s">
        <v>714</v>
      </c>
      <c r="AT3" s="30" t="s">
        <v>631</v>
      </c>
      <c r="AZ3" s="30" t="s">
        <v>626</v>
      </c>
      <c r="BF3" s="30" t="s">
        <v>794</v>
      </c>
      <c r="BM3" s="30" t="s">
        <v>319</v>
      </c>
      <c r="BR3" s="30" t="s">
        <v>324</v>
      </c>
    </row>
    <row r="4" spans="1:73" x14ac:dyDescent="0.2">
      <c r="A4" s="30" t="s">
        <v>8</v>
      </c>
      <c r="J4" s="30" t="s">
        <v>20</v>
      </c>
      <c r="S4" s="30" t="s">
        <v>203</v>
      </c>
      <c r="X4" t="s">
        <v>705</v>
      </c>
      <c r="AB4" s="30" t="s">
        <v>728</v>
      </c>
      <c r="AK4" s="30" t="s">
        <v>774</v>
      </c>
      <c r="AT4" s="30" t="s">
        <v>632</v>
      </c>
      <c r="AZ4" s="30" t="s">
        <v>156</v>
      </c>
      <c r="BF4" s="30" t="s">
        <v>795</v>
      </c>
      <c r="BM4" s="30" t="s">
        <v>320</v>
      </c>
      <c r="BR4" s="30" t="s">
        <v>325</v>
      </c>
    </row>
    <row r="5" spans="1:73" x14ac:dyDescent="0.2">
      <c r="A5" s="30" t="s">
        <v>9</v>
      </c>
      <c r="E5" t="s">
        <v>7</v>
      </c>
      <c r="J5" s="30" t="s">
        <v>21</v>
      </c>
      <c r="S5" s="30" t="s">
        <v>212</v>
      </c>
      <c r="X5" t="s">
        <v>706</v>
      </c>
      <c r="AB5" s="30" t="s">
        <v>809</v>
      </c>
      <c r="AK5" s="30" t="s">
        <v>824</v>
      </c>
      <c r="AT5" s="30" t="s">
        <v>629</v>
      </c>
      <c r="AZ5" s="30" t="s">
        <v>709</v>
      </c>
      <c r="BF5" s="30" t="s">
        <v>796</v>
      </c>
      <c r="BM5" s="30" t="s">
        <v>321</v>
      </c>
      <c r="BR5" s="30" t="s">
        <v>326</v>
      </c>
    </row>
    <row r="6" spans="1:73" x14ac:dyDescent="0.2">
      <c r="A6" s="30" t="s">
        <v>10</v>
      </c>
      <c r="E6" t="s">
        <v>867</v>
      </c>
      <c r="J6" s="31" t="s">
        <v>22</v>
      </c>
      <c r="S6" s="30" t="s">
        <v>217</v>
      </c>
      <c r="X6" t="s">
        <v>706</v>
      </c>
      <c r="AB6" s="30" t="s">
        <v>825</v>
      </c>
      <c r="AK6" s="30" t="s">
        <v>729</v>
      </c>
      <c r="AZ6" s="30" t="s">
        <v>684</v>
      </c>
      <c r="BF6" s="30" t="s">
        <v>797</v>
      </c>
      <c r="BM6" s="30" t="s">
        <v>322</v>
      </c>
      <c r="BR6" s="30" t="s">
        <v>327</v>
      </c>
    </row>
    <row r="7" spans="1:73" x14ac:dyDescent="0.2">
      <c r="A7" s="30" t="s">
        <v>257</v>
      </c>
      <c r="E7" t="s">
        <v>863</v>
      </c>
      <c r="J7" s="30" t="s">
        <v>23</v>
      </c>
      <c r="S7" s="30" t="s">
        <v>219</v>
      </c>
      <c r="X7" t="s">
        <v>705</v>
      </c>
      <c r="AB7" s="30" t="s">
        <v>826</v>
      </c>
      <c r="AK7" s="30" t="s">
        <v>827</v>
      </c>
      <c r="AZ7" s="30" t="s">
        <v>685</v>
      </c>
      <c r="BF7" s="30" t="s">
        <v>798</v>
      </c>
      <c r="BM7" s="30" t="s">
        <v>323</v>
      </c>
      <c r="BR7" s="30" t="s">
        <v>328</v>
      </c>
    </row>
    <row r="8" spans="1:73" x14ac:dyDescent="0.2">
      <c r="A8" s="30" t="s">
        <v>12</v>
      </c>
      <c r="J8" s="30" t="s">
        <v>24</v>
      </c>
      <c r="S8" s="30" t="s">
        <v>220</v>
      </c>
      <c r="X8" t="s">
        <v>706</v>
      </c>
      <c r="AB8" s="30" t="s">
        <v>771</v>
      </c>
      <c r="AK8" s="30" t="s">
        <v>781</v>
      </c>
      <c r="AZ8" s="30" t="s">
        <v>687</v>
      </c>
      <c r="BF8" s="30" t="s">
        <v>799</v>
      </c>
      <c r="BM8" s="30" t="s">
        <v>426</v>
      </c>
      <c r="BR8" s="30" t="s">
        <v>329</v>
      </c>
    </row>
    <row r="9" spans="1:73" x14ac:dyDescent="0.2">
      <c r="A9" s="30" t="s">
        <v>256</v>
      </c>
      <c r="J9" s="30" t="s">
        <v>25</v>
      </c>
      <c r="AB9" s="30" t="s">
        <v>777</v>
      </c>
      <c r="AK9" s="30" t="s">
        <v>787</v>
      </c>
      <c r="AZ9" s="30" t="s">
        <v>688</v>
      </c>
      <c r="BF9" s="30" t="s">
        <v>800</v>
      </c>
      <c r="BM9" s="30" t="s">
        <v>611</v>
      </c>
      <c r="BR9" s="30" t="s">
        <v>318</v>
      </c>
    </row>
    <row r="10" spans="1:73" x14ac:dyDescent="0.2">
      <c r="A10" s="30" t="s">
        <v>13</v>
      </c>
      <c r="E10" t="s">
        <v>864</v>
      </c>
      <c r="J10" s="30" t="s">
        <v>26</v>
      </c>
      <c r="S10" s="30" t="s">
        <v>194</v>
      </c>
      <c r="AB10" s="30" t="s">
        <v>767</v>
      </c>
      <c r="AK10" s="30" t="s">
        <v>764</v>
      </c>
      <c r="AZ10" s="30" t="s">
        <v>710</v>
      </c>
      <c r="BM10" s="30" t="s">
        <v>320</v>
      </c>
      <c r="BR10" s="30" t="s">
        <v>330</v>
      </c>
    </row>
    <row r="11" spans="1:73" x14ac:dyDescent="0.2">
      <c r="A11" s="30" t="s">
        <v>14</v>
      </c>
      <c r="J11" s="32" t="s">
        <v>27</v>
      </c>
      <c r="S11" s="30" t="s">
        <v>204</v>
      </c>
      <c r="AB11" s="30" t="s">
        <v>758</v>
      </c>
      <c r="AK11" s="30" t="s">
        <v>828</v>
      </c>
      <c r="BR11" s="30" t="s">
        <v>331</v>
      </c>
    </row>
    <row r="12" spans="1:73" x14ac:dyDescent="0.2">
      <c r="A12" s="30" t="s">
        <v>15</v>
      </c>
      <c r="J12" s="30" t="s">
        <v>28</v>
      </c>
      <c r="S12" s="30" t="s">
        <v>213</v>
      </c>
      <c r="AB12" s="30" t="s">
        <v>829</v>
      </c>
      <c r="AK12" s="30" t="s">
        <v>765</v>
      </c>
      <c r="BR12" s="30" t="s">
        <v>332</v>
      </c>
    </row>
    <row r="13" spans="1:73" x14ac:dyDescent="0.2">
      <c r="A13" s="30" t="s">
        <v>16</v>
      </c>
      <c r="J13" s="30" t="s">
        <v>29</v>
      </c>
      <c r="S13" s="30" t="s">
        <v>435</v>
      </c>
      <c r="AB13" s="30" t="s">
        <v>830</v>
      </c>
      <c r="AK13" s="30" t="s">
        <v>831</v>
      </c>
      <c r="BR13" s="30" t="s">
        <v>333</v>
      </c>
    </row>
    <row r="14" spans="1:73" x14ac:dyDescent="0.2">
      <c r="A14" s="30" t="s">
        <v>17</v>
      </c>
      <c r="E14" t="s">
        <v>865</v>
      </c>
      <c r="J14" s="30" t="s">
        <v>30</v>
      </c>
      <c r="AB14" s="30" t="s">
        <v>763</v>
      </c>
      <c r="AK14" s="30" t="s">
        <v>832</v>
      </c>
      <c r="BR14" s="30" t="s">
        <v>334</v>
      </c>
    </row>
    <row r="15" spans="1:73" x14ac:dyDescent="0.2">
      <c r="A15" s="30" t="s">
        <v>18</v>
      </c>
      <c r="J15" s="30" t="s">
        <v>31</v>
      </c>
      <c r="S15" s="30" t="s">
        <v>196</v>
      </c>
      <c r="AB15" s="30" t="s">
        <v>833</v>
      </c>
      <c r="AK15" s="30" t="s">
        <v>834</v>
      </c>
      <c r="BR15" s="30" t="s">
        <v>335</v>
      </c>
    </row>
    <row r="16" spans="1:73" x14ac:dyDescent="0.2">
      <c r="A16" s="30" t="s">
        <v>250</v>
      </c>
      <c r="E16" t="s">
        <v>866</v>
      </c>
      <c r="J16" s="30" t="s">
        <v>32</v>
      </c>
      <c r="S16" s="30" t="s">
        <v>206</v>
      </c>
      <c r="AB16" s="30" t="s">
        <v>770</v>
      </c>
      <c r="AK16" s="30" t="s">
        <v>802</v>
      </c>
      <c r="BR16" s="30" t="s">
        <v>336</v>
      </c>
    </row>
    <row r="17" spans="1:70" x14ac:dyDescent="0.2">
      <c r="A17" s="30" t="s">
        <v>262</v>
      </c>
      <c r="J17" s="30" t="s">
        <v>33</v>
      </c>
      <c r="S17" s="30" t="s">
        <v>417</v>
      </c>
      <c r="AB17" s="30" t="s">
        <v>679</v>
      </c>
      <c r="AK17" s="30" t="s">
        <v>715</v>
      </c>
      <c r="BR17" s="30" t="s">
        <v>337</v>
      </c>
    </row>
    <row r="18" spans="1:70" x14ac:dyDescent="0.2">
      <c r="A18" s="30" t="s">
        <v>247</v>
      </c>
      <c r="J18" s="30" t="s">
        <v>34</v>
      </c>
      <c r="AB18" s="30" t="s">
        <v>835</v>
      </c>
      <c r="AK18" s="30" t="s">
        <v>723</v>
      </c>
      <c r="BR18" s="30" t="s">
        <v>338</v>
      </c>
    </row>
    <row r="19" spans="1:70" x14ac:dyDescent="0.2">
      <c r="A19" s="30" t="s">
        <v>425</v>
      </c>
      <c r="J19" s="30" t="s">
        <v>35</v>
      </c>
      <c r="S19" s="30" t="s">
        <v>67</v>
      </c>
      <c r="X19" t="s">
        <v>882</v>
      </c>
      <c r="AB19" s="30" t="s">
        <v>836</v>
      </c>
      <c r="AK19" s="30" t="s">
        <v>722</v>
      </c>
      <c r="BR19" s="30" t="s">
        <v>339</v>
      </c>
    </row>
    <row r="20" spans="1:70" x14ac:dyDescent="0.2">
      <c r="A20" s="30" t="s">
        <v>426</v>
      </c>
      <c r="J20" s="30" t="s">
        <v>36</v>
      </c>
      <c r="S20" s="30" t="s">
        <v>68</v>
      </c>
      <c r="X20" t="s">
        <v>882</v>
      </c>
      <c r="AB20" s="30" t="s">
        <v>837</v>
      </c>
      <c r="AK20" s="30" t="s">
        <v>806</v>
      </c>
      <c r="BR20" s="30" t="s">
        <v>340</v>
      </c>
    </row>
    <row r="21" spans="1:70" x14ac:dyDescent="0.2">
      <c r="A21" s="30" t="s">
        <v>431</v>
      </c>
      <c r="J21" s="30" t="s">
        <v>37</v>
      </c>
      <c r="S21" s="30" t="s">
        <v>69</v>
      </c>
      <c r="X21" t="s">
        <v>882</v>
      </c>
      <c r="AB21" s="30" t="s">
        <v>838</v>
      </c>
      <c r="AK21" s="30" t="s">
        <v>681</v>
      </c>
      <c r="BR21" s="30" t="s">
        <v>341</v>
      </c>
    </row>
    <row r="22" spans="1:70" x14ac:dyDescent="0.2">
      <c r="A22" s="30" t="s">
        <v>320</v>
      </c>
      <c r="J22" s="30" t="s">
        <v>818</v>
      </c>
      <c r="S22" s="30" t="s">
        <v>70</v>
      </c>
      <c r="X22" t="s">
        <v>882</v>
      </c>
      <c r="AB22" s="30" t="s">
        <v>839</v>
      </c>
      <c r="AK22" s="30" t="s">
        <v>769</v>
      </c>
      <c r="BR22" s="30" t="s">
        <v>342</v>
      </c>
    </row>
    <row r="23" spans="1:70" x14ac:dyDescent="0.2">
      <c r="A23" s="30" t="s">
        <v>433</v>
      </c>
      <c r="J23" s="30" t="s">
        <v>819</v>
      </c>
      <c r="S23" s="30" t="s">
        <v>71</v>
      </c>
      <c r="X23" t="s">
        <v>882</v>
      </c>
      <c r="AB23" s="30" t="s">
        <v>840</v>
      </c>
      <c r="AK23" s="30" t="s">
        <v>841</v>
      </c>
      <c r="BR23" s="30" t="s">
        <v>343</v>
      </c>
    </row>
    <row r="24" spans="1:70" x14ac:dyDescent="0.2">
      <c r="A24" s="30" t="s">
        <v>452</v>
      </c>
      <c r="J24" s="30" t="s">
        <v>820</v>
      </c>
      <c r="S24" s="30" t="s">
        <v>404</v>
      </c>
      <c r="X24" t="s">
        <v>882</v>
      </c>
      <c r="AB24" s="30" t="s">
        <v>784</v>
      </c>
      <c r="AK24" s="30" t="s">
        <v>842</v>
      </c>
      <c r="BR24" s="30" t="s">
        <v>344</v>
      </c>
    </row>
    <row r="25" spans="1:70" x14ac:dyDescent="0.2">
      <c r="A25" s="30" t="s">
        <v>628</v>
      </c>
      <c r="J25" s="30" t="s">
        <v>12</v>
      </c>
      <c r="S25" s="30" t="s">
        <v>405</v>
      </c>
      <c r="X25" t="s">
        <v>882</v>
      </c>
      <c r="AB25" s="30" t="s">
        <v>803</v>
      </c>
      <c r="AK25" s="30" t="s">
        <v>843</v>
      </c>
      <c r="BR25" s="30" t="s">
        <v>345</v>
      </c>
    </row>
    <row r="26" spans="1:70" x14ac:dyDescent="0.2">
      <c r="J26" s="30" t="s">
        <v>38</v>
      </c>
      <c r="S26" s="30" t="s">
        <v>414</v>
      </c>
      <c r="X26" t="s">
        <v>882</v>
      </c>
      <c r="AB26" s="30" t="s">
        <v>814</v>
      </c>
      <c r="AK26" s="30" t="s">
        <v>844</v>
      </c>
      <c r="BR26" s="30" t="s">
        <v>346</v>
      </c>
    </row>
    <row r="27" spans="1:70" x14ac:dyDescent="0.2">
      <c r="J27" s="30" t="s">
        <v>39</v>
      </c>
      <c r="S27" s="30" t="s">
        <v>418</v>
      </c>
      <c r="X27" t="s">
        <v>882</v>
      </c>
      <c r="AB27" s="30" t="s">
        <v>754</v>
      </c>
      <c r="AK27" s="30" t="s">
        <v>845</v>
      </c>
      <c r="BR27" s="30" t="s">
        <v>347</v>
      </c>
    </row>
    <row r="28" spans="1:70" x14ac:dyDescent="0.2">
      <c r="J28" s="30" t="s">
        <v>40</v>
      </c>
      <c r="S28" s="30" t="s">
        <v>479</v>
      </c>
      <c r="X28" t="s">
        <v>882</v>
      </c>
      <c r="AB28" s="30" t="s">
        <v>846</v>
      </c>
      <c r="AK28" s="30" t="s">
        <v>783</v>
      </c>
      <c r="BR28" s="30" t="s">
        <v>348</v>
      </c>
    </row>
    <row r="29" spans="1:70" x14ac:dyDescent="0.2">
      <c r="J29" s="30" t="s">
        <v>41</v>
      </c>
      <c r="S29" s="30" t="s">
        <v>480</v>
      </c>
      <c r="X29" t="s">
        <v>882</v>
      </c>
      <c r="AB29" s="30" t="s">
        <v>678</v>
      </c>
      <c r="AK29" s="30" t="s">
        <v>847</v>
      </c>
      <c r="BR29" s="30" t="s">
        <v>349</v>
      </c>
    </row>
    <row r="30" spans="1:70" x14ac:dyDescent="0.2">
      <c r="J30" s="30" t="s">
        <v>42</v>
      </c>
      <c r="S30" s="32" t="s">
        <v>699</v>
      </c>
      <c r="X30" t="s">
        <v>882</v>
      </c>
      <c r="AB30" s="30" t="s">
        <v>718</v>
      </c>
      <c r="AK30" s="30" t="s">
        <v>848</v>
      </c>
      <c r="BR30" s="30" t="s">
        <v>350</v>
      </c>
    </row>
    <row r="31" spans="1:70" x14ac:dyDescent="0.2">
      <c r="J31" s="30" t="s">
        <v>43</v>
      </c>
      <c r="S31" s="32" t="s">
        <v>700</v>
      </c>
      <c r="X31" t="s">
        <v>882</v>
      </c>
      <c r="AB31" s="30" t="s">
        <v>849</v>
      </c>
      <c r="AK31" s="30" t="s">
        <v>850</v>
      </c>
      <c r="BR31" s="30" t="s">
        <v>351</v>
      </c>
    </row>
    <row r="32" spans="1:70" x14ac:dyDescent="0.2">
      <c r="J32" s="30" t="s">
        <v>44</v>
      </c>
      <c r="S32" s="32" t="s">
        <v>701</v>
      </c>
      <c r="X32" t="s">
        <v>882</v>
      </c>
      <c r="AB32" s="30" t="s">
        <v>680</v>
      </c>
      <c r="AK32" s="30" t="s">
        <v>761</v>
      </c>
      <c r="BR32" s="30" t="s">
        <v>352</v>
      </c>
    </row>
    <row r="33" spans="10:70" x14ac:dyDescent="0.2">
      <c r="J33" s="30" t="s">
        <v>45</v>
      </c>
      <c r="S33" s="32" t="s">
        <v>702</v>
      </c>
      <c r="X33" t="s">
        <v>882</v>
      </c>
      <c r="AB33" s="30" t="s">
        <v>817</v>
      </c>
      <c r="AK33" s="30" t="s">
        <v>851</v>
      </c>
      <c r="BR33" s="30" t="s">
        <v>353</v>
      </c>
    </row>
    <row r="34" spans="10:70" x14ac:dyDescent="0.2">
      <c r="J34" s="30" t="s">
        <v>46</v>
      </c>
      <c r="S34" s="32" t="s">
        <v>703</v>
      </c>
      <c r="X34" t="s">
        <v>882</v>
      </c>
      <c r="AB34" s="30" t="s">
        <v>678</v>
      </c>
      <c r="AK34" s="30" t="s">
        <v>775</v>
      </c>
      <c r="BR34" s="30" t="s">
        <v>354</v>
      </c>
    </row>
    <row r="35" spans="10:70" x14ac:dyDescent="0.2">
      <c r="J35" s="30" t="s">
        <v>47</v>
      </c>
      <c r="S35" s="32" t="s">
        <v>72</v>
      </c>
      <c r="X35" t="s">
        <v>882</v>
      </c>
      <c r="AB35" s="30" t="s">
        <v>852</v>
      </c>
      <c r="AK35" s="30" t="s">
        <v>853</v>
      </c>
      <c r="BR35" s="30" t="s">
        <v>355</v>
      </c>
    </row>
    <row r="36" spans="10:70" x14ac:dyDescent="0.2">
      <c r="J36" s="30" t="s">
        <v>48</v>
      </c>
      <c r="AB36" s="30" t="s">
        <v>720</v>
      </c>
      <c r="AK36" s="30" t="s">
        <v>854</v>
      </c>
      <c r="BR36" s="30" t="s">
        <v>356</v>
      </c>
    </row>
    <row r="37" spans="10:70" x14ac:dyDescent="0.2">
      <c r="J37" s="30" t="s">
        <v>49</v>
      </c>
      <c r="S37" s="30" t="s">
        <v>73</v>
      </c>
      <c r="AB37" s="30" t="s">
        <v>683</v>
      </c>
      <c r="AK37" s="30" t="s">
        <v>855</v>
      </c>
      <c r="BR37" s="30" t="s">
        <v>357</v>
      </c>
    </row>
    <row r="38" spans="10:70" x14ac:dyDescent="0.2">
      <c r="J38" s="30" t="s">
        <v>50</v>
      </c>
      <c r="S38" s="30" t="s">
        <v>74</v>
      </c>
      <c r="AB38" s="30" t="s">
        <v>712</v>
      </c>
      <c r="AK38" s="30" t="s">
        <v>737</v>
      </c>
      <c r="BR38" s="30" t="s">
        <v>358</v>
      </c>
    </row>
    <row r="39" spans="10:70" x14ac:dyDescent="0.2">
      <c r="J39" s="30" t="s">
        <v>51</v>
      </c>
      <c r="S39" s="30" t="s">
        <v>75</v>
      </c>
      <c r="AB39" s="30" t="s">
        <v>725</v>
      </c>
      <c r="AK39" s="30" t="s">
        <v>744</v>
      </c>
      <c r="BR39" s="30" t="s">
        <v>359</v>
      </c>
    </row>
    <row r="40" spans="10:70" x14ac:dyDescent="0.2">
      <c r="J40" s="30" t="s">
        <v>180</v>
      </c>
      <c r="S40" s="30" t="s">
        <v>76</v>
      </c>
      <c r="AB40" s="30" t="s">
        <v>856</v>
      </c>
      <c r="AK40" s="30" t="s">
        <v>745</v>
      </c>
      <c r="BR40" s="30" t="s">
        <v>360</v>
      </c>
    </row>
    <row r="41" spans="10:70" x14ac:dyDescent="0.2">
      <c r="J41" s="30" t="s">
        <v>181</v>
      </c>
      <c r="S41" s="30" t="s">
        <v>77</v>
      </c>
      <c r="AB41" s="30" t="s">
        <v>857</v>
      </c>
      <c r="AK41" s="30" t="s">
        <v>746</v>
      </c>
      <c r="BR41" s="30" t="s">
        <v>361</v>
      </c>
    </row>
    <row r="42" spans="10:70" x14ac:dyDescent="0.2">
      <c r="J42" s="30" t="s">
        <v>17</v>
      </c>
      <c r="S42" s="30" t="s">
        <v>481</v>
      </c>
      <c r="AB42" s="30" t="s">
        <v>858</v>
      </c>
      <c r="AK42" s="30" t="s">
        <v>748</v>
      </c>
      <c r="BR42" s="30" t="s">
        <v>362</v>
      </c>
    </row>
    <row r="43" spans="10:70" x14ac:dyDescent="0.2">
      <c r="J43" s="30" t="s">
        <v>262</v>
      </c>
      <c r="S43" s="30" t="s">
        <v>78</v>
      </c>
      <c r="AB43" s="30" t="s">
        <v>739</v>
      </c>
      <c r="AK43" s="30" t="s">
        <v>747</v>
      </c>
      <c r="BR43" s="30" t="s">
        <v>363</v>
      </c>
    </row>
    <row r="44" spans="10:70" x14ac:dyDescent="0.2">
      <c r="J44" s="30" t="s">
        <v>247</v>
      </c>
      <c r="S44" s="30" t="s">
        <v>79</v>
      </c>
      <c r="AB44" s="30" t="s">
        <v>752</v>
      </c>
      <c r="AK44" s="30" t="s">
        <v>749</v>
      </c>
      <c r="BR44" s="30" t="s">
        <v>364</v>
      </c>
    </row>
    <row r="45" spans="10:70" x14ac:dyDescent="0.2">
      <c r="J45" s="30" t="s">
        <v>432</v>
      </c>
      <c r="S45" s="30" t="s">
        <v>387</v>
      </c>
      <c r="AB45" s="30" t="s">
        <v>756</v>
      </c>
      <c r="BR45" s="30" t="s">
        <v>365</v>
      </c>
    </row>
    <row r="46" spans="10:70" x14ac:dyDescent="0.2">
      <c r="J46" s="30" t="s">
        <v>453</v>
      </c>
      <c r="K46" t="s">
        <v>870</v>
      </c>
      <c r="S46" s="30" t="s">
        <v>398</v>
      </c>
      <c r="AB46" s="30" t="s">
        <v>808</v>
      </c>
      <c r="BR46" s="30" t="s">
        <v>366</v>
      </c>
    </row>
    <row r="47" spans="10:70" x14ac:dyDescent="0.2">
      <c r="J47" s="30" t="s">
        <v>697</v>
      </c>
      <c r="K47" t="s">
        <v>871</v>
      </c>
      <c r="O47" t="s">
        <v>882</v>
      </c>
      <c r="P47" t="s">
        <v>885</v>
      </c>
      <c r="S47" s="30" t="s">
        <v>416</v>
      </c>
      <c r="AB47" s="30" t="s">
        <v>737</v>
      </c>
      <c r="BR47" s="30" t="s">
        <v>367</v>
      </c>
    </row>
    <row r="48" spans="10:70" x14ac:dyDescent="0.2">
      <c r="J48" s="30" t="s">
        <v>698</v>
      </c>
      <c r="K48" t="s">
        <v>872</v>
      </c>
      <c r="O48" t="s">
        <v>882</v>
      </c>
      <c r="S48" s="30" t="s">
        <v>424</v>
      </c>
      <c r="AB48" s="30" t="s">
        <v>744</v>
      </c>
      <c r="BR48" s="30" t="s">
        <v>368</v>
      </c>
    </row>
    <row r="49" spans="10:70" x14ac:dyDescent="0.2">
      <c r="J49" s="30" t="s">
        <v>684</v>
      </c>
      <c r="K49" t="s">
        <v>873</v>
      </c>
      <c r="O49" t="s">
        <v>882</v>
      </c>
      <c r="S49" s="30" t="s">
        <v>80</v>
      </c>
      <c r="AB49" s="30" t="s">
        <v>745</v>
      </c>
      <c r="BR49" s="30" t="s">
        <v>369</v>
      </c>
    </row>
    <row r="50" spans="10:70" x14ac:dyDescent="0.2">
      <c r="O50" t="s">
        <v>882</v>
      </c>
      <c r="AB50" s="30" t="s">
        <v>746</v>
      </c>
      <c r="BR50" s="30" t="s">
        <v>370</v>
      </c>
    </row>
    <row r="51" spans="10:70" x14ac:dyDescent="0.2">
      <c r="S51" s="30" t="s">
        <v>81</v>
      </c>
      <c r="AB51" s="30" t="s">
        <v>748</v>
      </c>
      <c r="BR51" s="30" t="s">
        <v>371</v>
      </c>
    </row>
    <row r="52" spans="10:70" x14ac:dyDescent="0.2">
      <c r="S52" s="30" t="s">
        <v>82</v>
      </c>
      <c r="AB52" s="30" t="s">
        <v>747</v>
      </c>
      <c r="BR52" s="30" t="s">
        <v>372</v>
      </c>
    </row>
    <row r="53" spans="10:70" x14ac:dyDescent="0.2">
      <c r="S53" s="30" t="s">
        <v>83</v>
      </c>
      <c r="AB53" s="30" t="s">
        <v>749</v>
      </c>
      <c r="BR53" s="30" t="s">
        <v>373</v>
      </c>
    </row>
    <row r="54" spans="10:70" x14ac:dyDescent="0.2">
      <c r="S54" s="30" t="s">
        <v>84</v>
      </c>
      <c r="BR54" s="30" t="s">
        <v>374</v>
      </c>
    </row>
    <row r="55" spans="10:70" x14ac:dyDescent="0.2">
      <c r="S55" s="30" t="s">
        <v>85</v>
      </c>
      <c r="BR55" s="30" t="s">
        <v>375</v>
      </c>
    </row>
    <row r="56" spans="10:70" x14ac:dyDescent="0.2">
      <c r="S56" s="30" t="s">
        <v>388</v>
      </c>
      <c r="BR56" s="30" t="s">
        <v>323</v>
      </c>
    </row>
    <row r="57" spans="10:70" x14ac:dyDescent="0.2">
      <c r="S57" s="30" t="s">
        <v>399</v>
      </c>
      <c r="BR57" s="30" t="s">
        <v>612</v>
      </c>
    </row>
    <row r="58" spans="10:70" x14ac:dyDescent="0.2">
      <c r="S58" s="30" t="s">
        <v>86</v>
      </c>
      <c r="BR58" s="30" t="s">
        <v>433</v>
      </c>
    </row>
    <row r="60" spans="10:70" x14ac:dyDescent="0.2">
      <c r="S60" s="30" t="s">
        <v>821</v>
      </c>
      <c r="X60" t="s">
        <v>882</v>
      </c>
    </row>
    <row r="61" spans="10:70" x14ac:dyDescent="0.2">
      <c r="S61" s="30" t="s">
        <v>87</v>
      </c>
      <c r="X61" t="s">
        <v>882</v>
      </c>
    </row>
    <row r="62" spans="10:70" x14ac:dyDescent="0.2">
      <c r="S62" s="30" t="s">
        <v>88</v>
      </c>
      <c r="X62" t="s">
        <v>882</v>
      </c>
    </row>
    <row r="63" spans="10:70" x14ac:dyDescent="0.2">
      <c r="S63" s="30" t="s">
        <v>89</v>
      </c>
      <c r="X63" t="s">
        <v>882</v>
      </c>
    </row>
    <row r="64" spans="10:70" x14ac:dyDescent="0.2">
      <c r="S64" s="30" t="s">
        <v>406</v>
      </c>
      <c r="X64" t="s">
        <v>882</v>
      </c>
    </row>
    <row r="65" spans="19:24" x14ac:dyDescent="0.2">
      <c r="S65" s="30" t="s">
        <v>408</v>
      </c>
      <c r="X65" t="s">
        <v>882</v>
      </c>
    </row>
    <row r="66" spans="19:24" x14ac:dyDescent="0.2">
      <c r="S66" s="30" t="s">
        <v>423</v>
      </c>
      <c r="X66" t="s">
        <v>882</v>
      </c>
    </row>
    <row r="67" spans="19:24" x14ac:dyDescent="0.2">
      <c r="S67" s="30" t="s">
        <v>410</v>
      </c>
      <c r="X67" t="s">
        <v>882</v>
      </c>
    </row>
    <row r="68" spans="19:24" x14ac:dyDescent="0.2">
      <c r="S68" s="30" t="s">
        <v>412</v>
      </c>
      <c r="X68" t="s">
        <v>882</v>
      </c>
    </row>
    <row r="69" spans="19:24" x14ac:dyDescent="0.2">
      <c r="S69" s="30" t="s">
        <v>415</v>
      </c>
      <c r="X69" t="s">
        <v>882</v>
      </c>
    </row>
    <row r="70" spans="19:24" x14ac:dyDescent="0.2">
      <c r="S70" s="30" t="s">
        <v>449</v>
      </c>
      <c r="X70" t="s">
        <v>882</v>
      </c>
    </row>
    <row r="71" spans="19:24" x14ac:dyDescent="0.2">
      <c r="S71" s="30" t="s">
        <v>617</v>
      </c>
      <c r="X71" t="s">
        <v>882</v>
      </c>
    </row>
    <row r="72" spans="19:24" x14ac:dyDescent="0.2">
      <c r="S72" s="30" t="s">
        <v>182</v>
      </c>
      <c r="X72" t="s">
        <v>882</v>
      </c>
    </row>
    <row r="74" spans="19:24" x14ac:dyDescent="0.2">
      <c r="S74" s="30" t="s">
        <v>822</v>
      </c>
      <c r="X74" t="s">
        <v>882</v>
      </c>
    </row>
    <row r="75" spans="19:24" x14ac:dyDescent="0.2">
      <c r="S75" s="30" t="s">
        <v>90</v>
      </c>
      <c r="X75" t="s">
        <v>882</v>
      </c>
    </row>
    <row r="76" spans="19:24" x14ac:dyDescent="0.2">
      <c r="S76" s="30" t="s">
        <v>91</v>
      </c>
      <c r="X76" t="s">
        <v>882</v>
      </c>
    </row>
    <row r="77" spans="19:24" x14ac:dyDescent="0.2">
      <c r="S77" s="30" t="s">
        <v>92</v>
      </c>
      <c r="X77" t="s">
        <v>882</v>
      </c>
    </row>
    <row r="78" spans="19:24" x14ac:dyDescent="0.2">
      <c r="S78" s="30" t="s">
        <v>407</v>
      </c>
      <c r="X78" t="s">
        <v>882</v>
      </c>
    </row>
    <row r="79" spans="19:24" x14ac:dyDescent="0.2">
      <c r="S79" s="30" t="s">
        <v>409</v>
      </c>
      <c r="X79" t="s">
        <v>882</v>
      </c>
    </row>
    <row r="80" spans="19:24" x14ac:dyDescent="0.2">
      <c r="S80" s="30" t="s">
        <v>411</v>
      </c>
      <c r="X80" t="s">
        <v>882</v>
      </c>
    </row>
    <row r="81" spans="19:25" x14ac:dyDescent="0.2">
      <c r="S81" s="30" t="s">
        <v>413</v>
      </c>
      <c r="X81" t="s">
        <v>882</v>
      </c>
    </row>
    <row r="82" spans="19:25" x14ac:dyDescent="0.2">
      <c r="S82" s="30" t="s">
        <v>450</v>
      </c>
      <c r="X82" t="s">
        <v>882</v>
      </c>
    </row>
    <row r="83" spans="19:25" x14ac:dyDescent="0.2">
      <c r="S83" s="30" t="s">
        <v>618</v>
      </c>
      <c r="X83" t="s">
        <v>882</v>
      </c>
    </row>
    <row r="84" spans="19:25" x14ac:dyDescent="0.2">
      <c r="S84" s="30" t="s">
        <v>183</v>
      </c>
      <c r="X84" t="s">
        <v>882</v>
      </c>
    </row>
    <row r="86" spans="19:25" x14ac:dyDescent="0.2">
      <c r="S86" s="30" t="s">
        <v>823</v>
      </c>
      <c r="X86" t="s">
        <v>882</v>
      </c>
    </row>
    <row r="87" spans="19:25" x14ac:dyDescent="0.2">
      <c r="S87" s="30" t="s">
        <v>93</v>
      </c>
      <c r="X87" t="s">
        <v>882</v>
      </c>
    </row>
    <row r="88" spans="19:25" x14ac:dyDescent="0.2">
      <c r="S88" s="30" t="s">
        <v>94</v>
      </c>
      <c r="X88" t="s">
        <v>882</v>
      </c>
    </row>
    <row r="89" spans="19:25" x14ac:dyDescent="0.2">
      <c r="S89" s="30" t="s">
        <v>95</v>
      </c>
      <c r="X89" t="s">
        <v>882</v>
      </c>
    </row>
    <row r="91" spans="19:25" x14ac:dyDescent="0.2">
      <c r="S91" s="30" t="s">
        <v>3</v>
      </c>
      <c r="Y91" t="s">
        <v>883</v>
      </c>
    </row>
    <row r="92" spans="19:25" x14ac:dyDescent="0.2">
      <c r="S92" s="30" t="s">
        <v>145</v>
      </c>
      <c r="T92" t="s">
        <v>874</v>
      </c>
      <c r="X92" t="s">
        <v>882</v>
      </c>
    </row>
    <row r="93" spans="19:25" x14ac:dyDescent="0.2">
      <c r="S93" s="30" t="s">
        <v>146</v>
      </c>
      <c r="T93" t="s">
        <v>875</v>
      </c>
      <c r="X93" t="s">
        <v>882</v>
      </c>
    </row>
    <row r="94" spans="19:25" x14ac:dyDescent="0.2">
      <c r="S94" s="30" t="s">
        <v>147</v>
      </c>
      <c r="T94" t="s">
        <v>876</v>
      </c>
      <c r="X94" t="s">
        <v>882</v>
      </c>
    </row>
    <row r="95" spans="19:25" x14ac:dyDescent="0.2">
      <c r="S95" s="30" t="s">
        <v>148</v>
      </c>
      <c r="T95" t="s">
        <v>877</v>
      </c>
      <c r="X95" t="s">
        <v>882</v>
      </c>
    </row>
    <row r="96" spans="19:25" x14ac:dyDescent="0.2">
      <c r="S96" s="30" t="s">
        <v>149</v>
      </c>
      <c r="T96" t="s">
        <v>878</v>
      </c>
      <c r="X96" t="s">
        <v>882</v>
      </c>
    </row>
    <row r="97" spans="19:25" x14ac:dyDescent="0.2">
      <c r="S97" s="30" t="s">
        <v>150</v>
      </c>
      <c r="T97" t="s">
        <v>879</v>
      </c>
      <c r="X97" t="s">
        <v>882</v>
      </c>
    </row>
    <row r="98" spans="19:25" x14ac:dyDescent="0.2">
      <c r="S98" s="30" t="s">
        <v>151</v>
      </c>
      <c r="X98" t="s">
        <v>882</v>
      </c>
    </row>
    <row r="99" spans="19:25" x14ac:dyDescent="0.2">
      <c r="S99" s="30" t="s">
        <v>152</v>
      </c>
      <c r="X99" t="s">
        <v>882</v>
      </c>
    </row>
    <row r="100" spans="19:25" x14ac:dyDescent="0.2">
      <c r="S100" s="30" t="s">
        <v>153</v>
      </c>
      <c r="X100" t="s">
        <v>882</v>
      </c>
    </row>
    <row r="101" spans="19:25" x14ac:dyDescent="0.2">
      <c r="S101" s="30" t="s">
        <v>154</v>
      </c>
      <c r="X101" t="s">
        <v>882</v>
      </c>
    </row>
    <row r="102" spans="19:25" x14ac:dyDescent="0.2">
      <c r="S102" s="30" t="s">
        <v>155</v>
      </c>
      <c r="T102" t="s">
        <v>880</v>
      </c>
      <c r="X102" t="s">
        <v>882</v>
      </c>
    </row>
    <row r="103" spans="19:25" x14ac:dyDescent="0.2">
      <c r="S103" s="30" t="s">
        <v>156</v>
      </c>
      <c r="T103" t="s">
        <v>881</v>
      </c>
      <c r="X103" t="s">
        <v>882</v>
      </c>
    </row>
    <row r="104" spans="19:25" x14ac:dyDescent="0.2">
      <c r="S104" s="30" t="s">
        <v>157</v>
      </c>
      <c r="X104" t="s">
        <v>882</v>
      </c>
    </row>
    <row r="106" spans="19:25" x14ac:dyDescent="0.2">
      <c r="S106" s="30" t="s">
        <v>4</v>
      </c>
      <c r="Y106" t="s">
        <v>883</v>
      </c>
    </row>
    <row r="107" spans="19:25" x14ac:dyDescent="0.2">
      <c r="S107" s="30" t="s">
        <v>158</v>
      </c>
      <c r="X107" t="s">
        <v>882</v>
      </c>
    </row>
    <row r="108" spans="19:25" x14ac:dyDescent="0.2">
      <c r="S108" s="30" t="s">
        <v>159</v>
      </c>
      <c r="X108" t="s">
        <v>882</v>
      </c>
    </row>
    <row r="109" spans="19:25" x14ac:dyDescent="0.2">
      <c r="S109" s="30" t="s">
        <v>160</v>
      </c>
      <c r="X109" t="s">
        <v>882</v>
      </c>
    </row>
    <row r="110" spans="19:25" x14ac:dyDescent="0.2">
      <c r="S110" s="30" t="s">
        <v>161</v>
      </c>
      <c r="X110" t="s">
        <v>882</v>
      </c>
    </row>
    <row r="111" spans="19:25" x14ac:dyDescent="0.2">
      <c r="S111" s="30" t="s">
        <v>162</v>
      </c>
      <c r="X111" t="s">
        <v>882</v>
      </c>
    </row>
    <row r="112" spans="19:25" x14ac:dyDescent="0.2">
      <c r="S112" s="30" t="s">
        <v>163</v>
      </c>
      <c r="X112" t="s">
        <v>882</v>
      </c>
    </row>
    <row r="113" spans="19:24" x14ac:dyDescent="0.2">
      <c r="S113" s="30" t="s">
        <v>164</v>
      </c>
      <c r="X113" t="s">
        <v>882</v>
      </c>
    </row>
    <row r="114" spans="19:24" x14ac:dyDescent="0.2">
      <c r="S114" s="30" t="s">
        <v>165</v>
      </c>
      <c r="X114" t="s">
        <v>882</v>
      </c>
    </row>
    <row r="115" spans="19:24" x14ac:dyDescent="0.2">
      <c r="S115" s="30" t="s">
        <v>166</v>
      </c>
      <c r="X115" t="s">
        <v>882</v>
      </c>
    </row>
    <row r="116" spans="19:24" x14ac:dyDescent="0.2">
      <c r="S116" s="30" t="s">
        <v>167</v>
      </c>
      <c r="X116" t="s">
        <v>882</v>
      </c>
    </row>
    <row r="117" spans="19:24" x14ac:dyDescent="0.2">
      <c r="S117" s="30" t="s">
        <v>168</v>
      </c>
      <c r="X117" t="s">
        <v>882</v>
      </c>
    </row>
    <row r="118" spans="19:24" x14ac:dyDescent="0.2">
      <c r="S118" s="30" t="s">
        <v>154</v>
      </c>
      <c r="X118" t="s">
        <v>882</v>
      </c>
    </row>
    <row r="120" spans="19:24" x14ac:dyDescent="0.2">
      <c r="S120" s="30" t="s">
        <v>53</v>
      </c>
      <c r="X120" t="s">
        <v>882</v>
      </c>
    </row>
    <row r="121" spans="19:24" x14ac:dyDescent="0.2">
      <c r="S121" s="30" t="s">
        <v>54</v>
      </c>
      <c r="X121" t="s">
        <v>882</v>
      </c>
    </row>
    <row r="122" spans="19:24" x14ac:dyDescent="0.2">
      <c r="S122" s="30" t="s">
        <v>55</v>
      </c>
      <c r="X122" t="s">
        <v>882</v>
      </c>
    </row>
    <row r="123" spans="19:24" x14ac:dyDescent="0.2">
      <c r="S123" s="30" t="s">
        <v>57</v>
      </c>
      <c r="X123" t="s">
        <v>882</v>
      </c>
    </row>
    <row r="124" spans="19:24" x14ac:dyDescent="0.2">
      <c r="S124" s="30" t="s">
        <v>58</v>
      </c>
      <c r="X124" t="s">
        <v>882</v>
      </c>
    </row>
    <row r="125" spans="19:24" x14ac:dyDescent="0.2">
      <c r="S125" s="30" t="s">
        <v>59</v>
      </c>
      <c r="X125" t="s">
        <v>882</v>
      </c>
    </row>
    <row r="126" spans="19:24" x14ac:dyDescent="0.2">
      <c r="S126" s="30" t="s">
        <v>60</v>
      </c>
      <c r="X126" t="s">
        <v>882</v>
      </c>
    </row>
    <row r="127" spans="19:24" x14ac:dyDescent="0.2">
      <c r="S127" s="30" t="s">
        <v>61</v>
      </c>
      <c r="X127" t="s">
        <v>882</v>
      </c>
    </row>
    <row r="128" spans="19:24" x14ac:dyDescent="0.2">
      <c r="S128" s="30" t="s">
        <v>62</v>
      </c>
      <c r="X128" t="s">
        <v>882</v>
      </c>
    </row>
    <row r="129" spans="19:24" x14ac:dyDescent="0.2">
      <c r="S129" s="30" t="s">
        <v>56</v>
      </c>
      <c r="X129" t="s">
        <v>882</v>
      </c>
    </row>
    <row r="130" spans="19:24" x14ac:dyDescent="0.2">
      <c r="S130" s="30" t="s">
        <v>66</v>
      </c>
      <c r="X130" t="s">
        <v>882</v>
      </c>
    </row>
    <row r="132" spans="19:24" x14ac:dyDescent="0.2">
      <c r="S132" s="30" t="s">
        <v>96</v>
      </c>
    </row>
    <row r="133" spans="19:24" x14ac:dyDescent="0.2">
      <c r="S133" s="30" t="s">
        <v>97</v>
      </c>
    </row>
    <row r="134" spans="19:24" x14ac:dyDescent="0.2">
      <c r="S134" s="30" t="s">
        <v>98</v>
      </c>
    </row>
    <row r="135" spans="19:24" x14ac:dyDescent="0.2">
      <c r="S135" s="30" t="s">
        <v>99</v>
      </c>
    </row>
    <row r="136" spans="19:24" x14ac:dyDescent="0.2">
      <c r="S136" s="30" t="s">
        <v>100</v>
      </c>
    </row>
    <row r="137" spans="19:24" x14ac:dyDescent="0.2">
      <c r="S137" s="30" t="s">
        <v>101</v>
      </c>
    </row>
    <row r="138" spans="19:24" x14ac:dyDescent="0.2">
      <c r="S138" s="30" t="s">
        <v>102</v>
      </c>
    </row>
    <row r="139" spans="19:24" x14ac:dyDescent="0.2">
      <c r="S139" s="30" t="s">
        <v>103</v>
      </c>
    </row>
    <row r="140" spans="19:24" x14ac:dyDescent="0.2">
      <c r="S140" s="30" t="s">
        <v>451</v>
      </c>
    </row>
    <row r="141" spans="19:24" x14ac:dyDescent="0.2">
      <c r="S141" s="30" t="s">
        <v>478</v>
      </c>
    </row>
    <row r="142" spans="19:24" x14ac:dyDescent="0.2">
      <c r="S142" s="30" t="s">
        <v>104</v>
      </c>
    </row>
    <row r="144" spans="19:24" x14ac:dyDescent="0.2">
      <c r="S144" s="30" t="s">
        <v>251</v>
      </c>
    </row>
    <row r="145" spans="19:19" x14ac:dyDescent="0.2">
      <c r="S145" s="30" t="s">
        <v>252</v>
      </c>
    </row>
    <row r="146" spans="19:19" x14ac:dyDescent="0.2">
      <c r="S146" s="30" t="s">
        <v>253</v>
      </c>
    </row>
    <row r="147" spans="19:19" x14ac:dyDescent="0.2">
      <c r="S147" s="30" t="s">
        <v>254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DI98"/>
  <sheetViews>
    <sheetView topLeftCell="CM42" workbookViewId="0">
      <selection activeCell="CQ52" sqref="CQ52"/>
    </sheetView>
  </sheetViews>
  <sheetFormatPr baseColWidth="10" defaultRowHeight="16" x14ac:dyDescent="0.2"/>
  <cols>
    <col min="1" max="1" width="13.5" customWidth="1"/>
    <col min="21" max="21" width="16.6640625" customWidth="1"/>
    <col min="22" max="22" width="25.5" customWidth="1"/>
    <col min="23" max="23" width="16.5" customWidth="1"/>
    <col min="28" max="28" width="19.33203125" customWidth="1"/>
    <col min="29" max="29" width="19.6640625" customWidth="1"/>
    <col min="30" max="30" width="18.5" customWidth="1"/>
    <col min="31" max="31" width="17.33203125" customWidth="1"/>
    <col min="36" max="36" width="18.5" customWidth="1"/>
    <col min="38" max="38" width="23.83203125" bestFit="1" customWidth="1"/>
    <col min="41" max="41" width="28.83203125" bestFit="1" customWidth="1"/>
    <col min="43" max="43" width="27.5" customWidth="1"/>
    <col min="46" max="46" width="21.5" customWidth="1"/>
    <col min="55" max="55" width="24.33203125" customWidth="1"/>
    <col min="85" max="85" width="25.6640625" customWidth="1"/>
    <col min="86" max="86" width="21.5" customWidth="1"/>
    <col min="93" max="93" width="32.33203125" customWidth="1"/>
    <col min="94" max="94" width="7.6640625" customWidth="1"/>
    <col min="95" max="95" width="32" bestFit="1" customWidth="1"/>
    <col min="99" max="99" width="13" customWidth="1"/>
    <col min="110" max="110" width="31.6640625" customWidth="1"/>
    <col min="111" max="111" width="23.83203125" bestFit="1" customWidth="1"/>
  </cols>
  <sheetData>
    <row r="1" spans="1:113" s="3" customFormat="1" ht="51" x14ac:dyDescent="0.2">
      <c r="A1" s="3" t="s">
        <v>2</v>
      </c>
      <c r="C1" s="3" t="s">
        <v>52</v>
      </c>
      <c r="E1" s="3" t="s">
        <v>144</v>
      </c>
      <c r="G1" s="3" t="s">
        <v>3</v>
      </c>
      <c r="I1" s="3" t="s">
        <v>4</v>
      </c>
      <c r="K1" s="3" t="s">
        <v>0</v>
      </c>
      <c r="N1" s="3" t="s">
        <v>169</v>
      </c>
      <c r="O1" s="3" t="s">
        <v>172</v>
      </c>
      <c r="P1" s="3" t="s">
        <v>173</v>
      </c>
      <c r="Q1" s="3" t="s">
        <v>176</v>
      </c>
      <c r="R1" s="3" t="s">
        <v>177</v>
      </c>
      <c r="T1" s="3" t="s">
        <v>247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186</v>
      </c>
      <c r="AC1" s="3" t="s">
        <v>13</v>
      </c>
      <c r="AD1" s="3" t="s">
        <v>16</v>
      </c>
      <c r="AE1" s="3" t="s">
        <v>17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188</v>
      </c>
      <c r="AP1" s="3" t="s">
        <v>187</v>
      </c>
      <c r="AQ1" s="3" t="s">
        <v>38</v>
      </c>
      <c r="AR1" s="3" t="s">
        <v>184</v>
      </c>
      <c r="AS1" s="3" t="s">
        <v>185</v>
      </c>
      <c r="AT1" s="3" t="s">
        <v>123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180</v>
      </c>
      <c r="BB1" s="3" t="s">
        <v>181</v>
      </c>
      <c r="BC1" s="3" t="s">
        <v>222</v>
      </c>
      <c r="BD1" s="3" t="s">
        <v>198</v>
      </c>
      <c r="BE1" s="3" t="s">
        <v>208</v>
      </c>
      <c r="BF1" s="3" t="s">
        <v>215</v>
      </c>
      <c r="BG1" s="3" t="s">
        <v>218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230</v>
      </c>
      <c r="BN1" s="3" t="s">
        <v>231</v>
      </c>
      <c r="BO1" s="3" t="s">
        <v>232</v>
      </c>
      <c r="BP1" s="3" t="s">
        <v>417</v>
      </c>
      <c r="BQ1" s="3" t="s">
        <v>250</v>
      </c>
      <c r="BR1" s="3" t="s">
        <v>421</v>
      </c>
      <c r="BS1" s="3" t="s">
        <v>422</v>
      </c>
      <c r="BT1" t="s">
        <v>15</v>
      </c>
      <c r="BU1" t="s">
        <v>6</v>
      </c>
      <c r="BV1" t="s">
        <v>249</v>
      </c>
      <c r="BW1" s="3" t="s">
        <v>914</v>
      </c>
      <c r="CA1" s="3" t="s">
        <v>376</v>
      </c>
      <c r="CC1" s="3" t="s">
        <v>377</v>
      </c>
      <c r="CE1" s="3" t="s">
        <v>488</v>
      </c>
      <c r="CG1" s="3" t="s">
        <v>489</v>
      </c>
      <c r="CH1" s="3" t="s">
        <v>490</v>
      </c>
      <c r="CL1" s="3" t="s">
        <v>607</v>
      </c>
      <c r="CM1" s="3" t="s">
        <v>608</v>
      </c>
      <c r="CO1" s="3" t="s">
        <v>607</v>
      </c>
      <c r="CQ1" s="3" t="s">
        <v>608</v>
      </c>
      <c r="CS1" s="3" t="s">
        <v>624</v>
      </c>
      <c r="CU1" s="3" t="s">
        <v>625</v>
      </c>
      <c r="CW1" s="3" t="s">
        <v>708</v>
      </c>
      <c r="CY1" s="3" t="s">
        <v>607</v>
      </c>
      <c r="DD1" s="3" t="s">
        <v>608</v>
      </c>
      <c r="DG1" s="3" t="s">
        <v>821</v>
      </c>
      <c r="DH1" s="3" t="s">
        <v>822</v>
      </c>
      <c r="DI1" s="3" t="s">
        <v>823</v>
      </c>
    </row>
    <row r="2" spans="1:113" x14ac:dyDescent="0.2">
      <c r="K2" t="s">
        <v>178</v>
      </c>
      <c r="L2" t="str">
        <f>K3</f>
        <v>Away</v>
      </c>
      <c r="N2" t="s">
        <v>170</v>
      </c>
      <c r="O2" s="2">
        <v>36</v>
      </c>
      <c r="P2" s="2">
        <v>-36</v>
      </c>
      <c r="Q2" s="2">
        <f>O2+O4</f>
        <v>38.375</v>
      </c>
      <c r="R2" s="2">
        <f>P2-O4</f>
        <v>-38.375</v>
      </c>
      <c r="T2" t="s">
        <v>421</v>
      </c>
      <c r="U2" t="s">
        <v>197</v>
      </c>
      <c r="V2" t="s">
        <v>222</v>
      </c>
      <c r="W2" t="s">
        <v>189</v>
      </c>
      <c r="X2" t="s">
        <v>230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67</v>
      </c>
      <c r="AG2" t="s">
        <v>67</v>
      </c>
      <c r="AH2" t="s">
        <v>67</v>
      </c>
      <c r="AI2" t="s">
        <v>67</v>
      </c>
      <c r="AJ2" t="s">
        <v>73</v>
      </c>
      <c r="AK2" t="s">
        <v>81</v>
      </c>
      <c r="AL2" t="s">
        <v>87</v>
      </c>
      <c r="AM2" t="s">
        <v>90</v>
      </c>
      <c r="AN2" t="s">
        <v>93</v>
      </c>
      <c r="AO2" t="s">
        <v>124</v>
      </c>
      <c r="AP2" t="s">
        <v>124</v>
      </c>
      <c r="AQ2" t="s">
        <v>124</v>
      </c>
      <c r="AR2" t="s">
        <v>108</v>
      </c>
      <c r="AS2" t="s">
        <v>105</v>
      </c>
      <c r="AT2" t="s">
        <v>113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96</v>
      </c>
      <c r="BB2" t="s">
        <v>96</v>
      </c>
      <c r="BC2" t="s">
        <v>53</v>
      </c>
      <c r="BD2" t="s">
        <v>53</v>
      </c>
      <c r="BE2" t="s">
        <v>53</v>
      </c>
      <c r="BF2" t="s">
        <v>53</v>
      </c>
      <c r="BG2" t="s">
        <v>64</v>
      </c>
      <c r="BH2" t="s">
        <v>64</v>
      </c>
      <c r="BI2" t="s">
        <v>56</v>
      </c>
      <c r="BJ2" t="s">
        <v>53</v>
      </c>
      <c r="BL2" t="s">
        <v>64</v>
      </c>
      <c r="BM2" t="s">
        <v>233</v>
      </c>
      <c r="BN2" t="s">
        <v>233</v>
      </c>
      <c r="BO2" t="s">
        <v>233</v>
      </c>
      <c r="BP2" t="s">
        <v>96</v>
      </c>
      <c r="BQ2" t="s">
        <v>251</v>
      </c>
      <c r="BS2" t="s">
        <v>467</v>
      </c>
      <c r="BT2" t="s">
        <v>453</v>
      </c>
      <c r="BU2" t="s">
        <v>7</v>
      </c>
      <c r="BV2" t="s">
        <v>248</v>
      </c>
      <c r="BW2" t="s">
        <v>53</v>
      </c>
      <c r="BX2" t="s">
        <v>273</v>
      </c>
      <c r="BY2" t="s">
        <v>400</v>
      </c>
      <c r="CA2" t="s">
        <v>317</v>
      </c>
      <c r="CC2" t="s">
        <v>284</v>
      </c>
      <c r="CE2" t="s">
        <v>486</v>
      </c>
      <c r="CG2" t="s">
        <v>570</v>
      </c>
      <c r="CJ2" t="s">
        <v>607</v>
      </c>
      <c r="CL2" t="s">
        <v>609</v>
      </c>
      <c r="CO2" t="str">
        <f>CY2&amp;CZ2&amp;"-"&amp;DA2</f>
        <v>OffensivePlay_Possession-DriveMiddle</v>
      </c>
      <c r="CQ2" t="str">
        <f>DD2&amp;DE2&amp;"-"&amp;DF2</f>
        <v>Defensive_PlayPossession-PokeCheck</v>
      </c>
      <c r="CS2" t="s">
        <v>630</v>
      </c>
      <c r="CU2" t="s">
        <v>627</v>
      </c>
      <c r="CW2" t="s">
        <v>793</v>
      </c>
      <c r="CY2" t="s">
        <v>675</v>
      </c>
      <c r="CZ2" t="s">
        <v>15</v>
      </c>
      <c r="DA2" t="s">
        <v>145</v>
      </c>
      <c r="DD2" t="s">
        <v>676</v>
      </c>
      <c r="DE2" t="s">
        <v>15</v>
      </c>
      <c r="DF2" t="s">
        <v>158</v>
      </c>
      <c r="DG2" t="s">
        <v>87</v>
      </c>
      <c r="DH2" t="s">
        <v>90</v>
      </c>
      <c r="DI2" t="s">
        <v>93</v>
      </c>
    </row>
    <row r="3" spans="1:113" x14ac:dyDescent="0.2">
      <c r="A3" t="s">
        <v>6</v>
      </c>
      <c r="B3" t="s">
        <v>249</v>
      </c>
      <c r="C3" t="s">
        <v>6</v>
      </c>
      <c r="E3" t="s">
        <v>53</v>
      </c>
      <c r="G3" t="s">
        <v>145</v>
      </c>
      <c r="I3" t="s">
        <v>158</v>
      </c>
      <c r="K3" t="s">
        <v>179</v>
      </c>
      <c r="L3" t="str">
        <f>K2</f>
        <v>Home</v>
      </c>
      <c r="N3" t="s">
        <v>171</v>
      </c>
      <c r="O3" s="2">
        <v>24</v>
      </c>
      <c r="P3" s="2">
        <v>-24</v>
      </c>
      <c r="Q3" s="2">
        <f>O3+O5</f>
        <v>26.375</v>
      </c>
      <c r="R3" s="2">
        <v>-24</v>
      </c>
      <c r="T3" t="s">
        <v>422</v>
      </c>
      <c r="U3" t="s">
        <v>207</v>
      </c>
      <c r="V3" t="s">
        <v>198</v>
      </c>
      <c r="W3" t="s">
        <v>199</v>
      </c>
      <c r="X3" t="s">
        <v>231</v>
      </c>
      <c r="Y3" t="s">
        <v>200</v>
      </c>
      <c r="Z3" t="s">
        <v>201</v>
      </c>
      <c r="AA3" t="s">
        <v>202</v>
      </c>
      <c r="AB3" t="s">
        <v>203</v>
      </c>
      <c r="AC3" t="s">
        <v>204</v>
      </c>
      <c r="AD3" t="s">
        <v>205</v>
      </c>
      <c r="AE3" t="s">
        <v>206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82</v>
      </c>
      <c r="AL3" t="s">
        <v>88</v>
      </c>
      <c r="AM3" t="s">
        <v>91</v>
      </c>
      <c r="AN3" t="s">
        <v>94</v>
      </c>
      <c r="AO3" t="s">
        <v>125</v>
      </c>
      <c r="AP3" t="s">
        <v>125</v>
      </c>
      <c r="AQ3" t="s">
        <v>125</v>
      </c>
      <c r="AR3" t="s">
        <v>109</v>
      </c>
      <c r="AS3" t="s">
        <v>106</v>
      </c>
      <c r="AT3" t="s">
        <v>116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97</v>
      </c>
      <c r="BB3" t="s">
        <v>97</v>
      </c>
      <c r="BC3" t="s">
        <v>54</v>
      </c>
      <c r="BD3" t="s">
        <v>54</v>
      </c>
      <c r="BE3" t="s">
        <v>54</v>
      </c>
      <c r="BF3" t="s">
        <v>54</v>
      </c>
      <c r="BG3" t="s">
        <v>53</v>
      </c>
      <c r="BH3" t="s">
        <v>53</v>
      </c>
      <c r="BI3" t="s">
        <v>53</v>
      </c>
      <c r="BJ3" t="s">
        <v>54</v>
      </c>
      <c r="BK3" t="s">
        <v>53</v>
      </c>
      <c r="BL3" t="s">
        <v>53</v>
      </c>
      <c r="BM3" t="s">
        <v>234</v>
      </c>
      <c r="BN3" t="s">
        <v>234</v>
      </c>
      <c r="BO3" t="s">
        <v>234</v>
      </c>
      <c r="BP3" t="s">
        <v>97</v>
      </c>
      <c r="BQ3" t="s">
        <v>252</v>
      </c>
      <c r="BR3" t="s">
        <v>454</v>
      </c>
      <c r="BS3" t="s">
        <v>468</v>
      </c>
      <c r="BT3" t="s">
        <v>697</v>
      </c>
      <c r="BU3" t="s">
        <v>8</v>
      </c>
      <c r="BV3" t="s">
        <v>258</v>
      </c>
      <c r="BW3" t="s">
        <v>54</v>
      </c>
      <c r="BX3" t="s">
        <v>272</v>
      </c>
      <c r="BY3" t="s">
        <v>401</v>
      </c>
      <c r="CA3" t="s">
        <v>319</v>
      </c>
      <c r="CC3" t="s">
        <v>324</v>
      </c>
      <c r="CE3" t="s">
        <v>485</v>
      </c>
      <c r="CG3" t="s">
        <v>571</v>
      </c>
      <c r="CJ3" t="s">
        <v>608</v>
      </c>
      <c r="CO3" t="str">
        <f t="shared" ref="CO3:CO39" si="0">CY3&amp;CZ3&amp;"-"&amp;DA3</f>
        <v>OffensivePlay_Possession-DriveWide</v>
      </c>
      <c r="CQ3" t="str">
        <f t="shared" ref="CQ3:CQ16" si="1">DD3&amp;DE3&amp;"-"&amp;DF3</f>
        <v>Defensive_PlayPossession-SeperateFromPuck</v>
      </c>
      <c r="CS3" t="s">
        <v>631</v>
      </c>
      <c r="CU3" t="s">
        <v>626</v>
      </c>
      <c r="CW3" t="s">
        <v>794</v>
      </c>
      <c r="CY3" t="s">
        <v>675</v>
      </c>
      <c r="CZ3" t="s">
        <v>15</v>
      </c>
      <c r="DA3" t="s">
        <v>146</v>
      </c>
      <c r="DD3" t="s">
        <v>676</v>
      </c>
      <c r="DE3" t="s">
        <v>15</v>
      </c>
      <c r="DF3" t="s">
        <v>160</v>
      </c>
      <c r="DG3" t="s">
        <v>88</v>
      </c>
      <c r="DH3" t="s">
        <v>91</v>
      </c>
      <c r="DI3" t="s">
        <v>94</v>
      </c>
    </row>
    <row r="4" spans="1:113" x14ac:dyDescent="0.2">
      <c r="A4" t="s">
        <v>7</v>
      </c>
      <c r="C4" t="s">
        <v>19</v>
      </c>
      <c r="E4" t="s">
        <v>54</v>
      </c>
      <c r="G4" t="s">
        <v>146</v>
      </c>
      <c r="I4" t="s">
        <v>159</v>
      </c>
      <c r="N4" t="s">
        <v>174</v>
      </c>
      <c r="O4" s="2">
        <v>2.375</v>
      </c>
      <c r="P4" s="2"/>
      <c r="Q4" s="2"/>
      <c r="R4" s="2"/>
      <c r="U4" t="s">
        <v>214</v>
      </c>
      <c r="V4" t="s">
        <v>208</v>
      </c>
      <c r="W4" t="s">
        <v>209</v>
      </c>
      <c r="X4" t="s">
        <v>232</v>
      </c>
      <c r="Z4" t="s">
        <v>210</v>
      </c>
      <c r="AA4" t="s">
        <v>211</v>
      </c>
      <c r="AB4" t="s">
        <v>212</v>
      </c>
      <c r="AC4" s="4" t="s">
        <v>213</v>
      </c>
      <c r="AE4" t="s">
        <v>417</v>
      </c>
      <c r="AF4" t="s">
        <v>69</v>
      </c>
      <c r="AG4" t="s">
        <v>69</v>
      </c>
      <c r="AH4" t="s">
        <v>69</v>
      </c>
      <c r="AI4" t="s">
        <v>69</v>
      </c>
      <c r="AJ4" t="s">
        <v>75</v>
      </c>
      <c r="AK4" t="s">
        <v>83</v>
      </c>
      <c r="AL4" t="s">
        <v>89</v>
      </c>
      <c r="AM4" t="s">
        <v>92</v>
      </c>
      <c r="AN4" t="s">
        <v>95</v>
      </c>
      <c r="AO4" t="s">
        <v>126</v>
      </c>
      <c r="AP4" t="s">
        <v>126</v>
      </c>
      <c r="AQ4" t="s">
        <v>126</v>
      </c>
      <c r="AR4" t="s">
        <v>111</v>
      </c>
      <c r="AS4" t="s">
        <v>41</v>
      </c>
      <c r="AT4" t="s">
        <v>117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98</v>
      </c>
      <c r="BB4" t="s">
        <v>98</v>
      </c>
      <c r="BC4" t="s">
        <v>55</v>
      </c>
      <c r="BD4" t="s">
        <v>55</v>
      </c>
      <c r="BE4" t="s">
        <v>55</v>
      </c>
      <c r="BF4" t="s">
        <v>55</v>
      </c>
      <c r="BG4" t="s">
        <v>54</v>
      </c>
      <c r="BH4" t="s">
        <v>54</v>
      </c>
      <c r="BI4" t="s">
        <v>54</v>
      </c>
      <c r="BJ4" t="s">
        <v>55</v>
      </c>
      <c r="BK4" t="s">
        <v>54</v>
      </c>
      <c r="BL4" t="s">
        <v>54</v>
      </c>
      <c r="BM4" t="s">
        <v>235</v>
      </c>
      <c r="BN4" t="s">
        <v>235</v>
      </c>
      <c r="BO4" t="s">
        <v>235</v>
      </c>
      <c r="BP4" t="s">
        <v>98</v>
      </c>
      <c r="BQ4" t="s">
        <v>253</v>
      </c>
      <c r="BR4" t="s">
        <v>455</v>
      </c>
      <c r="BS4" t="s">
        <v>469</v>
      </c>
      <c r="BT4" t="s">
        <v>698</v>
      </c>
      <c r="BU4" t="s">
        <v>9</v>
      </c>
      <c r="BV4" t="s">
        <v>248</v>
      </c>
      <c r="BW4" t="s">
        <v>55</v>
      </c>
      <c r="BX4" t="s">
        <v>274</v>
      </c>
      <c r="CA4" t="s">
        <v>320</v>
      </c>
      <c r="CC4" t="s">
        <v>325</v>
      </c>
      <c r="CE4" t="s">
        <v>487</v>
      </c>
      <c r="CG4" t="s">
        <v>572</v>
      </c>
      <c r="CO4" t="str">
        <f t="shared" si="0"/>
        <v>OffensivePlay_Possession-DriveCorner</v>
      </c>
      <c r="CQ4" t="str">
        <f t="shared" si="1"/>
        <v>Defensive_PlayPossession-Backcheck</v>
      </c>
      <c r="CS4" t="s">
        <v>632</v>
      </c>
      <c r="CU4" t="s">
        <v>156</v>
      </c>
      <c r="CW4" t="s">
        <v>795</v>
      </c>
      <c r="CY4" t="s">
        <v>675</v>
      </c>
      <c r="CZ4" t="s">
        <v>15</v>
      </c>
      <c r="DA4" t="s">
        <v>147</v>
      </c>
      <c r="DD4" t="s">
        <v>676</v>
      </c>
      <c r="DE4" t="s">
        <v>15</v>
      </c>
      <c r="DF4" t="s">
        <v>161</v>
      </c>
      <c r="DG4" t="s">
        <v>89</v>
      </c>
      <c r="DH4" t="s">
        <v>92</v>
      </c>
      <c r="DI4" t="s">
        <v>95</v>
      </c>
    </row>
    <row r="5" spans="1:113" x14ac:dyDescent="0.2">
      <c r="A5" t="s">
        <v>8</v>
      </c>
      <c r="C5" t="s">
        <v>20</v>
      </c>
      <c r="E5" t="s">
        <v>55</v>
      </c>
      <c r="G5" t="s">
        <v>147</v>
      </c>
      <c r="I5" t="s">
        <v>160</v>
      </c>
      <c r="N5" t="s">
        <v>175</v>
      </c>
      <c r="O5" s="2">
        <v>2.375</v>
      </c>
      <c r="P5" s="2"/>
      <c r="Q5" s="2"/>
      <c r="R5" s="2"/>
      <c r="U5" t="s">
        <v>255</v>
      </c>
      <c r="V5" t="s">
        <v>215</v>
      </c>
      <c r="W5" t="s">
        <v>216</v>
      </c>
      <c r="Z5" t="s">
        <v>818</v>
      </c>
      <c r="AB5" t="s">
        <v>217</v>
      </c>
      <c r="AC5" t="s">
        <v>435</v>
      </c>
      <c r="AF5" t="s">
        <v>70</v>
      </c>
      <c r="AG5" t="s">
        <v>70</v>
      </c>
      <c r="AH5" t="s">
        <v>70</v>
      </c>
      <c r="AI5" t="s">
        <v>70</v>
      </c>
      <c r="AJ5" t="s">
        <v>76</v>
      </c>
      <c r="AK5" t="s">
        <v>84</v>
      </c>
      <c r="AL5" t="s">
        <v>406</v>
      </c>
      <c r="AM5" t="s">
        <v>407</v>
      </c>
      <c r="AO5" t="s">
        <v>127</v>
      </c>
      <c r="AP5" t="s">
        <v>127</v>
      </c>
      <c r="AQ5" t="s">
        <v>127</v>
      </c>
      <c r="AR5" t="s">
        <v>112</v>
      </c>
      <c r="AT5" t="s">
        <v>120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99</v>
      </c>
      <c r="BB5" t="s">
        <v>99</v>
      </c>
      <c r="BC5" t="s">
        <v>57</v>
      </c>
      <c r="BD5" t="s">
        <v>57</v>
      </c>
      <c r="BE5" t="s">
        <v>57</v>
      </c>
      <c r="BF5" t="s">
        <v>57</v>
      </c>
      <c r="BG5" t="s">
        <v>55</v>
      </c>
      <c r="BH5" t="s">
        <v>55</v>
      </c>
      <c r="BI5" t="s">
        <v>55</v>
      </c>
      <c r="BJ5" t="s">
        <v>57</v>
      </c>
      <c r="BK5" t="s">
        <v>55</v>
      </c>
      <c r="BL5" t="s">
        <v>55</v>
      </c>
      <c r="BM5" t="s">
        <v>236</v>
      </c>
      <c r="BN5" t="s">
        <v>237</v>
      </c>
      <c r="BO5" t="s">
        <v>237</v>
      </c>
      <c r="BP5" t="s">
        <v>99</v>
      </c>
      <c r="BQ5" t="s">
        <v>254</v>
      </c>
      <c r="BR5" t="s">
        <v>456</v>
      </c>
      <c r="BS5" t="s">
        <v>470</v>
      </c>
      <c r="BT5" t="s">
        <v>684</v>
      </c>
      <c r="BU5" t="s">
        <v>10</v>
      </c>
      <c r="BV5" t="s">
        <v>258</v>
      </c>
      <c r="BW5" t="s">
        <v>57</v>
      </c>
      <c r="BX5" t="s">
        <v>275</v>
      </c>
      <c r="CA5" t="s">
        <v>321</v>
      </c>
      <c r="CC5" t="s">
        <v>326</v>
      </c>
      <c r="CE5" t="s">
        <v>559</v>
      </c>
      <c r="CG5" t="s">
        <v>573</v>
      </c>
      <c r="CO5" t="str">
        <f t="shared" si="0"/>
        <v>OffensivePlay_Possession-DriveNetMiddle</v>
      </c>
      <c r="CQ5" t="str">
        <f t="shared" si="1"/>
        <v>Defensive_PlayPossession-FroceWide</v>
      </c>
      <c r="CS5" t="s">
        <v>629</v>
      </c>
      <c r="CU5" t="s">
        <v>709</v>
      </c>
      <c r="CW5" t="s">
        <v>796</v>
      </c>
      <c r="CY5" t="s">
        <v>675</v>
      </c>
      <c r="CZ5" t="s">
        <v>15</v>
      </c>
      <c r="DA5" t="s">
        <v>148</v>
      </c>
      <c r="DD5" t="s">
        <v>676</v>
      </c>
      <c r="DE5" t="s">
        <v>15</v>
      </c>
      <c r="DF5" t="s">
        <v>162</v>
      </c>
      <c r="DG5" t="s">
        <v>406</v>
      </c>
      <c r="DH5" t="s">
        <v>407</v>
      </c>
    </row>
    <row r="6" spans="1:113" x14ac:dyDescent="0.2">
      <c r="A6" t="s">
        <v>9</v>
      </c>
      <c r="C6" t="s">
        <v>21</v>
      </c>
      <c r="E6" t="s">
        <v>56</v>
      </c>
      <c r="G6" t="s">
        <v>148</v>
      </c>
      <c r="I6" t="s">
        <v>161</v>
      </c>
      <c r="O6" s="2"/>
      <c r="P6" s="2"/>
      <c r="Q6" s="2"/>
      <c r="R6" s="2"/>
      <c r="U6" t="s">
        <v>434</v>
      </c>
      <c r="V6" t="s">
        <v>218</v>
      </c>
      <c r="Z6" t="s">
        <v>819</v>
      </c>
      <c r="AB6" t="s">
        <v>219</v>
      </c>
      <c r="AF6" t="s">
        <v>71</v>
      </c>
      <c r="AG6" t="s">
        <v>71</v>
      </c>
      <c r="AH6" t="s">
        <v>71</v>
      </c>
      <c r="AI6" t="s">
        <v>71</v>
      </c>
      <c r="AJ6" t="s">
        <v>77</v>
      </c>
      <c r="AK6" t="s">
        <v>85</v>
      </c>
      <c r="AL6" t="s">
        <v>408</v>
      </c>
      <c r="AM6" t="s">
        <v>409</v>
      </c>
      <c r="AO6" t="s">
        <v>128</v>
      </c>
      <c r="AP6" t="s">
        <v>128</v>
      </c>
      <c r="AQ6" t="s">
        <v>128</v>
      </c>
      <c r="AR6" t="s">
        <v>114</v>
      </c>
      <c r="AT6" t="s">
        <v>121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100</v>
      </c>
      <c r="BB6" t="s">
        <v>100</v>
      </c>
      <c r="BC6" t="s">
        <v>58</v>
      </c>
      <c r="BD6" t="s">
        <v>58</v>
      </c>
      <c r="BE6" t="s">
        <v>58</v>
      </c>
      <c r="BF6" t="s">
        <v>58</v>
      </c>
      <c r="BG6" t="s">
        <v>57</v>
      </c>
      <c r="BH6" t="s">
        <v>57</v>
      </c>
      <c r="BI6" t="s">
        <v>57</v>
      </c>
      <c r="BJ6" t="s">
        <v>58</v>
      </c>
      <c r="BK6" t="s">
        <v>57</v>
      </c>
      <c r="BL6" t="s">
        <v>57</v>
      </c>
      <c r="BM6" t="s">
        <v>237</v>
      </c>
      <c r="BN6" t="s">
        <v>238</v>
      </c>
      <c r="BO6" t="s">
        <v>238</v>
      </c>
      <c r="BP6" t="s">
        <v>100</v>
      </c>
      <c r="BR6" t="s">
        <v>457</v>
      </c>
      <c r="BS6" t="s">
        <v>471</v>
      </c>
      <c r="BU6" t="s">
        <v>257</v>
      </c>
      <c r="BV6" t="s">
        <v>258</v>
      </c>
      <c r="BW6" t="s">
        <v>58</v>
      </c>
      <c r="BX6" t="s">
        <v>276</v>
      </c>
      <c r="CA6" t="s">
        <v>322</v>
      </c>
      <c r="CC6" t="s">
        <v>327</v>
      </c>
      <c r="CG6" t="s">
        <v>574</v>
      </c>
      <c r="CO6" t="str">
        <f t="shared" si="0"/>
        <v>OffensivePlay_Possession-DriveNetWide</v>
      </c>
      <c r="CQ6" t="str">
        <f t="shared" si="1"/>
        <v>Defensive_PlayPossession-Contain</v>
      </c>
      <c r="CU6" t="s">
        <v>684</v>
      </c>
      <c r="CW6" t="s">
        <v>797</v>
      </c>
      <c r="CY6" t="s">
        <v>675</v>
      </c>
      <c r="CZ6" t="s">
        <v>15</v>
      </c>
      <c r="DA6" t="s">
        <v>149</v>
      </c>
      <c r="DD6" t="s">
        <v>676</v>
      </c>
      <c r="DE6" t="s">
        <v>15</v>
      </c>
      <c r="DF6" t="s">
        <v>163</v>
      </c>
      <c r="DG6" t="s">
        <v>408</v>
      </c>
      <c r="DH6" t="s">
        <v>409</v>
      </c>
    </row>
    <row r="7" spans="1:113" x14ac:dyDescent="0.2">
      <c r="A7" t="s">
        <v>10</v>
      </c>
      <c r="C7" t="s">
        <v>22</v>
      </c>
      <c r="E7" t="s">
        <v>57</v>
      </c>
      <c r="G7" t="s">
        <v>149</v>
      </c>
      <c r="I7" t="s">
        <v>162</v>
      </c>
      <c r="V7" t="s">
        <v>223</v>
      </c>
      <c r="Z7" t="s">
        <v>820</v>
      </c>
      <c r="AB7" t="s">
        <v>220</v>
      </c>
      <c r="AF7" t="s">
        <v>404</v>
      </c>
      <c r="AG7" t="s">
        <v>404</v>
      </c>
      <c r="AH7" t="s">
        <v>404</v>
      </c>
      <c r="AI7" t="s">
        <v>404</v>
      </c>
      <c r="AJ7" t="s">
        <v>481</v>
      </c>
      <c r="AK7" t="s">
        <v>388</v>
      </c>
      <c r="AL7" t="s">
        <v>423</v>
      </c>
      <c r="AM7" t="s">
        <v>411</v>
      </c>
      <c r="AO7" t="s">
        <v>129</v>
      </c>
      <c r="AP7" t="s">
        <v>129</v>
      </c>
      <c r="AQ7" t="s">
        <v>129</v>
      </c>
      <c r="AR7" t="s">
        <v>115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101</v>
      </c>
      <c r="BB7" t="s">
        <v>101</v>
      </c>
      <c r="BC7" t="s">
        <v>59</v>
      </c>
      <c r="BD7" t="s">
        <v>59</v>
      </c>
      <c r="BE7" t="s">
        <v>59</v>
      </c>
      <c r="BF7" t="s">
        <v>59</v>
      </c>
      <c r="BG7" t="s">
        <v>58</v>
      </c>
      <c r="BH7" t="s">
        <v>58</v>
      </c>
      <c r="BI7" t="s">
        <v>58</v>
      </c>
      <c r="BJ7" t="s">
        <v>59</v>
      </c>
      <c r="BK7" t="s">
        <v>58</v>
      </c>
      <c r="BL7" t="s">
        <v>58</v>
      </c>
      <c r="BM7" t="s">
        <v>238</v>
      </c>
      <c r="BN7" t="s">
        <v>239</v>
      </c>
      <c r="BO7" t="s">
        <v>239</v>
      </c>
      <c r="BP7" t="s">
        <v>101</v>
      </c>
      <c r="BR7" t="s">
        <v>458</v>
      </c>
      <c r="BS7" t="s">
        <v>472</v>
      </c>
      <c r="BU7" t="s">
        <v>12</v>
      </c>
      <c r="BV7" t="s">
        <v>258</v>
      </c>
      <c r="BW7" t="s">
        <v>59</v>
      </c>
      <c r="BX7" t="s">
        <v>277</v>
      </c>
      <c r="CA7" t="s">
        <v>323</v>
      </c>
      <c r="CC7" t="s">
        <v>328</v>
      </c>
      <c r="CG7" t="s">
        <v>575</v>
      </c>
      <c r="CO7" t="str">
        <f t="shared" si="0"/>
        <v>OffensivePlay_Possession-CrashNet</v>
      </c>
      <c r="CQ7" t="str">
        <f t="shared" si="1"/>
        <v>Defensive_PlayPossession-BeatMiddle</v>
      </c>
      <c r="CU7" t="s">
        <v>685</v>
      </c>
      <c r="CW7" t="s">
        <v>798</v>
      </c>
      <c r="CY7" t="s">
        <v>675</v>
      </c>
      <c r="CZ7" t="s">
        <v>15</v>
      </c>
      <c r="DA7" t="s">
        <v>150</v>
      </c>
      <c r="DD7" t="s">
        <v>676</v>
      </c>
      <c r="DE7" t="s">
        <v>15</v>
      </c>
      <c r="DF7" t="s">
        <v>164</v>
      </c>
      <c r="DG7" t="s">
        <v>423</v>
      </c>
      <c r="DH7" t="s">
        <v>411</v>
      </c>
    </row>
    <row r="8" spans="1:113" x14ac:dyDescent="0.2">
      <c r="A8" t="s">
        <v>257</v>
      </c>
      <c r="C8" t="s">
        <v>23</v>
      </c>
      <c r="E8" t="s">
        <v>58</v>
      </c>
      <c r="G8" t="s">
        <v>150</v>
      </c>
      <c r="I8" t="s">
        <v>163</v>
      </c>
      <c r="V8" t="s">
        <v>221</v>
      </c>
      <c r="AF8" t="s">
        <v>405</v>
      </c>
      <c r="AG8" t="s">
        <v>405</v>
      </c>
      <c r="AH8" t="s">
        <v>405</v>
      </c>
      <c r="AI8" t="s">
        <v>405</v>
      </c>
      <c r="AJ8" t="s">
        <v>78</v>
      </c>
      <c r="AK8" t="s">
        <v>399</v>
      </c>
      <c r="AL8" t="s">
        <v>410</v>
      </c>
      <c r="AM8" t="s">
        <v>413</v>
      </c>
      <c r="AO8" t="s">
        <v>130</v>
      </c>
      <c r="AP8" t="s">
        <v>130</v>
      </c>
      <c r="AQ8" t="s">
        <v>130</v>
      </c>
      <c r="AR8" t="s">
        <v>118</v>
      </c>
      <c r="AT8" t="s">
        <v>123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102</v>
      </c>
      <c r="BB8" t="s">
        <v>102</v>
      </c>
      <c r="BC8" t="s">
        <v>60</v>
      </c>
      <c r="BD8" t="s">
        <v>60</v>
      </c>
      <c r="BE8" t="s">
        <v>60</v>
      </c>
      <c r="BF8" t="s">
        <v>60</v>
      </c>
      <c r="BG8" t="s">
        <v>59</v>
      </c>
      <c r="BH8" t="s">
        <v>59</v>
      </c>
      <c r="BI8" t="s">
        <v>59</v>
      </c>
      <c r="BJ8" t="s">
        <v>60</v>
      </c>
      <c r="BK8" t="s">
        <v>59</v>
      </c>
      <c r="BL8" t="s">
        <v>59</v>
      </c>
      <c r="BM8" t="s">
        <v>239</v>
      </c>
      <c r="BN8" t="s">
        <v>240</v>
      </c>
      <c r="BO8" t="s">
        <v>240</v>
      </c>
      <c r="BP8" t="s">
        <v>102</v>
      </c>
      <c r="BR8" t="s">
        <v>459</v>
      </c>
      <c r="BS8" t="s">
        <v>473</v>
      </c>
      <c r="BU8" t="s">
        <v>256</v>
      </c>
      <c r="BV8" t="s">
        <v>258</v>
      </c>
      <c r="BW8" t="s">
        <v>60</v>
      </c>
      <c r="BX8" t="s">
        <v>278</v>
      </c>
      <c r="CA8" t="s">
        <v>426</v>
      </c>
      <c r="CC8" t="s">
        <v>329</v>
      </c>
      <c r="CG8" t="s">
        <v>576</v>
      </c>
      <c r="CO8" t="str">
        <f t="shared" si="0"/>
        <v>OffensivePlay_Possession-Delay</v>
      </c>
      <c r="CQ8" t="str">
        <f t="shared" si="1"/>
        <v>Defensive_PlayPossession-BeatWide</v>
      </c>
      <c r="CU8" t="s">
        <v>687</v>
      </c>
      <c r="CW8" t="s">
        <v>799</v>
      </c>
      <c r="CY8" t="s">
        <v>675</v>
      </c>
      <c r="CZ8" t="s">
        <v>15</v>
      </c>
      <c r="DA8" t="s">
        <v>151</v>
      </c>
      <c r="DD8" t="s">
        <v>676</v>
      </c>
      <c r="DE8" t="s">
        <v>15</v>
      </c>
      <c r="DF8" t="s">
        <v>165</v>
      </c>
      <c r="DG8" t="s">
        <v>410</v>
      </c>
      <c r="DH8" t="s">
        <v>413</v>
      </c>
    </row>
    <row r="9" spans="1:113" x14ac:dyDescent="0.2">
      <c r="A9" t="s">
        <v>12</v>
      </c>
      <c r="C9" t="s">
        <v>24</v>
      </c>
      <c r="E9" t="s">
        <v>59</v>
      </c>
      <c r="G9" t="s">
        <v>151</v>
      </c>
      <c r="I9" t="s">
        <v>164</v>
      </c>
      <c r="V9" t="s">
        <v>224</v>
      </c>
      <c r="AF9" t="s">
        <v>414</v>
      </c>
      <c r="AG9" t="s">
        <v>414</v>
      </c>
      <c r="AH9" t="s">
        <v>414</v>
      </c>
      <c r="AI9" t="s">
        <v>414</v>
      </c>
      <c r="AJ9" t="s">
        <v>79</v>
      </c>
      <c r="AK9" t="s">
        <v>86</v>
      </c>
      <c r="AL9" t="s">
        <v>412</v>
      </c>
      <c r="AM9" t="s">
        <v>450</v>
      </c>
      <c r="AO9" t="s">
        <v>131</v>
      </c>
      <c r="AP9" t="s">
        <v>131</v>
      </c>
      <c r="AQ9" t="s">
        <v>131</v>
      </c>
      <c r="AR9" t="s">
        <v>110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103</v>
      </c>
      <c r="BB9" t="s">
        <v>103</v>
      </c>
      <c r="BC9" t="s">
        <v>61</v>
      </c>
      <c r="BD9" t="s">
        <v>61</v>
      </c>
      <c r="BE9" t="s">
        <v>61</v>
      </c>
      <c r="BF9" t="s">
        <v>61</v>
      </c>
      <c r="BG9" t="s">
        <v>60</v>
      </c>
      <c r="BH9" t="s">
        <v>60</v>
      </c>
      <c r="BI9" t="s">
        <v>60</v>
      </c>
      <c r="BJ9" t="s">
        <v>61</v>
      </c>
      <c r="BK9" t="s">
        <v>60</v>
      </c>
      <c r="BL9" t="s">
        <v>60</v>
      </c>
      <c r="BM9" t="s">
        <v>240</v>
      </c>
      <c r="BN9" t="s">
        <v>241</v>
      </c>
      <c r="BO9" t="s">
        <v>241</v>
      </c>
      <c r="BP9" t="s">
        <v>103</v>
      </c>
      <c r="BR9" t="s">
        <v>460</v>
      </c>
      <c r="BS9" t="s">
        <v>474</v>
      </c>
      <c r="BU9" t="s">
        <v>13</v>
      </c>
      <c r="BV9" t="s">
        <v>249</v>
      </c>
      <c r="BW9" t="s">
        <v>61</v>
      </c>
      <c r="BX9" t="s">
        <v>279</v>
      </c>
      <c r="CA9" t="s">
        <v>611</v>
      </c>
      <c r="CC9" t="s">
        <v>318</v>
      </c>
      <c r="CG9" t="s">
        <v>577</v>
      </c>
      <c r="CO9" t="str">
        <f t="shared" si="0"/>
        <v>OffensivePlay_Possession-Deke</v>
      </c>
      <c r="CQ9" t="str">
        <f t="shared" si="1"/>
        <v>Defensive_PlayPossession-BeatDeke</v>
      </c>
      <c r="CU9" t="s">
        <v>688</v>
      </c>
      <c r="CW9" t="s">
        <v>800</v>
      </c>
      <c r="CY9" t="s">
        <v>675</v>
      </c>
      <c r="CZ9" t="s">
        <v>15</v>
      </c>
      <c r="DA9" t="s">
        <v>152</v>
      </c>
      <c r="DD9" t="s">
        <v>676</v>
      </c>
      <c r="DE9" t="s">
        <v>15</v>
      </c>
      <c r="DF9" t="s">
        <v>166</v>
      </c>
      <c r="DG9" t="s">
        <v>412</v>
      </c>
      <c r="DH9" t="s">
        <v>450</v>
      </c>
    </row>
    <row r="10" spans="1:113" x14ac:dyDescent="0.2">
      <c r="A10" t="s">
        <v>256</v>
      </c>
      <c r="C10" t="s">
        <v>25</v>
      </c>
      <c r="E10" t="s">
        <v>60</v>
      </c>
      <c r="G10" t="s">
        <v>152</v>
      </c>
      <c r="I10" t="s">
        <v>165</v>
      </c>
      <c r="V10" t="s">
        <v>225</v>
      </c>
      <c r="AF10" t="s">
        <v>418</v>
      </c>
      <c r="AG10" t="s">
        <v>418</v>
      </c>
      <c r="AH10" t="s">
        <v>418</v>
      </c>
      <c r="AI10" t="s">
        <v>418</v>
      </c>
      <c r="AJ10" t="s">
        <v>387</v>
      </c>
      <c r="AL10" t="s">
        <v>415</v>
      </c>
      <c r="AM10" t="s">
        <v>618</v>
      </c>
      <c r="AO10" t="s">
        <v>132</v>
      </c>
      <c r="AP10" t="s">
        <v>132</v>
      </c>
      <c r="AQ10" t="s">
        <v>132</v>
      </c>
      <c r="AR10" t="s">
        <v>107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451</v>
      </c>
      <c r="BB10" t="s">
        <v>451</v>
      </c>
      <c r="BC10" t="s">
        <v>62</v>
      </c>
      <c r="BD10" t="s">
        <v>62</v>
      </c>
      <c r="BE10" t="s">
        <v>62</v>
      </c>
      <c r="BF10" t="s">
        <v>62</v>
      </c>
      <c r="BG10" t="s">
        <v>61</v>
      </c>
      <c r="BH10" t="s">
        <v>61</v>
      </c>
      <c r="BI10" t="s">
        <v>61</v>
      </c>
      <c r="BJ10" t="s">
        <v>62</v>
      </c>
      <c r="BK10" t="s">
        <v>61</v>
      </c>
      <c r="BL10" t="s">
        <v>61</v>
      </c>
      <c r="BM10" t="s">
        <v>241</v>
      </c>
      <c r="BN10" t="s">
        <v>242</v>
      </c>
      <c r="BO10" t="s">
        <v>242</v>
      </c>
      <c r="BP10" t="s">
        <v>104</v>
      </c>
      <c r="BR10" t="s">
        <v>482</v>
      </c>
      <c r="BS10" t="s">
        <v>475</v>
      </c>
      <c r="BU10" t="s">
        <v>14</v>
      </c>
      <c r="BV10" t="s">
        <v>258</v>
      </c>
      <c r="BW10" t="s">
        <v>62</v>
      </c>
      <c r="BX10" t="s">
        <v>280</v>
      </c>
      <c r="CA10" t="s">
        <v>320</v>
      </c>
      <c r="CC10" t="s">
        <v>330</v>
      </c>
      <c r="CG10" t="s">
        <v>578</v>
      </c>
      <c r="CO10" t="str">
        <f t="shared" si="0"/>
        <v>OffensivePlay_Possession-Chip</v>
      </c>
      <c r="CQ10" t="str">
        <f t="shared" si="1"/>
        <v>Defensive_PlayPossession-BeatSpeed</v>
      </c>
      <c r="CU10" t="s">
        <v>710</v>
      </c>
      <c r="CY10" t="s">
        <v>675</v>
      </c>
      <c r="CZ10" t="s">
        <v>15</v>
      </c>
      <c r="DA10" t="s">
        <v>153</v>
      </c>
      <c r="DD10" t="s">
        <v>676</v>
      </c>
      <c r="DE10" t="s">
        <v>15</v>
      </c>
      <c r="DF10" t="s">
        <v>167</v>
      </c>
      <c r="DG10" t="s">
        <v>415</v>
      </c>
      <c r="DH10" t="s">
        <v>618</v>
      </c>
    </row>
    <row r="11" spans="1:113" x14ac:dyDescent="0.2">
      <c r="A11" t="s">
        <v>13</v>
      </c>
      <c r="C11" t="s">
        <v>26</v>
      </c>
      <c r="E11" t="s">
        <v>61</v>
      </c>
      <c r="G11" t="s">
        <v>153</v>
      </c>
      <c r="I11" t="s">
        <v>166</v>
      </c>
      <c r="V11" t="s">
        <v>228</v>
      </c>
      <c r="AF11" t="s">
        <v>479</v>
      </c>
      <c r="AG11" t="s">
        <v>479</v>
      </c>
      <c r="AH11" t="s">
        <v>479</v>
      </c>
      <c r="AI11" t="s">
        <v>479</v>
      </c>
      <c r="AJ11" t="s">
        <v>398</v>
      </c>
      <c r="AL11" t="s">
        <v>449</v>
      </c>
      <c r="AM11" t="s">
        <v>902</v>
      </c>
      <c r="AO11" t="s">
        <v>133</v>
      </c>
      <c r="AP11" t="s">
        <v>133</v>
      </c>
      <c r="AQ11" t="s">
        <v>133</v>
      </c>
      <c r="AR11" t="s">
        <v>43</v>
      </c>
      <c r="AU11" t="s">
        <v>56</v>
      </c>
      <c r="AV11" t="s">
        <v>56</v>
      </c>
      <c r="AW11" t="s">
        <v>66</v>
      </c>
      <c r="AX11" t="s">
        <v>66</v>
      </c>
      <c r="AY11" t="s">
        <v>66</v>
      </c>
      <c r="AZ11" t="s">
        <v>66</v>
      </c>
      <c r="BA11" t="s">
        <v>478</v>
      </c>
      <c r="BB11" t="s">
        <v>478</v>
      </c>
      <c r="BC11" t="s">
        <v>63</v>
      </c>
      <c r="BD11" t="s">
        <v>63</v>
      </c>
      <c r="BE11" t="s">
        <v>63</v>
      </c>
      <c r="BF11" t="s">
        <v>63</v>
      </c>
      <c r="BG11" t="s">
        <v>62</v>
      </c>
      <c r="BH11" t="s">
        <v>62</v>
      </c>
      <c r="BI11" t="s">
        <v>62</v>
      </c>
      <c r="BJ11" t="s">
        <v>63</v>
      </c>
      <c r="BK11" t="s">
        <v>62</v>
      </c>
      <c r="BL11" t="s">
        <v>62</v>
      </c>
      <c r="BM11" t="s">
        <v>242</v>
      </c>
      <c r="BN11" t="s">
        <v>246</v>
      </c>
      <c r="BO11" t="s">
        <v>246</v>
      </c>
      <c r="BR11" t="s">
        <v>461</v>
      </c>
      <c r="BS11" t="s">
        <v>476</v>
      </c>
      <c r="BU11" t="s">
        <v>15</v>
      </c>
      <c r="BV11" t="s">
        <v>258</v>
      </c>
      <c r="BW11" t="s">
        <v>63</v>
      </c>
      <c r="BX11" t="s">
        <v>281</v>
      </c>
      <c r="CC11" t="s">
        <v>331</v>
      </c>
      <c r="CG11" t="s">
        <v>579</v>
      </c>
      <c r="CO11" t="str">
        <f t="shared" si="0"/>
        <v>OffensivePlay_Possession-Other</v>
      </c>
      <c r="CQ11" t="str">
        <f t="shared" si="1"/>
        <v>Defensive_PlayPossession-Pressure</v>
      </c>
      <c r="CY11" t="s">
        <v>675</v>
      </c>
      <c r="CZ11" t="s">
        <v>15</v>
      </c>
      <c r="DA11" t="s">
        <v>154</v>
      </c>
      <c r="DD11" t="s">
        <v>676</v>
      </c>
      <c r="DE11" t="s">
        <v>15</v>
      </c>
      <c r="DF11" t="s">
        <v>664</v>
      </c>
      <c r="DG11" t="s">
        <v>449</v>
      </c>
      <c r="DH11" t="s">
        <v>183</v>
      </c>
    </row>
    <row r="12" spans="1:113" x14ac:dyDescent="0.2">
      <c r="A12" t="s">
        <v>14</v>
      </c>
      <c r="C12" t="s">
        <v>27</v>
      </c>
      <c r="E12" t="s">
        <v>62</v>
      </c>
      <c r="G12" t="s">
        <v>154</v>
      </c>
      <c r="I12" t="s">
        <v>167</v>
      </c>
      <c r="V12" t="s">
        <v>229</v>
      </c>
      <c r="AF12" t="s">
        <v>480</v>
      </c>
      <c r="AG12" t="s">
        <v>480</v>
      </c>
      <c r="AH12" t="s">
        <v>480</v>
      </c>
      <c r="AI12" t="s">
        <v>480</v>
      </c>
      <c r="AJ12" t="s">
        <v>416</v>
      </c>
      <c r="AL12" t="s">
        <v>617</v>
      </c>
      <c r="AM12" t="s">
        <v>183</v>
      </c>
      <c r="AO12" t="s">
        <v>134</v>
      </c>
      <c r="AP12" t="s">
        <v>134</v>
      </c>
      <c r="AQ12" t="s">
        <v>134</v>
      </c>
      <c r="AR12" t="s">
        <v>42</v>
      </c>
      <c r="AU12" t="s">
        <v>66</v>
      </c>
      <c r="AV12" t="s">
        <v>66</v>
      </c>
      <c r="BA12" t="s">
        <v>104</v>
      </c>
      <c r="BB12" t="s">
        <v>104</v>
      </c>
      <c r="BC12" t="s">
        <v>65</v>
      </c>
      <c r="BD12" t="s">
        <v>65</v>
      </c>
      <c r="BE12" t="s">
        <v>65</v>
      </c>
      <c r="BF12" t="s">
        <v>65</v>
      </c>
      <c r="BG12" t="s">
        <v>63</v>
      </c>
      <c r="BH12" t="s">
        <v>63</v>
      </c>
      <c r="BI12" t="s">
        <v>63</v>
      </c>
      <c r="BJ12" t="s">
        <v>65</v>
      </c>
      <c r="BK12" t="s">
        <v>63</v>
      </c>
      <c r="BL12" t="s">
        <v>63</v>
      </c>
      <c r="BM12" t="s">
        <v>243</v>
      </c>
      <c r="BR12" t="s">
        <v>462</v>
      </c>
      <c r="BS12" t="s">
        <v>477</v>
      </c>
      <c r="BU12" t="s">
        <v>16</v>
      </c>
      <c r="BV12" t="s">
        <v>249</v>
      </c>
      <c r="BW12" t="s">
        <v>65</v>
      </c>
      <c r="BX12" t="s">
        <v>282</v>
      </c>
      <c r="CC12" t="s">
        <v>332</v>
      </c>
      <c r="CG12" t="s">
        <v>580</v>
      </c>
      <c r="CO12" t="str">
        <f t="shared" si="0"/>
        <v>OffensivePlay_Possession-Speed</v>
      </c>
      <c r="CQ12" t="str">
        <f t="shared" si="1"/>
        <v>Defensive_PlayPossession-Zone</v>
      </c>
      <c r="CY12" t="s">
        <v>675</v>
      </c>
      <c r="CZ12" t="s">
        <v>15</v>
      </c>
      <c r="DA12" t="s">
        <v>157</v>
      </c>
      <c r="DD12" t="s">
        <v>676</v>
      </c>
      <c r="DE12" t="s">
        <v>15</v>
      </c>
      <c r="DF12" t="s">
        <v>659</v>
      </c>
      <c r="DG12" t="s">
        <v>617</v>
      </c>
    </row>
    <row r="13" spans="1:113" x14ac:dyDescent="0.2">
      <c r="A13" t="s">
        <v>15</v>
      </c>
      <c r="C13" t="s">
        <v>28</v>
      </c>
      <c r="E13" t="s">
        <v>63</v>
      </c>
      <c r="G13" t="s">
        <v>155</v>
      </c>
      <c r="I13" t="s">
        <v>168</v>
      </c>
      <c r="V13" t="s">
        <v>261</v>
      </c>
      <c r="AF13" t="s">
        <v>699</v>
      </c>
      <c r="AG13" t="s">
        <v>72</v>
      </c>
      <c r="AH13" t="s">
        <v>72</v>
      </c>
      <c r="AI13" t="s">
        <v>72</v>
      </c>
      <c r="AJ13" t="s">
        <v>424</v>
      </c>
      <c r="AL13" t="s">
        <v>901</v>
      </c>
      <c r="AO13" t="s">
        <v>136</v>
      </c>
      <c r="AP13" t="s">
        <v>135</v>
      </c>
      <c r="AQ13" t="s">
        <v>135</v>
      </c>
      <c r="BC13" t="s">
        <v>56</v>
      </c>
      <c r="BD13" t="s">
        <v>221</v>
      </c>
      <c r="BE13" t="s">
        <v>221</v>
      </c>
      <c r="BF13" t="s">
        <v>221</v>
      </c>
      <c r="BG13" t="s">
        <v>65</v>
      </c>
      <c r="BH13" t="s">
        <v>65</v>
      </c>
      <c r="BI13" t="s">
        <v>65</v>
      </c>
      <c r="BJ13" t="s">
        <v>66</v>
      </c>
      <c r="BK13" t="s">
        <v>65</v>
      </c>
      <c r="BL13" t="s">
        <v>65</v>
      </c>
      <c r="BM13" t="s">
        <v>244</v>
      </c>
      <c r="BR13" t="s">
        <v>463</v>
      </c>
      <c r="BS13" t="s">
        <v>483</v>
      </c>
      <c r="BU13" t="s">
        <v>17</v>
      </c>
      <c r="BV13" t="s">
        <v>258</v>
      </c>
      <c r="BW13" t="s">
        <v>221</v>
      </c>
      <c r="BX13" t="s">
        <v>283</v>
      </c>
      <c r="CC13" t="s">
        <v>333</v>
      </c>
      <c r="CG13" t="s">
        <v>581</v>
      </c>
      <c r="CO13" t="str">
        <f t="shared" si="0"/>
        <v>OffensivePlay_Possession-OpenIceDeke</v>
      </c>
      <c r="CQ13" t="str">
        <f t="shared" si="1"/>
        <v>Defensive_PlayPossession-ManOnMan</v>
      </c>
      <c r="CY13" t="s">
        <v>675</v>
      </c>
      <c r="CZ13" t="s">
        <v>15</v>
      </c>
      <c r="DA13" t="s">
        <v>644</v>
      </c>
      <c r="DD13" t="s">
        <v>676</v>
      </c>
      <c r="DE13" t="s">
        <v>15</v>
      </c>
      <c r="DF13" t="s">
        <v>668</v>
      </c>
      <c r="DG13" t="s">
        <v>182</v>
      </c>
    </row>
    <row r="14" spans="1:113" x14ac:dyDescent="0.2">
      <c r="A14" t="s">
        <v>16</v>
      </c>
      <c r="C14" t="s">
        <v>29</v>
      </c>
      <c r="E14" t="s">
        <v>64</v>
      </c>
      <c r="G14" t="s">
        <v>156</v>
      </c>
      <c r="I14" t="s">
        <v>154</v>
      </c>
      <c r="V14" t="s">
        <v>914</v>
      </c>
      <c r="AF14" t="s">
        <v>700</v>
      </c>
      <c r="AG14" t="s">
        <v>700</v>
      </c>
      <c r="AH14" t="s">
        <v>700</v>
      </c>
      <c r="AI14" t="s">
        <v>700</v>
      </c>
      <c r="AJ14" t="s">
        <v>80</v>
      </c>
      <c r="AL14" t="s">
        <v>182</v>
      </c>
      <c r="AO14" t="s">
        <v>137</v>
      </c>
      <c r="AP14" t="s">
        <v>136</v>
      </c>
      <c r="AQ14" t="s">
        <v>136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  <c r="BH14" t="s">
        <v>66</v>
      </c>
      <c r="BI14" t="s">
        <v>66</v>
      </c>
      <c r="BJ14" t="s">
        <v>64</v>
      </c>
      <c r="BK14" t="s">
        <v>66</v>
      </c>
      <c r="BL14" t="s">
        <v>66</v>
      </c>
      <c r="BM14" t="s">
        <v>245</v>
      </c>
      <c r="BR14" t="s">
        <v>464</v>
      </c>
      <c r="BS14" t="s">
        <v>462</v>
      </c>
      <c r="BU14" t="s">
        <v>18</v>
      </c>
      <c r="BV14" t="s">
        <v>249</v>
      </c>
      <c r="BW14" t="s">
        <v>66</v>
      </c>
      <c r="CC14" t="s">
        <v>334</v>
      </c>
      <c r="CG14" t="s">
        <v>582</v>
      </c>
      <c r="CO14" t="str">
        <f t="shared" si="0"/>
        <v>OffensivePlay_Possession-EndToEndRush</v>
      </c>
      <c r="CQ14" t="str">
        <f t="shared" si="1"/>
        <v>Defensive_PlayPossession-Tracker</v>
      </c>
      <c r="CY14" t="s">
        <v>675</v>
      </c>
      <c r="CZ14" t="s">
        <v>15</v>
      </c>
      <c r="DA14" t="s">
        <v>649</v>
      </c>
      <c r="DD14" t="s">
        <v>676</v>
      </c>
      <c r="DE14" t="s">
        <v>15</v>
      </c>
      <c r="DF14" t="s">
        <v>669</v>
      </c>
    </row>
    <row r="15" spans="1:113" x14ac:dyDescent="0.2">
      <c r="A15" t="s">
        <v>17</v>
      </c>
      <c r="C15" t="s">
        <v>30</v>
      </c>
      <c r="E15" t="s">
        <v>65</v>
      </c>
      <c r="G15" t="s">
        <v>157</v>
      </c>
      <c r="AF15" t="s">
        <v>701</v>
      </c>
      <c r="AG15" t="s">
        <v>701</v>
      </c>
      <c r="AH15" t="s">
        <v>701</v>
      </c>
      <c r="AI15" t="s">
        <v>701</v>
      </c>
      <c r="AO15" t="s">
        <v>138</v>
      </c>
      <c r="AP15" t="s">
        <v>137</v>
      </c>
      <c r="AQ15" t="s">
        <v>137</v>
      </c>
      <c r="BJ15" t="s">
        <v>56</v>
      </c>
      <c r="BM15" t="s">
        <v>246</v>
      </c>
      <c r="BR15" t="s">
        <v>465</v>
      </c>
      <c r="BU15" t="s">
        <v>250</v>
      </c>
      <c r="BV15" t="s">
        <v>259</v>
      </c>
      <c r="CC15" t="s">
        <v>335</v>
      </c>
      <c r="CG15" t="s">
        <v>583</v>
      </c>
      <c r="CO15" t="str">
        <f t="shared" si="0"/>
        <v>OffensivePlay_Possession-FrontofNet</v>
      </c>
      <c r="CQ15" t="str">
        <f t="shared" si="1"/>
        <v>Defensive_PlayPossession-Surf</v>
      </c>
      <c r="CY15" t="s">
        <v>675</v>
      </c>
      <c r="CZ15" t="s">
        <v>15</v>
      </c>
      <c r="DA15" t="s">
        <v>650</v>
      </c>
      <c r="DD15" t="s">
        <v>676</v>
      </c>
      <c r="DE15" t="s">
        <v>15</v>
      </c>
      <c r="DF15" t="s">
        <v>670</v>
      </c>
    </row>
    <row r="16" spans="1:113" x14ac:dyDescent="0.2">
      <c r="A16" t="s">
        <v>18</v>
      </c>
      <c r="C16" t="s">
        <v>31</v>
      </c>
      <c r="E16" t="s">
        <v>66</v>
      </c>
      <c r="AF16" t="s">
        <v>702</v>
      </c>
      <c r="AG16" t="s">
        <v>702</v>
      </c>
      <c r="AH16" t="s">
        <v>702</v>
      </c>
      <c r="AI16" t="s">
        <v>702</v>
      </c>
      <c r="AO16" t="s">
        <v>140</v>
      </c>
      <c r="AP16" t="s">
        <v>138</v>
      </c>
      <c r="AQ16" t="s">
        <v>138</v>
      </c>
      <c r="BR16" t="s">
        <v>466</v>
      </c>
      <c r="CC16" t="s">
        <v>336</v>
      </c>
      <c r="CG16" t="s">
        <v>584</v>
      </c>
      <c r="CO16" t="str">
        <f t="shared" si="0"/>
        <v>OffensivePlay_Possession-CutBack</v>
      </c>
      <c r="CQ16" t="str">
        <f t="shared" si="1"/>
        <v>Defensive_PlayPossession-StickCheck</v>
      </c>
      <c r="CY16" t="s">
        <v>675</v>
      </c>
      <c r="CZ16" t="s">
        <v>15</v>
      </c>
      <c r="DA16" t="s">
        <v>652</v>
      </c>
      <c r="DD16" t="s">
        <v>676</v>
      </c>
      <c r="DE16" t="s">
        <v>15</v>
      </c>
      <c r="DF16" t="s">
        <v>674</v>
      </c>
    </row>
    <row r="17" spans="1:110" x14ac:dyDescent="0.2">
      <c r="A17" t="s">
        <v>250</v>
      </c>
      <c r="C17" t="s">
        <v>32</v>
      </c>
      <c r="E17" t="s">
        <v>67</v>
      </c>
      <c r="AF17" t="s">
        <v>703</v>
      </c>
      <c r="AG17" t="s">
        <v>703</v>
      </c>
      <c r="AH17" t="s">
        <v>703</v>
      </c>
      <c r="AI17" t="s">
        <v>703</v>
      </c>
      <c r="AO17" t="s">
        <v>141</v>
      </c>
      <c r="AP17" t="s">
        <v>139</v>
      </c>
      <c r="AQ17" t="s">
        <v>139</v>
      </c>
      <c r="CC17" t="s">
        <v>337</v>
      </c>
      <c r="CG17" t="s">
        <v>585</v>
      </c>
      <c r="CO17" t="str">
        <f t="shared" si="0"/>
        <v>OffensivePlay_Possession-Wheel</v>
      </c>
      <c r="CQ17" t="str">
        <f t="shared" ref="CQ17:CQ34" si="2">DD18&amp;DE18&amp;"-"&amp;DF18</f>
        <v>Defensive_PlayPass-PassIntercepted</v>
      </c>
      <c r="CY17" t="s">
        <v>675</v>
      </c>
      <c r="CZ17" t="s">
        <v>15</v>
      </c>
      <c r="DA17" t="s">
        <v>654</v>
      </c>
      <c r="DD17" t="s">
        <v>676</v>
      </c>
      <c r="DE17" t="s">
        <v>8</v>
      </c>
      <c r="DF17" t="s">
        <v>661</v>
      </c>
    </row>
    <row r="18" spans="1:110" x14ac:dyDescent="0.2">
      <c r="A18" t="s">
        <v>262</v>
      </c>
      <c r="C18" t="s">
        <v>33</v>
      </c>
      <c r="E18" t="s">
        <v>68</v>
      </c>
      <c r="AF18" t="s">
        <v>72</v>
      </c>
      <c r="AG18" t="s">
        <v>72</v>
      </c>
      <c r="AH18" t="s">
        <v>72</v>
      </c>
      <c r="AI18" t="s">
        <v>72</v>
      </c>
      <c r="AO18" t="s">
        <v>143</v>
      </c>
      <c r="AP18" t="s">
        <v>140</v>
      </c>
      <c r="AQ18" t="s">
        <v>140</v>
      </c>
      <c r="CC18" t="s">
        <v>338</v>
      </c>
      <c r="CG18" t="s">
        <v>586</v>
      </c>
      <c r="CO18" t="str">
        <f t="shared" si="0"/>
        <v>OffensivePlay_Possession-ForecedOutside</v>
      </c>
      <c r="CQ18" t="str">
        <f t="shared" si="2"/>
        <v>Defensive_PlayPass-InShotPassLane</v>
      </c>
      <c r="CY18" t="s">
        <v>675</v>
      </c>
      <c r="CZ18" t="s">
        <v>15</v>
      </c>
      <c r="DA18" t="s">
        <v>658</v>
      </c>
      <c r="DD18" t="s">
        <v>676</v>
      </c>
      <c r="DE18" t="s">
        <v>8</v>
      </c>
      <c r="DF18" t="s">
        <v>662</v>
      </c>
    </row>
    <row r="19" spans="1:110" x14ac:dyDescent="0.2">
      <c r="A19" t="s">
        <v>247</v>
      </c>
      <c r="C19" t="s">
        <v>34</v>
      </c>
      <c r="E19" t="s">
        <v>69</v>
      </c>
      <c r="AP19" t="s">
        <v>141</v>
      </c>
      <c r="AQ19" t="s">
        <v>141</v>
      </c>
      <c r="CC19" t="s">
        <v>339</v>
      </c>
      <c r="CG19" t="s">
        <v>587</v>
      </c>
      <c r="CO19" t="str">
        <f t="shared" si="0"/>
        <v>OffensivePlay_Pass-AssistPrimary</v>
      </c>
      <c r="CQ19" t="str">
        <f t="shared" si="2"/>
        <v>Defensive_PlayShot-BoxOut</v>
      </c>
      <c r="CY19" t="s">
        <v>675</v>
      </c>
      <c r="CZ19" t="s">
        <v>8</v>
      </c>
      <c r="DA19" t="s">
        <v>642</v>
      </c>
      <c r="DD19" t="s">
        <v>676</v>
      </c>
      <c r="DE19" t="s">
        <v>8</v>
      </c>
      <c r="DF19" t="s">
        <v>671</v>
      </c>
    </row>
    <row r="20" spans="1:110" x14ac:dyDescent="0.2">
      <c r="A20" t="s">
        <v>425</v>
      </c>
      <c r="C20" t="s">
        <v>35</v>
      </c>
      <c r="E20" t="s">
        <v>70</v>
      </c>
      <c r="AP20" t="s">
        <v>142</v>
      </c>
      <c r="AQ20" t="s">
        <v>142</v>
      </c>
      <c r="CC20" t="s">
        <v>340</v>
      </c>
      <c r="CG20" t="s">
        <v>588</v>
      </c>
      <c r="CO20" t="str">
        <f t="shared" si="0"/>
        <v>OffensivePlay_Pass-AssistSecondary</v>
      </c>
      <c r="CQ20" t="str">
        <f t="shared" si="2"/>
        <v>Defensive_PlayShot-BlockedShot</v>
      </c>
      <c r="CY20" t="s">
        <v>675</v>
      </c>
      <c r="CZ20" t="s">
        <v>8</v>
      </c>
      <c r="DA20" t="s">
        <v>643</v>
      </c>
      <c r="DD20" t="s">
        <v>676</v>
      </c>
      <c r="DE20" t="s">
        <v>7</v>
      </c>
      <c r="DF20" t="s">
        <v>168</v>
      </c>
    </row>
    <row r="21" spans="1:110" x14ac:dyDescent="0.2">
      <c r="A21" t="s">
        <v>426</v>
      </c>
      <c r="C21" t="s">
        <v>36</v>
      </c>
      <c r="E21" t="s">
        <v>71</v>
      </c>
      <c r="AP21" t="s">
        <v>143</v>
      </c>
      <c r="AQ21" t="s">
        <v>143</v>
      </c>
      <c r="CC21" t="s">
        <v>341</v>
      </c>
      <c r="CG21" t="s">
        <v>589</v>
      </c>
      <c r="CO21" t="str">
        <f t="shared" si="0"/>
        <v>OffensivePlay_Pass-AssistTertiary</v>
      </c>
      <c r="CQ21" t="str">
        <f t="shared" si="2"/>
        <v>Defensive_PlayShot-FrontofNet</v>
      </c>
      <c r="CY21" t="s">
        <v>675</v>
      </c>
      <c r="CZ21" t="s">
        <v>8</v>
      </c>
      <c r="DA21" t="s">
        <v>707</v>
      </c>
      <c r="DD21" t="s">
        <v>676</v>
      </c>
      <c r="DE21" t="s">
        <v>7</v>
      </c>
      <c r="DF21" t="s">
        <v>660</v>
      </c>
    </row>
    <row r="22" spans="1:110" x14ac:dyDescent="0.2">
      <c r="A22" t="s">
        <v>431</v>
      </c>
      <c r="C22" t="s">
        <v>37</v>
      </c>
      <c r="E22" t="s">
        <v>72</v>
      </c>
      <c r="CC22" t="s">
        <v>342</v>
      </c>
      <c r="CG22" t="s">
        <v>590</v>
      </c>
      <c r="CO22" t="str">
        <f t="shared" si="0"/>
        <v>OffensivePlay_Pass-GiveAndGo</v>
      </c>
      <c r="CQ22" t="str">
        <f t="shared" si="2"/>
        <v>Defensive_PlayZone-ClearingAttempt</v>
      </c>
      <c r="CY22" t="s">
        <v>675</v>
      </c>
      <c r="CZ22" t="s">
        <v>8</v>
      </c>
      <c r="DA22" t="s">
        <v>653</v>
      </c>
      <c r="DD22" t="s">
        <v>676</v>
      </c>
      <c r="DE22" t="s">
        <v>7</v>
      </c>
      <c r="DF22" t="s">
        <v>650</v>
      </c>
    </row>
    <row r="23" spans="1:110" x14ac:dyDescent="0.2">
      <c r="A23" t="s">
        <v>320</v>
      </c>
      <c r="C23" t="s">
        <v>12</v>
      </c>
      <c r="E23" t="s">
        <v>73</v>
      </c>
      <c r="CC23" t="s">
        <v>343</v>
      </c>
      <c r="CG23" t="s">
        <v>591</v>
      </c>
      <c r="CO23" t="str">
        <f t="shared" si="0"/>
        <v>OffensivePlay_Pass-Reverse</v>
      </c>
      <c r="CQ23" t="str">
        <f t="shared" si="2"/>
        <v>Defensive_PlayZone-ZoneEntryDenial</v>
      </c>
      <c r="CY23" t="s">
        <v>675</v>
      </c>
      <c r="CZ23" t="s">
        <v>8</v>
      </c>
      <c r="DA23" t="s">
        <v>655</v>
      </c>
      <c r="DD23" t="s">
        <v>676</v>
      </c>
      <c r="DE23" t="s">
        <v>659</v>
      </c>
      <c r="DF23" t="s">
        <v>663</v>
      </c>
    </row>
    <row r="24" spans="1:110" x14ac:dyDescent="0.2">
      <c r="A24" t="s">
        <v>433</v>
      </c>
      <c r="C24" t="s">
        <v>38</v>
      </c>
      <c r="E24" t="s">
        <v>74</v>
      </c>
      <c r="CC24" t="s">
        <v>344</v>
      </c>
      <c r="CG24" t="s">
        <v>592</v>
      </c>
      <c r="CO24" t="str">
        <f t="shared" si="0"/>
        <v>OffensivePlay_Pass-QuickUp</v>
      </c>
      <c r="CQ24" t="str">
        <f t="shared" si="2"/>
        <v>Defensive_PlayZone-ZoneExitDenial</v>
      </c>
      <c r="CY24" t="s">
        <v>675</v>
      </c>
      <c r="CZ24" t="s">
        <v>8</v>
      </c>
      <c r="DA24" t="s">
        <v>656</v>
      </c>
      <c r="DD24" t="s">
        <v>676</v>
      </c>
      <c r="DE24" t="s">
        <v>659</v>
      </c>
      <c r="DF24" t="s">
        <v>665</v>
      </c>
    </row>
    <row r="25" spans="1:110" x14ac:dyDescent="0.2">
      <c r="A25" t="s">
        <v>452</v>
      </c>
      <c r="C25" t="s">
        <v>39</v>
      </c>
      <c r="E25" t="s">
        <v>75</v>
      </c>
      <c r="CC25" t="s">
        <v>345</v>
      </c>
      <c r="CG25" t="s">
        <v>593</v>
      </c>
      <c r="CO25" t="str">
        <f t="shared" si="0"/>
        <v>OffensivePlay_Pass-SecondTouch</v>
      </c>
      <c r="CQ25" t="str">
        <f t="shared" si="2"/>
        <v>Defensive_PlayZone-PenaltyKillClear</v>
      </c>
      <c r="CY25" t="s">
        <v>675</v>
      </c>
      <c r="CZ25" t="s">
        <v>8</v>
      </c>
      <c r="DA25" t="s">
        <v>686</v>
      </c>
      <c r="DD25" t="s">
        <v>676</v>
      </c>
      <c r="DE25" t="s">
        <v>659</v>
      </c>
      <c r="DF25" t="s">
        <v>666</v>
      </c>
    </row>
    <row r="26" spans="1:110" x14ac:dyDescent="0.2">
      <c r="A26" t="s">
        <v>628</v>
      </c>
      <c r="C26" t="s">
        <v>40</v>
      </c>
      <c r="E26" t="s">
        <v>76</v>
      </c>
      <c r="CC26" t="s">
        <v>346</v>
      </c>
      <c r="CG26" t="s">
        <v>594</v>
      </c>
      <c r="CO26" t="str">
        <f t="shared" si="0"/>
        <v>OffensivePlay_Pass-ReceiverMissed</v>
      </c>
      <c r="CQ26" t="str">
        <f t="shared" si="2"/>
        <v>Defensive_PlayZone-PuckRetrievalDumpIn</v>
      </c>
      <c r="CY26" t="s">
        <v>675</v>
      </c>
      <c r="CZ26" t="s">
        <v>8</v>
      </c>
      <c r="DA26" t="s">
        <v>704</v>
      </c>
      <c r="DD26" t="s">
        <v>676</v>
      </c>
      <c r="DE26" t="s">
        <v>659</v>
      </c>
      <c r="DF26" t="s">
        <v>667</v>
      </c>
    </row>
    <row r="27" spans="1:110" x14ac:dyDescent="0.2">
      <c r="C27" t="s">
        <v>41</v>
      </c>
      <c r="E27" t="s">
        <v>77</v>
      </c>
      <c r="CC27" t="s">
        <v>347</v>
      </c>
      <c r="CG27" t="s">
        <v>595</v>
      </c>
      <c r="CO27" t="str">
        <f t="shared" si="0"/>
        <v>OffensivePlay_Shot-Screen</v>
      </c>
      <c r="CQ27" t="str">
        <f t="shared" si="2"/>
        <v>Defensive_PlayZone-PuckRetrievalShot</v>
      </c>
      <c r="CY27" t="s">
        <v>675</v>
      </c>
      <c r="CZ27" t="s">
        <v>7</v>
      </c>
      <c r="DA27" t="s">
        <v>657</v>
      </c>
      <c r="DD27" t="s">
        <v>676</v>
      </c>
      <c r="DE27" t="s">
        <v>659</v>
      </c>
      <c r="DF27" t="s">
        <v>645</v>
      </c>
    </row>
    <row r="28" spans="1:110" x14ac:dyDescent="0.2">
      <c r="C28" t="s">
        <v>42</v>
      </c>
      <c r="E28" t="s">
        <v>78</v>
      </c>
      <c r="CC28" t="s">
        <v>348</v>
      </c>
      <c r="CG28" t="s">
        <v>596</v>
      </c>
      <c r="CO28" t="str">
        <f t="shared" si="0"/>
        <v>OffensivePlay_Zone-Breakout</v>
      </c>
      <c r="CQ28" t="str">
        <f t="shared" si="2"/>
        <v>Defensive_PlayZone-PuckRetreivalTurnover</v>
      </c>
      <c r="CY28" t="s">
        <v>675</v>
      </c>
      <c r="CZ28" t="s">
        <v>659</v>
      </c>
      <c r="DA28" t="s">
        <v>487</v>
      </c>
      <c r="DD28" t="s">
        <v>676</v>
      </c>
      <c r="DE28" t="s">
        <v>659</v>
      </c>
      <c r="DF28" t="s">
        <v>646</v>
      </c>
    </row>
    <row r="29" spans="1:110" x14ac:dyDescent="0.2">
      <c r="C29" t="s">
        <v>43</v>
      </c>
      <c r="E29" t="s">
        <v>79</v>
      </c>
      <c r="CC29" t="s">
        <v>349</v>
      </c>
      <c r="CG29" t="s">
        <v>492</v>
      </c>
      <c r="CO29" t="str">
        <f t="shared" si="0"/>
        <v>OffensivePlay_Zone-DumpChase</v>
      </c>
      <c r="CQ29" t="str">
        <f t="shared" si="2"/>
        <v>Defensive_PlayZone-PuckRetreivalPass</v>
      </c>
      <c r="CY29" t="s">
        <v>675</v>
      </c>
      <c r="CZ29" t="s">
        <v>659</v>
      </c>
      <c r="DA29" t="s">
        <v>155</v>
      </c>
      <c r="DD29" t="s">
        <v>676</v>
      </c>
      <c r="DE29" t="s">
        <v>659</v>
      </c>
      <c r="DF29" t="s">
        <v>647</v>
      </c>
    </row>
    <row r="30" spans="1:110" x14ac:dyDescent="0.2">
      <c r="C30" t="s">
        <v>44</v>
      </c>
      <c r="E30" t="s">
        <v>80</v>
      </c>
      <c r="CC30" t="s">
        <v>350</v>
      </c>
      <c r="CG30" t="s">
        <v>493</v>
      </c>
      <c r="CO30" t="str">
        <f t="shared" si="0"/>
        <v>OffensivePlay_Zone-Forecheck</v>
      </c>
      <c r="CQ30" t="str">
        <f t="shared" si="2"/>
        <v>Defensive_PlayZone-PuckRetrievalRebound</v>
      </c>
      <c r="CY30" t="s">
        <v>675</v>
      </c>
      <c r="CZ30" t="s">
        <v>659</v>
      </c>
      <c r="DA30" t="s">
        <v>156</v>
      </c>
      <c r="DD30" t="s">
        <v>676</v>
      </c>
      <c r="DE30" t="s">
        <v>659</v>
      </c>
      <c r="DF30" t="s">
        <v>648</v>
      </c>
    </row>
    <row r="31" spans="1:110" x14ac:dyDescent="0.2">
      <c r="C31" t="s">
        <v>45</v>
      </c>
      <c r="E31" t="s">
        <v>81</v>
      </c>
      <c r="CC31" t="s">
        <v>351</v>
      </c>
      <c r="CG31" t="s">
        <v>494</v>
      </c>
      <c r="CO31" t="str">
        <f t="shared" si="0"/>
        <v>OffensivePlay_Zone-Dump/RimInZone</v>
      </c>
      <c r="CQ31" t="str">
        <f t="shared" si="2"/>
        <v>Defensive_PlayZone-PuckRecoveryDumpIn</v>
      </c>
      <c r="CY31" t="s">
        <v>675</v>
      </c>
      <c r="CZ31" t="s">
        <v>659</v>
      </c>
      <c r="DA31" t="s">
        <v>641</v>
      </c>
      <c r="DD31" t="s">
        <v>676</v>
      </c>
      <c r="DE31" t="s">
        <v>659</v>
      </c>
      <c r="DF31" t="s">
        <v>694</v>
      </c>
    </row>
    <row r="32" spans="1:110" x14ac:dyDescent="0.2">
      <c r="C32" t="s">
        <v>46</v>
      </c>
      <c r="E32" t="s">
        <v>82</v>
      </c>
      <c r="CC32" t="s">
        <v>352</v>
      </c>
      <c r="CG32" t="s">
        <v>496</v>
      </c>
      <c r="CO32" t="str">
        <f t="shared" si="0"/>
        <v>OffensivePlay_Zone-DumpInAttempt</v>
      </c>
      <c r="CQ32" t="str">
        <f t="shared" si="2"/>
        <v>Defensive_PlayZone-PuckRecoveryShot</v>
      </c>
      <c r="CY32" t="s">
        <v>675</v>
      </c>
      <c r="CZ32" t="s">
        <v>659</v>
      </c>
      <c r="DA32" t="s">
        <v>651</v>
      </c>
      <c r="DD32" t="s">
        <v>676</v>
      </c>
      <c r="DE32" t="s">
        <v>659</v>
      </c>
      <c r="DF32" t="s">
        <v>689</v>
      </c>
    </row>
    <row r="33" spans="3:110" x14ac:dyDescent="0.2">
      <c r="C33" t="s">
        <v>47</v>
      </c>
      <c r="E33" t="s">
        <v>83</v>
      </c>
      <c r="CC33" t="s">
        <v>353</v>
      </c>
      <c r="CG33" t="s">
        <v>495</v>
      </c>
      <c r="CO33" t="str">
        <f t="shared" si="0"/>
        <v>OffensivePlay_Zone-Breakout</v>
      </c>
      <c r="CQ33" t="str">
        <f t="shared" si="2"/>
        <v>Defensive_PlayZone-PuckRecoveryTurnover</v>
      </c>
      <c r="CY33" t="s">
        <v>675</v>
      </c>
      <c r="CZ33" t="s">
        <v>659</v>
      </c>
      <c r="DA33" t="s">
        <v>487</v>
      </c>
      <c r="DD33" t="s">
        <v>676</v>
      </c>
      <c r="DE33" t="s">
        <v>659</v>
      </c>
      <c r="DF33" t="s">
        <v>690</v>
      </c>
    </row>
    <row r="34" spans="3:110" x14ac:dyDescent="0.2">
      <c r="C34" t="s">
        <v>48</v>
      </c>
      <c r="E34" t="s">
        <v>84</v>
      </c>
      <c r="CC34" t="s">
        <v>354</v>
      </c>
      <c r="CG34" t="s">
        <v>497</v>
      </c>
      <c r="CO34" t="str">
        <f t="shared" si="0"/>
        <v>OffensivePlay_Zone-Cycle</v>
      </c>
      <c r="CQ34" t="str">
        <f t="shared" si="2"/>
        <v>Defensive_PlayZone-PuckRecoveryPass</v>
      </c>
      <c r="CY34" t="s">
        <v>675</v>
      </c>
      <c r="CZ34" t="s">
        <v>659</v>
      </c>
      <c r="DA34" t="s">
        <v>626</v>
      </c>
      <c r="DD34" t="s">
        <v>676</v>
      </c>
      <c r="DE34" t="s">
        <v>659</v>
      </c>
      <c r="DF34" t="s">
        <v>691</v>
      </c>
    </row>
    <row r="35" spans="3:110" x14ac:dyDescent="0.2">
      <c r="C35" t="s">
        <v>49</v>
      </c>
      <c r="E35" t="s">
        <v>85</v>
      </c>
      <c r="CC35" t="s">
        <v>355</v>
      </c>
      <c r="CG35" t="s">
        <v>499</v>
      </c>
      <c r="CO35" t="str">
        <f t="shared" si="0"/>
        <v>OffensivePlay_Zone-PuckRetrievalDumpIn</v>
      </c>
      <c r="CQ35" t="str">
        <f>DD36&amp;DE36&amp;"-"&amp;DF36</f>
        <v>Defensive_PlayZone-PuckRecoveryRebound</v>
      </c>
      <c r="CY35" t="s">
        <v>675</v>
      </c>
      <c r="CZ35" t="s">
        <v>659</v>
      </c>
      <c r="DA35" t="s">
        <v>645</v>
      </c>
      <c r="DD35" t="s">
        <v>676</v>
      </c>
      <c r="DE35" t="s">
        <v>659</v>
      </c>
      <c r="DF35" t="s">
        <v>693</v>
      </c>
    </row>
    <row r="36" spans="3:110" x14ac:dyDescent="0.2">
      <c r="C36" t="s">
        <v>50</v>
      </c>
      <c r="E36" t="s">
        <v>86</v>
      </c>
      <c r="CC36" t="s">
        <v>356</v>
      </c>
      <c r="CG36" t="s">
        <v>498</v>
      </c>
      <c r="CO36" t="str">
        <f t="shared" si="0"/>
        <v>OffensivePlay_Zone-PuckRetrievalShot</v>
      </c>
      <c r="CQ36" t="str">
        <f>DD37&amp;DE37&amp;"-"&amp;DF37</f>
        <v>Defensive_PlayZone-ForcedDumpin/Clear</v>
      </c>
      <c r="CY36" t="s">
        <v>675</v>
      </c>
      <c r="CZ36" t="s">
        <v>659</v>
      </c>
      <c r="DA36" t="s">
        <v>646</v>
      </c>
      <c r="DD36" t="s">
        <v>676</v>
      </c>
      <c r="DE36" t="s">
        <v>659</v>
      </c>
      <c r="DF36" t="s">
        <v>696</v>
      </c>
    </row>
    <row r="37" spans="3:110" x14ac:dyDescent="0.2">
      <c r="C37" t="s">
        <v>51</v>
      </c>
      <c r="E37" t="s">
        <v>87</v>
      </c>
      <c r="CC37" t="s">
        <v>357</v>
      </c>
      <c r="CG37" t="s">
        <v>544</v>
      </c>
      <c r="CO37" t="str">
        <f t="shared" si="0"/>
        <v>OffensivePlay_Zone-PuckRetreivalTurnover</v>
      </c>
      <c r="CQ37" t="s">
        <v>737</v>
      </c>
      <c r="CY37" t="s">
        <v>675</v>
      </c>
      <c r="CZ37" t="s">
        <v>659</v>
      </c>
      <c r="DA37" t="s">
        <v>647</v>
      </c>
      <c r="DD37" t="s">
        <v>676</v>
      </c>
      <c r="DE37" t="s">
        <v>659</v>
      </c>
      <c r="DF37" t="s">
        <v>695</v>
      </c>
    </row>
    <row r="38" spans="3:110" x14ac:dyDescent="0.2">
      <c r="C38" t="s">
        <v>180</v>
      </c>
      <c r="E38" t="s">
        <v>88</v>
      </c>
      <c r="CC38" t="s">
        <v>358</v>
      </c>
      <c r="CG38" t="s">
        <v>545</v>
      </c>
      <c r="CO38" t="str">
        <f t="shared" si="0"/>
        <v>OffensivePlay_Zone-PuckRetreivalPass</v>
      </c>
      <c r="CQ38" t="s">
        <v>744</v>
      </c>
      <c r="CY38" t="s">
        <v>675</v>
      </c>
      <c r="CZ38" t="s">
        <v>659</v>
      </c>
      <c r="DA38" t="s">
        <v>648</v>
      </c>
    </row>
    <row r="39" spans="3:110" x14ac:dyDescent="0.2">
      <c r="C39" t="s">
        <v>181</v>
      </c>
      <c r="E39" t="s">
        <v>89</v>
      </c>
      <c r="CC39" t="s">
        <v>359</v>
      </c>
      <c r="CG39" t="s">
        <v>547</v>
      </c>
      <c r="CO39" t="str">
        <f t="shared" si="0"/>
        <v>OffensivePlay_Zone-PuckRetreivalRebound</v>
      </c>
      <c r="CQ39" t="s">
        <v>745</v>
      </c>
      <c r="CY39" t="s">
        <v>675</v>
      </c>
      <c r="CZ39" t="s">
        <v>659</v>
      </c>
      <c r="DA39" t="s">
        <v>692</v>
      </c>
    </row>
    <row r="40" spans="3:110" x14ac:dyDescent="0.2">
      <c r="C40" t="s">
        <v>17</v>
      </c>
      <c r="E40" t="s">
        <v>90</v>
      </c>
      <c r="CC40" t="s">
        <v>360</v>
      </c>
      <c r="CG40" t="s">
        <v>546</v>
      </c>
      <c r="CO40" t="str">
        <f t="shared" ref="CO40:CO45" si="3">CY40&amp;CZ40&amp;"-"&amp;DA40</f>
        <v>OffensivePlay_Zone-PuckRetreivalShot</v>
      </c>
      <c r="CQ40" t="s">
        <v>746</v>
      </c>
      <c r="CY40" t="s">
        <v>675</v>
      </c>
      <c r="CZ40" t="s">
        <v>659</v>
      </c>
      <c r="DA40" t="s">
        <v>807</v>
      </c>
    </row>
    <row r="41" spans="3:110" x14ac:dyDescent="0.2">
      <c r="C41" t="s">
        <v>262</v>
      </c>
      <c r="E41" t="s">
        <v>91</v>
      </c>
      <c r="CC41" t="s">
        <v>361</v>
      </c>
      <c r="CG41" t="s">
        <v>561</v>
      </c>
      <c r="CO41" t="str">
        <f t="shared" si="3"/>
        <v>OffensivePlay_Zone-PuckRecoveryDumpIn</v>
      </c>
      <c r="CQ41" t="s">
        <v>748</v>
      </c>
      <c r="CY41" t="s">
        <v>675</v>
      </c>
      <c r="CZ41" t="s">
        <v>659</v>
      </c>
      <c r="DA41" t="s">
        <v>689</v>
      </c>
    </row>
    <row r="42" spans="3:110" x14ac:dyDescent="0.2">
      <c r="C42" t="s">
        <v>247</v>
      </c>
      <c r="E42" t="s">
        <v>92</v>
      </c>
      <c r="CC42" t="s">
        <v>362</v>
      </c>
      <c r="CG42" t="s">
        <v>562</v>
      </c>
      <c r="CO42" t="str">
        <f t="shared" si="3"/>
        <v>OffensivePlay_Zone-PuckRecoveryShot</v>
      </c>
      <c r="CQ42" t="s">
        <v>747</v>
      </c>
      <c r="CY42" t="s">
        <v>675</v>
      </c>
      <c r="CZ42" t="s">
        <v>659</v>
      </c>
      <c r="DA42" t="s">
        <v>690</v>
      </c>
    </row>
    <row r="43" spans="3:110" x14ac:dyDescent="0.2">
      <c r="C43" t="s">
        <v>432</v>
      </c>
      <c r="E43" t="s">
        <v>93</v>
      </c>
      <c r="CC43" t="s">
        <v>363</v>
      </c>
      <c r="CG43" t="s">
        <v>563</v>
      </c>
      <c r="CO43" t="str">
        <f t="shared" si="3"/>
        <v>OffensivePlay_Zone-PuckRecoveryTurnover</v>
      </c>
      <c r="CQ43" t="s">
        <v>749</v>
      </c>
      <c r="CY43" t="s">
        <v>675</v>
      </c>
      <c r="CZ43" t="s">
        <v>659</v>
      </c>
      <c r="DA43" t="s">
        <v>691</v>
      </c>
    </row>
    <row r="44" spans="3:110" x14ac:dyDescent="0.2">
      <c r="E44" t="s">
        <v>94</v>
      </c>
      <c r="CC44" t="s">
        <v>364</v>
      </c>
      <c r="CG44" t="s">
        <v>564</v>
      </c>
      <c r="CO44" t="str">
        <f t="shared" si="3"/>
        <v>OffensivePlay_Zone-PuckRecoveryPass</v>
      </c>
      <c r="CQ44" t="s">
        <v>891</v>
      </c>
      <c r="CY44" t="s">
        <v>675</v>
      </c>
      <c r="CZ44" t="s">
        <v>659</v>
      </c>
      <c r="DA44" t="s">
        <v>693</v>
      </c>
    </row>
    <row r="45" spans="3:110" x14ac:dyDescent="0.2">
      <c r="E45" t="s">
        <v>95</v>
      </c>
      <c r="CC45" t="s">
        <v>365</v>
      </c>
      <c r="CG45" t="s">
        <v>565</v>
      </c>
      <c r="CO45" t="str">
        <f t="shared" si="3"/>
        <v>OffensivePlay_Zone-PuckRecoveryRebound</v>
      </c>
      <c r="CQ45" t="s">
        <v>893</v>
      </c>
      <c r="CY45" t="s">
        <v>675</v>
      </c>
      <c r="CZ45" t="s">
        <v>659</v>
      </c>
      <c r="DA45" t="s">
        <v>696</v>
      </c>
    </row>
    <row r="46" spans="3:110" x14ac:dyDescent="0.2">
      <c r="E46" t="s">
        <v>96</v>
      </c>
      <c r="CC46" t="s">
        <v>366</v>
      </c>
      <c r="CG46" t="s">
        <v>566</v>
      </c>
      <c r="CO46" t="s">
        <v>737</v>
      </c>
      <c r="CQ46" t="s">
        <v>894</v>
      </c>
    </row>
    <row r="47" spans="3:110" x14ac:dyDescent="0.2">
      <c r="E47" t="s">
        <v>97</v>
      </c>
      <c r="CC47" t="s">
        <v>367</v>
      </c>
      <c r="CG47" t="s">
        <v>567</v>
      </c>
      <c r="CO47" t="s">
        <v>744</v>
      </c>
      <c r="CQ47" t="s">
        <v>910</v>
      </c>
    </row>
    <row r="48" spans="3:110" x14ac:dyDescent="0.2">
      <c r="E48" t="s">
        <v>98</v>
      </c>
      <c r="CC48" t="s">
        <v>368</v>
      </c>
      <c r="CG48" t="s">
        <v>568</v>
      </c>
      <c r="CO48" t="s">
        <v>745</v>
      </c>
      <c r="CQ48" t="s">
        <v>911</v>
      </c>
    </row>
    <row r="49" spans="5:95" x14ac:dyDescent="0.2">
      <c r="E49" t="s">
        <v>99</v>
      </c>
      <c r="CC49" t="s">
        <v>369</v>
      </c>
      <c r="CG49" t="s">
        <v>569</v>
      </c>
      <c r="CO49" t="s">
        <v>746</v>
      </c>
      <c r="CQ49" t="s">
        <v>912</v>
      </c>
    </row>
    <row r="50" spans="5:95" x14ac:dyDescent="0.2">
      <c r="E50" t="s">
        <v>100</v>
      </c>
      <c r="CC50" t="s">
        <v>370</v>
      </c>
      <c r="CG50" t="s">
        <v>597</v>
      </c>
      <c r="CO50" t="s">
        <v>748</v>
      </c>
      <c r="CQ50" t="s">
        <v>913</v>
      </c>
    </row>
    <row r="51" spans="5:95" x14ac:dyDescent="0.2">
      <c r="E51" t="s">
        <v>101</v>
      </c>
      <c r="CC51" t="s">
        <v>371</v>
      </c>
      <c r="CG51" t="s">
        <v>598</v>
      </c>
      <c r="CO51" t="s">
        <v>747</v>
      </c>
      <c r="CQ51" t="s">
        <v>916</v>
      </c>
    </row>
    <row r="52" spans="5:95" x14ac:dyDescent="0.2">
      <c r="E52" t="s">
        <v>102</v>
      </c>
      <c r="CC52" t="s">
        <v>372</v>
      </c>
      <c r="CG52" t="s">
        <v>603</v>
      </c>
      <c r="CO52" t="s">
        <v>749</v>
      </c>
    </row>
    <row r="53" spans="5:95" x14ac:dyDescent="0.2">
      <c r="E53" t="s">
        <v>103</v>
      </c>
      <c r="CC53" t="s">
        <v>373</v>
      </c>
      <c r="CG53" t="s">
        <v>604</v>
      </c>
      <c r="CO53" t="s">
        <v>891</v>
      </c>
    </row>
    <row r="54" spans="5:95" x14ac:dyDescent="0.2">
      <c r="E54" t="s">
        <v>104</v>
      </c>
      <c r="CC54" t="s">
        <v>374</v>
      </c>
      <c r="CG54" t="s">
        <v>915</v>
      </c>
      <c r="CO54" t="s">
        <v>892</v>
      </c>
    </row>
    <row r="55" spans="5:95" x14ac:dyDescent="0.2">
      <c r="E55" t="s">
        <v>105</v>
      </c>
      <c r="CC55" t="s">
        <v>375</v>
      </c>
      <c r="CO55" t="s">
        <v>906</v>
      </c>
    </row>
    <row r="56" spans="5:95" x14ac:dyDescent="0.2">
      <c r="E56" t="s">
        <v>106</v>
      </c>
      <c r="CC56" t="s">
        <v>323</v>
      </c>
      <c r="CO56" t="s">
        <v>907</v>
      </c>
    </row>
    <row r="57" spans="5:95" x14ac:dyDescent="0.2">
      <c r="E57" t="s">
        <v>41</v>
      </c>
      <c r="CC57" t="s">
        <v>612</v>
      </c>
      <c r="CO57" t="s">
        <v>908</v>
      </c>
    </row>
    <row r="58" spans="5:95" x14ac:dyDescent="0.2">
      <c r="E58" t="s">
        <v>107</v>
      </c>
      <c r="CC58" t="s">
        <v>433</v>
      </c>
      <c r="CO58" t="s">
        <v>909</v>
      </c>
    </row>
    <row r="59" spans="5:95" x14ac:dyDescent="0.2">
      <c r="E59" t="s">
        <v>43</v>
      </c>
    </row>
    <row r="60" spans="5:95" x14ac:dyDescent="0.2">
      <c r="E60" t="s">
        <v>108</v>
      </c>
    </row>
    <row r="61" spans="5:95" x14ac:dyDescent="0.2">
      <c r="E61" t="s">
        <v>109</v>
      </c>
    </row>
    <row r="62" spans="5:95" x14ac:dyDescent="0.2">
      <c r="E62" t="s">
        <v>110</v>
      </c>
    </row>
    <row r="63" spans="5:95" x14ac:dyDescent="0.2">
      <c r="E63" t="s">
        <v>111</v>
      </c>
    </row>
    <row r="64" spans="5:95" x14ac:dyDescent="0.2">
      <c r="E64" t="s">
        <v>112</v>
      </c>
    </row>
    <row r="65" spans="5:5" x14ac:dyDescent="0.2">
      <c r="E65" t="s">
        <v>113</v>
      </c>
    </row>
    <row r="66" spans="5:5" x14ac:dyDescent="0.2">
      <c r="E66" t="s">
        <v>114</v>
      </c>
    </row>
    <row r="67" spans="5:5" x14ac:dyDescent="0.2">
      <c r="E67" t="s">
        <v>115</v>
      </c>
    </row>
    <row r="68" spans="5:5" x14ac:dyDescent="0.2">
      <c r="E68" t="s">
        <v>116</v>
      </c>
    </row>
    <row r="69" spans="5:5" x14ac:dyDescent="0.2">
      <c r="E69" t="s">
        <v>117</v>
      </c>
    </row>
    <row r="70" spans="5:5" x14ac:dyDescent="0.2">
      <c r="E70" t="s">
        <v>118</v>
      </c>
    </row>
    <row r="71" spans="5:5" x14ac:dyDescent="0.2">
      <c r="E71" t="s">
        <v>119</v>
      </c>
    </row>
    <row r="72" spans="5:5" x14ac:dyDescent="0.2">
      <c r="E72" t="s">
        <v>120</v>
      </c>
    </row>
    <row r="73" spans="5:5" x14ac:dyDescent="0.2">
      <c r="E73" t="s">
        <v>121</v>
      </c>
    </row>
    <row r="74" spans="5:5" x14ac:dyDescent="0.2">
      <c r="E74" t="s">
        <v>122</v>
      </c>
    </row>
    <row r="75" spans="5:5" x14ac:dyDescent="0.2">
      <c r="E75" t="s">
        <v>123</v>
      </c>
    </row>
    <row r="76" spans="5:5" x14ac:dyDescent="0.2">
      <c r="E76" t="s">
        <v>124</v>
      </c>
    </row>
    <row r="77" spans="5:5" x14ac:dyDescent="0.2">
      <c r="E77" t="s">
        <v>125</v>
      </c>
    </row>
    <row r="78" spans="5:5" x14ac:dyDescent="0.2">
      <c r="E78" t="s">
        <v>126</v>
      </c>
    </row>
    <row r="79" spans="5:5" x14ac:dyDescent="0.2">
      <c r="E79" t="s">
        <v>127</v>
      </c>
    </row>
    <row r="80" spans="5:5" x14ac:dyDescent="0.2">
      <c r="E80" t="s">
        <v>128</v>
      </c>
    </row>
    <row r="81" spans="5:5" x14ac:dyDescent="0.2">
      <c r="E81" t="s">
        <v>129</v>
      </c>
    </row>
    <row r="82" spans="5:5" x14ac:dyDescent="0.2">
      <c r="E82" t="s">
        <v>130</v>
      </c>
    </row>
    <row r="83" spans="5:5" x14ac:dyDescent="0.2">
      <c r="E83" t="s">
        <v>131</v>
      </c>
    </row>
    <row r="84" spans="5:5" x14ac:dyDescent="0.2">
      <c r="E84" t="s">
        <v>132</v>
      </c>
    </row>
    <row r="85" spans="5:5" x14ac:dyDescent="0.2">
      <c r="E85" t="s">
        <v>133</v>
      </c>
    </row>
    <row r="86" spans="5:5" x14ac:dyDescent="0.2">
      <c r="E86" t="s">
        <v>134</v>
      </c>
    </row>
    <row r="87" spans="5:5" x14ac:dyDescent="0.2">
      <c r="E87" t="s">
        <v>135</v>
      </c>
    </row>
    <row r="88" spans="5:5" x14ac:dyDescent="0.2">
      <c r="E88" t="s">
        <v>136</v>
      </c>
    </row>
    <row r="89" spans="5:5" x14ac:dyDescent="0.2">
      <c r="E89" t="s">
        <v>137</v>
      </c>
    </row>
    <row r="90" spans="5:5" x14ac:dyDescent="0.2">
      <c r="E90" t="s">
        <v>138</v>
      </c>
    </row>
    <row r="91" spans="5:5" x14ac:dyDescent="0.2">
      <c r="E91" t="s">
        <v>139</v>
      </c>
    </row>
    <row r="92" spans="5:5" x14ac:dyDescent="0.2">
      <c r="E92" t="s">
        <v>140</v>
      </c>
    </row>
    <row r="93" spans="5:5" x14ac:dyDescent="0.2">
      <c r="E93" t="s">
        <v>141</v>
      </c>
    </row>
    <row r="94" spans="5:5" x14ac:dyDescent="0.2">
      <c r="E94" t="s">
        <v>142</v>
      </c>
    </row>
    <row r="95" spans="5:5" x14ac:dyDescent="0.2">
      <c r="E95" t="s">
        <v>143</v>
      </c>
    </row>
    <row r="96" spans="5:5" x14ac:dyDescent="0.2">
      <c r="E96" t="s">
        <v>262</v>
      </c>
    </row>
    <row r="97" spans="5:5" x14ac:dyDescent="0.2">
      <c r="E97" t="s">
        <v>419</v>
      </c>
    </row>
    <row r="98" spans="5:5" x14ac:dyDescent="0.2">
      <c r="E98" t="s">
        <v>420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dimension ref="A1:DM4000"/>
  <sheetViews>
    <sheetView zoomScale="90" zoomScaleNormal="90" workbookViewId="0">
      <pane ySplit="1" topLeftCell="A2" activePane="bottomLeft" state="frozen"/>
      <selection pane="bottomLeft" activeCell="Q3" sqref="Q3"/>
    </sheetView>
  </sheetViews>
  <sheetFormatPr baseColWidth="10" defaultRowHeight="16" x14ac:dyDescent="0.2"/>
  <cols>
    <col min="1" max="2" width="6.5" customWidth="1"/>
    <col min="3" max="4" width="6.5" hidden="1" customWidth="1"/>
    <col min="5" max="5" width="9.33203125" hidden="1" customWidth="1"/>
    <col min="6" max="6" width="7" hidden="1" customWidth="1"/>
    <col min="7" max="7" width="7" style="6" hidden="1" customWidth="1"/>
    <col min="8" max="8" width="6.83203125" customWidth="1"/>
    <col min="9" max="10" width="10.83203125" style="5" customWidth="1"/>
    <col min="11" max="11" width="9.6640625" style="5" customWidth="1"/>
    <col min="12" max="12" width="10.83203125" style="7" customWidth="1"/>
    <col min="13" max="13" width="10.5" hidden="1" customWidth="1"/>
    <col min="14" max="14" width="10.33203125" hidden="1" customWidth="1"/>
    <col min="15" max="15" width="10.83203125" hidden="1" customWidth="1"/>
    <col min="16" max="16" width="10.83203125" style="6" hidden="1" customWidth="1"/>
    <col min="17" max="17" width="7.1640625" customWidth="1"/>
    <col min="18" max="19" width="7.5" customWidth="1"/>
    <col min="20" max="20" width="6.6640625" hidden="1" customWidth="1"/>
    <col min="21" max="21" width="17.6640625" customWidth="1"/>
    <col min="22" max="22" width="18.83203125" customWidth="1"/>
    <col min="23" max="23" width="14.33203125" customWidth="1"/>
    <col min="24" max="24" width="11.5" customWidth="1"/>
    <col min="25" max="25" width="15.6640625" customWidth="1"/>
    <col min="26" max="26" width="13.33203125" customWidth="1"/>
    <col min="27" max="27" width="10.5" customWidth="1"/>
    <col min="28" max="28" width="10.5" hidden="1" customWidth="1"/>
    <col min="29" max="30" width="7.83203125" hidden="1" customWidth="1"/>
    <col min="31" max="31" width="7" hidden="1" customWidth="1"/>
    <col min="32" max="32" width="10.33203125" customWidth="1"/>
    <col min="33" max="33" width="10.5" hidden="1" customWidth="1"/>
    <col min="34" max="34" width="10.33203125" hidden="1" customWidth="1"/>
    <col min="35" max="35" width="7.33203125" hidden="1" customWidth="1"/>
    <col min="36" max="36" width="10.33203125" customWidth="1"/>
    <col min="37" max="38" width="10.33203125" hidden="1" customWidth="1"/>
    <col min="39" max="39" width="7.83203125" hidden="1" customWidth="1"/>
    <col min="40" max="40" width="8.33203125" hidden="1" customWidth="1"/>
    <col min="41" max="41" width="5.1640625" hidden="1" customWidth="1"/>
    <col min="42" max="42" width="12" hidden="1" customWidth="1"/>
    <col min="43" max="43" width="7.6640625" hidden="1" customWidth="1"/>
    <col min="44" max="44" width="8.1640625" hidden="1" customWidth="1"/>
    <col min="45" max="45" width="10.1640625" hidden="1" customWidth="1"/>
    <col min="46" max="46" width="7.1640625" style="18" hidden="1" customWidth="1"/>
    <col min="47" max="49" width="10.83203125" hidden="1" customWidth="1"/>
    <col min="50" max="50" width="13.6640625" style="6" hidden="1" customWidth="1"/>
    <col min="51" max="51" width="12.5" hidden="1" customWidth="1"/>
    <col min="52" max="52" width="12.5" style="18" hidden="1" customWidth="1"/>
    <col min="53" max="54" width="12.83203125" hidden="1" customWidth="1"/>
    <col min="55" max="63" width="10.83203125" hidden="1" customWidth="1"/>
    <col min="64" max="64" width="12" hidden="1" customWidth="1"/>
    <col min="65" max="117" width="10.83203125" hidden="1" customWidth="1"/>
  </cols>
  <sheetData>
    <row r="1" spans="1:117" s="1" customFormat="1" ht="68" x14ac:dyDescent="0.2">
      <c r="A1" s="24" t="s">
        <v>263</v>
      </c>
      <c r="B1" s="24" t="s">
        <v>889</v>
      </c>
      <c r="C1" s="24" t="s">
        <v>610</v>
      </c>
      <c r="D1" s="24" t="s">
        <v>886</v>
      </c>
      <c r="E1" s="27" t="s">
        <v>264</v>
      </c>
      <c r="F1" s="27" t="s">
        <v>265</v>
      </c>
      <c r="G1" s="33" t="s">
        <v>757</v>
      </c>
      <c r="H1" s="1" t="s">
        <v>1</v>
      </c>
      <c r="I1" s="25" t="s">
        <v>442</v>
      </c>
      <c r="J1" s="25" t="s">
        <v>443</v>
      </c>
      <c r="K1" s="25" t="s">
        <v>444</v>
      </c>
      <c r="L1" s="26" t="s">
        <v>445</v>
      </c>
      <c r="M1" s="1" t="s">
        <v>285</v>
      </c>
      <c r="N1" s="1" t="s">
        <v>286</v>
      </c>
      <c r="O1" s="1" t="s">
        <v>287</v>
      </c>
      <c r="P1" s="9" t="s">
        <v>288</v>
      </c>
      <c r="Q1" s="24" t="s">
        <v>615</v>
      </c>
      <c r="R1" s="24" t="s">
        <v>5</v>
      </c>
      <c r="S1" s="24" t="s">
        <v>903</v>
      </c>
      <c r="T1" s="24" t="s">
        <v>402</v>
      </c>
      <c r="U1" s="24" t="s">
        <v>439</v>
      </c>
      <c r="V1" s="24" t="s">
        <v>440</v>
      </c>
      <c r="W1" s="24" t="s">
        <v>441</v>
      </c>
      <c r="X1" s="27" t="s">
        <v>484</v>
      </c>
      <c r="Y1" s="24" t="s">
        <v>489</v>
      </c>
      <c r="Z1" s="24" t="s">
        <v>490</v>
      </c>
      <c r="AA1" s="27" t="s">
        <v>491</v>
      </c>
      <c r="AB1" s="27" t="s">
        <v>792</v>
      </c>
      <c r="AC1" s="27" t="s">
        <v>624</v>
      </c>
      <c r="AD1" s="27" t="s">
        <v>625</v>
      </c>
      <c r="AE1" s="27" t="s">
        <v>636</v>
      </c>
      <c r="AF1" s="24" t="s">
        <v>500</v>
      </c>
      <c r="AG1" s="1" t="s">
        <v>501</v>
      </c>
      <c r="AH1" s="1" t="s">
        <v>502</v>
      </c>
      <c r="AI1" s="24" t="s">
        <v>633</v>
      </c>
      <c r="AJ1" s="24" t="s">
        <v>634</v>
      </c>
      <c r="AK1" s="1" t="s">
        <v>0</v>
      </c>
      <c r="AL1" s="1" t="s">
        <v>616</v>
      </c>
      <c r="AM1" s="1" t="s">
        <v>260</v>
      </c>
      <c r="AN1" s="1" t="s">
        <v>267</v>
      </c>
      <c r="AO1" s="1" t="s">
        <v>268</v>
      </c>
      <c r="AP1" s="1" t="s">
        <v>606</v>
      </c>
      <c r="AQ1" s="1" t="s">
        <v>269</v>
      </c>
      <c r="AR1" s="1" t="s">
        <v>270</v>
      </c>
      <c r="AS1" s="1" t="s">
        <v>271</v>
      </c>
      <c r="AT1" s="17" t="s">
        <v>389</v>
      </c>
      <c r="AU1" s="1" t="s">
        <v>390</v>
      </c>
      <c r="AV1" s="1" t="s">
        <v>391</v>
      </c>
      <c r="AW1" s="1" t="s">
        <v>289</v>
      </c>
      <c r="AX1" s="9" t="s">
        <v>266</v>
      </c>
      <c r="AY1" s="1" t="s">
        <v>403</v>
      </c>
      <c r="AZ1" s="17" t="s">
        <v>430</v>
      </c>
      <c r="BA1" s="1" t="s">
        <v>429</v>
      </c>
      <c r="BB1" s="1" t="s">
        <v>436</v>
      </c>
      <c r="BC1" s="1" t="s">
        <v>427</v>
      </c>
      <c r="BD1" s="1" t="s">
        <v>428</v>
      </c>
      <c r="BE1" s="1" t="s">
        <v>505</v>
      </c>
      <c r="BF1" s="1" t="s">
        <v>804</v>
      </c>
      <c r="BG1" s="1" t="s">
        <v>506</v>
      </c>
      <c r="BH1" s="1" t="s">
        <v>507</v>
      </c>
      <c r="BI1" s="1" t="s">
        <v>805</v>
      </c>
      <c r="BJ1" s="1" t="s">
        <v>503</v>
      </c>
      <c r="BK1" s="1" t="s">
        <v>504</v>
      </c>
      <c r="BL1" s="1" t="s">
        <v>508</v>
      </c>
      <c r="BM1" s="1" t="s">
        <v>509</v>
      </c>
      <c r="BN1" s="1" t="s">
        <v>510</v>
      </c>
      <c r="BO1" s="1" t="s">
        <v>511</v>
      </c>
      <c r="BP1" s="1" t="s">
        <v>512</v>
      </c>
      <c r="BQ1" s="1" t="s">
        <v>512</v>
      </c>
      <c r="BR1" s="1" t="s">
        <v>513</v>
      </c>
      <c r="BS1" s="1" t="s">
        <v>514</v>
      </c>
      <c r="BT1" s="1" t="s">
        <v>515</v>
      </c>
      <c r="BU1" s="1" t="s">
        <v>516</v>
      </c>
      <c r="BV1" s="1" t="s">
        <v>517</v>
      </c>
      <c r="BW1" s="1" t="s">
        <v>519</v>
      </c>
      <c r="BX1" s="1" t="s">
        <v>518</v>
      </c>
      <c r="BY1" s="1" t="s">
        <v>520</v>
      </c>
      <c r="BZ1" s="1" t="s">
        <v>521</v>
      </c>
      <c r="CA1" s="1" t="s">
        <v>522</v>
      </c>
      <c r="CB1" s="1" t="s">
        <v>523</v>
      </c>
      <c r="CC1" s="1" t="s">
        <v>524</v>
      </c>
      <c r="CD1" s="1" t="s">
        <v>525</v>
      </c>
      <c r="CE1" s="1" t="s">
        <v>526</v>
      </c>
      <c r="CF1" s="1" t="s">
        <v>527</v>
      </c>
      <c r="CG1" s="1" t="s">
        <v>528</v>
      </c>
      <c r="CH1" s="1" t="s">
        <v>529</v>
      </c>
      <c r="CI1" s="1" t="s">
        <v>530</v>
      </c>
      <c r="CJ1" s="1" t="s">
        <v>531</v>
      </c>
      <c r="CK1" s="1" t="s">
        <v>532</v>
      </c>
      <c r="CL1" s="1" t="s">
        <v>533</v>
      </c>
      <c r="CM1" s="1" t="s">
        <v>534</v>
      </c>
      <c r="CN1" s="1" t="s">
        <v>535</v>
      </c>
      <c r="CO1" s="1" t="s">
        <v>536</v>
      </c>
      <c r="CP1" s="1" t="s">
        <v>537</v>
      </c>
      <c r="CQ1" s="1" t="s">
        <v>538</v>
      </c>
      <c r="CR1" s="1" t="s">
        <v>539</v>
      </c>
      <c r="CS1" s="1" t="s">
        <v>540</v>
      </c>
      <c r="CT1" s="1" t="s">
        <v>541</v>
      </c>
      <c r="CU1" s="1" t="s">
        <v>543</v>
      </c>
      <c r="CV1" s="1" t="s">
        <v>542</v>
      </c>
      <c r="CW1" s="1" t="s">
        <v>548</v>
      </c>
      <c r="CX1" s="1" t="s">
        <v>549</v>
      </c>
      <c r="CY1" s="1" t="s">
        <v>550</v>
      </c>
      <c r="CZ1" s="1" t="s">
        <v>551</v>
      </c>
      <c r="DA1" s="1" t="s">
        <v>552</v>
      </c>
      <c r="DB1" s="1" t="s">
        <v>553</v>
      </c>
      <c r="DC1" s="1" t="s">
        <v>554</v>
      </c>
      <c r="DD1" s="1" t="s">
        <v>555</v>
      </c>
      <c r="DE1" s="1" t="s">
        <v>556</v>
      </c>
      <c r="DF1" s="1" t="s">
        <v>557</v>
      </c>
      <c r="DG1" s="1" t="s">
        <v>558</v>
      </c>
      <c r="DH1" s="1" t="s">
        <v>560</v>
      </c>
      <c r="DI1" s="1" t="s">
        <v>599</v>
      </c>
      <c r="DJ1" s="1" t="s">
        <v>600</v>
      </c>
      <c r="DK1" s="1" t="s">
        <v>602</v>
      </c>
      <c r="DL1" s="1" t="s">
        <v>601</v>
      </c>
      <c r="DM1" s="1" t="s">
        <v>605</v>
      </c>
    </row>
    <row r="2" spans="1:117" ht="16" customHeight="1" x14ac:dyDescent="0.2">
      <c r="A2">
        <v>0</v>
      </c>
      <c r="C2" t="str">
        <f>IF(B2&lt;&gt;"",9000+B2,"")</f>
        <v/>
      </c>
      <c r="D2">
        <f t="shared" ref="D2:D7" si="0">IF(C2&lt;&gt;"",C2,B2)</f>
        <v>0</v>
      </c>
      <c r="H2">
        <v>1</v>
      </c>
      <c r="O2" t="str">
        <f t="shared" ref="O2:P5" si="1">IF(K2&lt;&gt;"",K2,IF($A2=$A1,O1,""))</f>
        <v/>
      </c>
      <c r="P2" s="6" t="str">
        <f t="shared" si="1"/>
        <v/>
      </c>
      <c r="S2" t="s">
        <v>904</v>
      </c>
      <c r="T2" t="str">
        <f>IF(S2="x","",IF(S2=1,"e","o"))</f>
        <v/>
      </c>
      <c r="U2" t="s">
        <v>320</v>
      </c>
      <c r="V2" t="s">
        <v>434</v>
      </c>
      <c r="AG2" t="str">
        <f>IF(Q2="","",IF(Q2="Home",AF2,""))</f>
        <v/>
      </c>
      <c r="AK2" t="str">
        <f>IF(Q2="H","Home",IF(Q2="A","Away",""))</f>
        <v/>
      </c>
      <c r="AM2" t="str">
        <f>IF(U2&lt;&gt;"",U2,IF(A2=A1,U2,""))</f>
        <v>GameStart</v>
      </c>
      <c r="AQ2">
        <v>18987</v>
      </c>
      <c r="AR2" t="s">
        <v>613</v>
      </c>
      <c r="AS2" t="s">
        <v>614</v>
      </c>
      <c r="BA2">
        <v>0</v>
      </c>
      <c r="BB2">
        <v>0</v>
      </c>
      <c r="BC2">
        <f>IF(BB2&lt;5,0,BB2-5)</f>
        <v>0</v>
      </c>
      <c r="BD2" s="21">
        <f>BC2+AT2+5</f>
        <v>5</v>
      </c>
      <c r="BE2" s="21" t="str">
        <f>"EVE"&amp;$AQ2&amp;(1000+$A2)</f>
        <v>EVE189871000</v>
      </c>
      <c r="BF2" s="21" t="str">
        <f>IF(C2&lt;&gt;"","LEVE"&amp;$AQ2&amp;(9000+$C2),"")</f>
        <v/>
      </c>
      <c r="BG2" s="21" t="str">
        <f>IF(F2&lt;&gt;"","PLAY"&amp;$AQ2&amp;(1000+$F2),"")</f>
        <v/>
      </c>
      <c r="BH2" s="21" t="str">
        <f>IF(E2&lt;&gt;"","SEQ"&amp;$AQ2&amp;(1000+$E2),"")</f>
        <v/>
      </c>
      <c r="BI2" s="21" t="str">
        <f>IF(G2&lt;&gt;"","ZCHG"&amp;$AQ2&amp;(1000+$G2),"")</f>
        <v/>
      </c>
      <c r="BJ2" s="21" t="str">
        <f>"EVE"&amp;$AQ2&amp;(1000+$A2+1)</f>
        <v>EVE189871001</v>
      </c>
      <c r="BK2" s="21" t="str">
        <f>IF(A2&gt;0,"EVE"&amp;$AQ2&amp;(1000+$A2-1),"")</f>
        <v/>
      </c>
      <c r="CW2" t="str">
        <f>IF(U2="Faceoff","FACE"&amp;AQ2&amp;(1000+A2),"")</f>
        <v/>
      </c>
    </row>
    <row r="3" spans="1:117" ht="16" customHeight="1" x14ac:dyDescent="0.2">
      <c r="A3">
        <v>1</v>
      </c>
      <c r="C3" t="str">
        <f t="shared" ref="C3:C66" si="2">IF(B3&lt;&gt;"",9000+B3,"")</f>
        <v/>
      </c>
      <c r="D3">
        <f t="shared" si="0"/>
        <v>0</v>
      </c>
      <c r="E3">
        <v>1</v>
      </c>
      <c r="G3" s="6">
        <v>1</v>
      </c>
      <c r="H3">
        <f>IF(U3="Intermission",H2+1,H2)</f>
        <v>1</v>
      </c>
      <c r="I3" s="5">
        <v>18</v>
      </c>
      <c r="J3" s="5" t="s">
        <v>446</v>
      </c>
      <c r="M3">
        <f>IF(I3&lt;&gt;"",I3,IF($A3=$A2,M2,M3))</f>
        <v>18</v>
      </c>
      <c r="N3" t="str">
        <f>IF($A3=$A2,N2,J3)</f>
        <v>00</v>
      </c>
      <c r="O3" t="str">
        <f t="shared" si="1"/>
        <v/>
      </c>
      <c r="P3" s="6" t="str">
        <f t="shared" si="1"/>
        <v/>
      </c>
      <c r="Q3" t="s">
        <v>619</v>
      </c>
      <c r="R3">
        <v>77</v>
      </c>
      <c r="S3">
        <v>1</v>
      </c>
      <c r="T3" t="str">
        <f t="shared" ref="T3:T66" si="3">IF(S3="x","",IF(S3=1,"e","o"))</f>
        <v>e</v>
      </c>
      <c r="U3" t="s">
        <v>6</v>
      </c>
      <c r="V3" t="s">
        <v>214</v>
      </c>
      <c r="AF3" t="s">
        <v>635</v>
      </c>
      <c r="AG3" t="str">
        <f>IF($Q3="","",IF(AF3="","",IF($Q3="Home",$AF3,IF($AF3="n","n",IF($AF3="d","o",IF($AF3="o","d",""))))))</f>
        <v>n</v>
      </c>
      <c r="AH3" t="str">
        <f>IF($Q3="","",IF(AF3="","",IF($Q3="Away",$AF3,IF($AF3="n","n",IF($AF3="d","o",IF($AF3="o","d",""))))))</f>
        <v>n</v>
      </c>
      <c r="AK3" t="str">
        <f>IF(AL3="H","Home",IF(AL3="A","Away",""))</f>
        <v>Away</v>
      </c>
      <c r="AL3" t="str">
        <f>IF($Q3&lt;&gt;"",$Q3,IF($A3=$A2,AL2,""))</f>
        <v>a</v>
      </c>
      <c r="AM3" t="str">
        <f>IF($U3&lt;&gt;"",$U3,IF($A3=$A2,AM2,""))</f>
        <v>Faceoff</v>
      </c>
      <c r="AN3" t="str">
        <f t="shared" ref="AN3:AO5" si="4">IF(V3&lt;&gt;"",V3,IF($A3=$A2,AN2,""))</f>
        <v>Faceoff_PeriodStart</v>
      </c>
      <c r="AO3" t="str">
        <f t="shared" si="4"/>
        <v/>
      </c>
      <c r="AP3" t="str">
        <f t="shared" ref="AP3:AP34" si="5">IF(AND(T3="e",OR(AM3="Save",AN3="Turnover_Takeaway",AN3="Play_Defensive")),"Defensive",IF(AND(T3="o",OR(AM3="Save",AN3="Turnover_Takeaway",AN3="Play_Defensive")),"Offensive",IF(OR(AM3="Deadice",AM3="Stoppage",AM3="Intermission"),"",IF(T3="e","Offensive",IF(T3="o","Defensive","")))))</f>
        <v>Offensive</v>
      </c>
      <c r="AQ3">
        <v>18988</v>
      </c>
      <c r="AR3" t="s">
        <v>613</v>
      </c>
      <c r="AS3" t="s">
        <v>614</v>
      </c>
      <c r="AT3" s="18">
        <f>IF(AND(O3="",P3=""),0,((M3*60)+N3)-((O3*60)+P3))</f>
        <v>0</v>
      </c>
      <c r="AU3">
        <f>(M3*60)+N3</f>
        <v>1080</v>
      </c>
      <c r="AV3">
        <f>IF(AND(O3="",P3=""),AU3,((O3*60)+P3))</f>
        <v>1080</v>
      </c>
      <c r="AW3" cm="1">
        <f t="array" ref="AW3">_xlfn._xlws.FILTER(shifts!A:A,(shifts!B:B=events!H3)*(shifts!AG:AG&gt;=events!AU3)*(shifts!AH:AH&lt;=events!AV3))</f>
        <v>1</v>
      </c>
      <c r="AX3" s="6" t="str">
        <f>IF(T3="e","event_team_player_"&amp;AY3,IF(T3="o","opp_team_player_"&amp;AY3,""))</f>
        <v>event_team_player_1</v>
      </c>
      <c r="AY3">
        <f>COUNTIFS(A$3:A3,"="&amp;A3,T$3:T3,"="&amp;T3)</f>
        <v>1</v>
      </c>
      <c r="AZ3" s="18">
        <f>SUMIFS(AT3:AT3,U3:U3,"=Intermission")</f>
        <v>0</v>
      </c>
      <c r="BA3">
        <f>IF(H3=1,0,IF(H3=2,1080+AZ3,IF(H3=3,(1080*2)+AZ3,0)))</f>
        <v>0</v>
      </c>
      <c r="BB3" s="23">
        <f>IF(U3="Intermission",BB2,((1080)-((M3*60)+N3))+BA3)</f>
        <v>0</v>
      </c>
      <c r="BC3">
        <f>IF(BB3&lt;5,0,BB3-5)</f>
        <v>0</v>
      </c>
      <c r="BD3" s="21">
        <f>BC3+AT3+5</f>
        <v>5</v>
      </c>
      <c r="BE3" s="21" t="str">
        <f>"EVE"&amp;$AQ3&amp;(1000+$A3)</f>
        <v>EVE189881001</v>
      </c>
      <c r="BF3" s="21" t="str">
        <f>IF(C3&lt;&gt;"","LEVE"&amp;$AQ3&amp;(9000+$C3),"")</f>
        <v/>
      </c>
      <c r="BG3" s="21" t="str">
        <f>IF(F3&lt;&gt;"","PLAY"&amp;$AQ3&amp;(1000+$F3),"")</f>
        <v/>
      </c>
      <c r="BH3" s="21" t="str">
        <f>IF(E3&lt;&gt;"","SEQ"&amp;$AQ3&amp;(1000+$E3),"")</f>
        <v>SEQ189881001</v>
      </c>
      <c r="BI3" s="21" t="str">
        <f>IF(G3&lt;&gt;"","ZONE"&amp;$AQ3&amp;(1000+$G3),"")</f>
        <v>ZONE189881001</v>
      </c>
      <c r="BJ3" s="21" t="str">
        <f>"EVE"&amp;$AQ3&amp;(1000+$A3+1)</f>
        <v>EVE189881002</v>
      </c>
      <c r="BK3" s="21" t="str">
        <f>IF(A3&gt;0,"EVE"&amp;$AQ3&amp;(1000+$A3-1),"")</f>
        <v>EVE189881000</v>
      </c>
      <c r="CW3" t="str">
        <f>IF(U3="Faceoff","FACE"&amp;AQ3&amp;(1000+A3),"")</f>
        <v>FACE189881001</v>
      </c>
    </row>
    <row r="4" spans="1:117" x14ac:dyDescent="0.2">
      <c r="A4">
        <v>1</v>
      </c>
      <c r="C4" t="str">
        <f t="shared" si="2"/>
        <v/>
      </c>
      <c r="D4">
        <f t="shared" si="0"/>
        <v>0</v>
      </c>
      <c r="E4">
        <v>1</v>
      </c>
      <c r="G4" s="6">
        <v>1</v>
      </c>
      <c r="H4">
        <f t="shared" ref="H4:H67" si="6">IF(U4="Intermission",H3+1,H3)</f>
        <v>1</v>
      </c>
      <c r="M4">
        <f>IF(I4&lt;&gt;"",I4,IF($A4=$A3,M3,M4))</f>
        <v>18</v>
      </c>
      <c r="N4" t="str">
        <f>IF($A4=$A3,N3,J4)</f>
        <v>00</v>
      </c>
      <c r="O4" t="str">
        <f t="shared" si="1"/>
        <v/>
      </c>
      <c r="P4" s="6" t="str">
        <f t="shared" si="1"/>
        <v/>
      </c>
      <c r="R4">
        <v>4</v>
      </c>
      <c r="S4">
        <v>1</v>
      </c>
      <c r="T4" t="str">
        <f t="shared" si="3"/>
        <v>e</v>
      </c>
      <c r="AG4" t="str">
        <f>IF($Q4="","",IF(AF4="","",IF($Q4="Home",$AF4,IF($AF4="n","n",IF($AF4="d","o",IF($AF4="o","d",""))))))</f>
        <v/>
      </c>
      <c r="AH4" t="str">
        <f>IF($Q4="","",IF(AF4="","",IF($Q4="Away",$AF4,IF($AF4="n","n",IF($AF4="d","o",IF($AF4="o","d",""))))))</f>
        <v/>
      </c>
      <c r="AK4" t="str">
        <f>IF(AL4="H","Home",IF(AL4="A","Away",""))</f>
        <v>Away</v>
      </c>
      <c r="AL4" t="str">
        <f>IF($Q4&lt;&gt;"",$Q4,IF($A4=$A3,AL3,""))</f>
        <v>a</v>
      </c>
      <c r="AM4" t="str">
        <f>IF(U4&lt;&gt;"",U4,IF($A4=$A3,AM3,""))</f>
        <v>Faceoff</v>
      </c>
      <c r="AN4" t="str">
        <f t="shared" si="4"/>
        <v>Faceoff_PeriodStart</v>
      </c>
      <c r="AO4" t="str">
        <f t="shared" si="4"/>
        <v/>
      </c>
      <c r="AP4" t="str">
        <f t="shared" si="5"/>
        <v>Offensive</v>
      </c>
      <c r="AQ4">
        <v>18989</v>
      </c>
      <c r="AR4" t="s">
        <v>613</v>
      </c>
      <c r="AS4" t="s">
        <v>614</v>
      </c>
      <c r="AT4" s="18">
        <f>IF(AND(O4="",P4=""),0,((M4*60)+N4)-((O4*60)+P4))</f>
        <v>0</v>
      </c>
      <c r="AU4">
        <f>(M4*60)+N4</f>
        <v>1080</v>
      </c>
      <c r="AV4">
        <f>IF(AND(O4="",P4=""),AU4,((O4*60)+P4))</f>
        <v>1080</v>
      </c>
      <c r="AW4" cm="1">
        <f t="array" ref="AW4">_xlfn._xlws.FILTER(shifts!A:A,(shifts!B:B=events!H4)*(shifts!AG:AG&gt;=events!AU4)*(shifts!AH:AH&lt;=events!AV4))</f>
        <v>1</v>
      </c>
      <c r="AX4" s="6" t="str">
        <f>IF(T4="e","event_team_player_"&amp;AY4,IF(T4="o","opp_team_player_"&amp;AY4,""))</f>
        <v>event_team_player_2</v>
      </c>
      <c r="AY4">
        <f>COUNTIFS(A$3:A4,"="&amp;A4,T$3:T4,"="&amp;T4)</f>
        <v>2</v>
      </c>
      <c r="AZ4" s="18">
        <f>SUMIFS(AT4:AT4,U4:U4,"=Intermission")</f>
        <v>0</v>
      </c>
      <c r="BA4">
        <f>IF(H4=1,0,IF(H4=2,1080+AZ4,IF(H4=3,(1080*2)+AZ4,0)))</f>
        <v>0</v>
      </c>
      <c r="BB4" s="23">
        <f>IF(U4="Intermission",BB3,((1080)-((M4*60)+N4))+BA4)</f>
        <v>0</v>
      </c>
      <c r="BC4">
        <f>IF(BB4&lt;5,0,BB4-5)</f>
        <v>0</v>
      </c>
      <c r="BD4" s="21">
        <f>BC4+AT4+5</f>
        <v>5</v>
      </c>
      <c r="BE4" s="21" t="str">
        <f>"EVE"&amp;$AQ4&amp;(1000+$A4)</f>
        <v>EVE189891001</v>
      </c>
      <c r="BF4" s="21" t="str">
        <f>IF(C4&lt;&gt;"","LEVE"&amp;$AQ4&amp;(9000+$C4),"")</f>
        <v/>
      </c>
      <c r="BG4" s="21" t="str">
        <f>IF(F4&lt;&gt;"","PLAY"&amp;$AQ4&amp;(1000+$F4),"")</f>
        <v/>
      </c>
      <c r="BH4" s="21" t="str">
        <f>IF(E4&lt;&gt;"","SEQ"&amp;$AQ4&amp;(1000+$E4),"")</f>
        <v>SEQ189891001</v>
      </c>
      <c r="BI4" s="21" t="str">
        <f>IF(G4&lt;&gt;"","ZONE"&amp;$AQ4&amp;(1000+$G4),"")</f>
        <v>ZONE189891001</v>
      </c>
      <c r="CW4" t="str">
        <f>IF(U4="Faceoff","FACE"&amp;AQ4&amp;(1000+A4),"")</f>
        <v/>
      </c>
    </row>
    <row r="5" spans="1:117" x14ac:dyDescent="0.2">
      <c r="A5">
        <v>1</v>
      </c>
      <c r="C5" t="str">
        <f t="shared" si="2"/>
        <v/>
      </c>
      <c r="D5">
        <f t="shared" si="0"/>
        <v>0</v>
      </c>
      <c r="E5">
        <v>1</v>
      </c>
      <c r="G5" s="6">
        <v>1</v>
      </c>
      <c r="H5">
        <f t="shared" si="6"/>
        <v>1</v>
      </c>
      <c r="M5">
        <f>IF(I5&lt;&gt;"",I5,IF($A5=$A4,M4,M5))</f>
        <v>18</v>
      </c>
      <c r="N5" t="str">
        <f>IF($A5=$A4,N4,J5)</f>
        <v>00</v>
      </c>
      <c r="O5" t="str">
        <f t="shared" si="1"/>
        <v/>
      </c>
      <c r="P5" s="6" t="str">
        <f t="shared" si="1"/>
        <v/>
      </c>
      <c r="R5">
        <v>70</v>
      </c>
      <c r="T5" t="str">
        <f t="shared" si="3"/>
        <v>o</v>
      </c>
      <c r="AG5" t="str">
        <f>IF($Q5="","",IF(AF5="","",IF($Q5="Home",$AF5,IF($AF5="n","n",IF($AF5="d","o",IF($AF5="o","d",""))))))</f>
        <v/>
      </c>
      <c r="AH5" t="str">
        <f>IF($Q5="","",IF(AF5="","",IF($Q5="Away",$AF5,IF($AF5="n","n",IF($AF5="d","o",IF($AF5="o","d",""))))))</f>
        <v/>
      </c>
      <c r="AM5" t="str">
        <f>IF(U5&lt;&gt;"",U5,IF($A5=$A4,AM4,""))</f>
        <v>Faceoff</v>
      </c>
      <c r="AN5" t="str">
        <f t="shared" si="4"/>
        <v>Faceoff_PeriodStart</v>
      </c>
      <c r="AO5" t="str">
        <f t="shared" si="4"/>
        <v/>
      </c>
      <c r="AP5" t="str">
        <f t="shared" si="5"/>
        <v>Defensive</v>
      </c>
      <c r="AQ5">
        <v>18990</v>
      </c>
      <c r="AR5" t="s">
        <v>613</v>
      </c>
      <c r="AS5" t="s">
        <v>614</v>
      </c>
      <c r="AT5" s="18">
        <f>IF(AND(O5="",P5=""),0,((M5*60)+N5)-((O5*60)+P5))</f>
        <v>0</v>
      </c>
      <c r="AZ5" s="18">
        <f>SUMIFS(AT5:AT5,U5:U5,"=Intermission")</f>
        <v>0</v>
      </c>
      <c r="BA5">
        <f>IF(H5=1,0,IF(H5=2,1080+AZ5,IF(H5=3,(1080*2)+AZ5,0)))</f>
        <v>0</v>
      </c>
      <c r="BB5" s="23">
        <f>IF(U5="Intermission",BB4,((1080)-((M5*60)+N5))+BA5)</f>
        <v>0</v>
      </c>
      <c r="BC5">
        <f>IF(BB5&lt;5,0,BB5-5)</f>
        <v>0</v>
      </c>
      <c r="BD5" s="21">
        <f>BC5+AT5+5</f>
        <v>5</v>
      </c>
      <c r="BE5" s="21" t="str">
        <f>"EVE"&amp;$AQ5&amp;(1000+$A5)</f>
        <v>EVE189901001</v>
      </c>
      <c r="BF5" s="21" t="str">
        <f>IF(C5&lt;&gt;"","LEVE"&amp;$AQ5&amp;(9000+$C5),"")</f>
        <v/>
      </c>
      <c r="BG5" s="21" t="str">
        <f>IF(F5&lt;&gt;"","PLAY"&amp;$AQ5&amp;(1000+$F5),"")</f>
        <v/>
      </c>
      <c r="BH5" s="21" t="str">
        <f>IF(E5&lt;&gt;"","SEQ"&amp;$AQ5&amp;(1000+$E5),"")</f>
        <v>SEQ189901001</v>
      </c>
      <c r="BI5" s="21" t="str">
        <f>IF(G5&lt;&gt;"","ZONE"&amp;$AQ5&amp;(1000+$G5),"")</f>
        <v>ZONE189901001</v>
      </c>
    </row>
    <row r="6" spans="1:117" x14ac:dyDescent="0.2">
      <c r="A6">
        <v>2</v>
      </c>
      <c r="C6" t="str">
        <f t="shared" si="2"/>
        <v/>
      </c>
      <c r="D6">
        <f t="shared" si="0"/>
        <v>0</v>
      </c>
      <c r="E6">
        <v>1</v>
      </c>
      <c r="G6" s="6">
        <v>2</v>
      </c>
      <c r="H6">
        <f t="shared" si="6"/>
        <v>1</v>
      </c>
      <c r="Q6" t="s">
        <v>620</v>
      </c>
      <c r="S6">
        <v>1</v>
      </c>
      <c r="T6" t="str">
        <f t="shared" si="3"/>
        <v>e</v>
      </c>
      <c r="U6" t="s">
        <v>257</v>
      </c>
      <c r="V6" t="s">
        <v>191</v>
      </c>
      <c r="W6" t="s">
        <v>410</v>
      </c>
      <c r="AM6" t="str">
        <f t="shared" ref="AM6" si="7">IF(U6&lt;&gt;"",U6,IF($A6=$A5,AM5,""))</f>
        <v>Zone_Entry_Exit</v>
      </c>
      <c r="AN6" t="str">
        <f t="shared" ref="AN6" si="8">IF(V6&lt;&gt;"",V6,IF($A6=$A5,AN5,""))</f>
        <v>Zone_Entry</v>
      </c>
      <c r="AP6" t="str">
        <f t="shared" si="5"/>
        <v>Offensive</v>
      </c>
      <c r="BB6" s="23"/>
      <c r="BD6" s="21"/>
      <c r="BE6" s="21" t="str">
        <f>"EVE"&amp;$AQ6&amp;(1000+$A6)</f>
        <v>EVE1002</v>
      </c>
      <c r="BF6" s="21" t="str">
        <f>IF(C6&lt;&gt;"","LEVE"&amp;$AQ6&amp;(9000+$C6),"")</f>
        <v/>
      </c>
      <c r="BG6" s="21" t="str">
        <f>IF(F6&lt;&gt;"","PLAY"&amp;$AQ6&amp;(1000+$F6),"")</f>
        <v/>
      </c>
      <c r="BH6" s="21" t="str">
        <f>IF(E6&lt;&gt;"","SEQ"&amp;$AQ6&amp;(1000+$E6),"")</f>
        <v>SEQ1001</v>
      </c>
      <c r="BI6" s="21" t="str">
        <f>IF(G6&lt;&gt;"","ZONE"&amp;$AQ6&amp;(1000+$G6),"")</f>
        <v>ZONE1002</v>
      </c>
    </row>
    <row r="7" spans="1:117" x14ac:dyDescent="0.2">
      <c r="A7">
        <v>4</v>
      </c>
      <c r="B7">
        <v>1</v>
      </c>
      <c r="C7">
        <f t="shared" si="2"/>
        <v>9001</v>
      </c>
      <c r="D7">
        <f t="shared" si="0"/>
        <v>9001</v>
      </c>
      <c r="E7">
        <v>1</v>
      </c>
      <c r="G7" s="6">
        <v>2</v>
      </c>
      <c r="H7">
        <f>IF(U7="Intermission",H6+1,H6)</f>
        <v>1</v>
      </c>
      <c r="I7" s="5" t="s">
        <v>621</v>
      </c>
      <c r="J7" s="5" t="s">
        <v>622</v>
      </c>
      <c r="Q7" t="s">
        <v>619</v>
      </c>
      <c r="R7">
        <v>4</v>
      </c>
      <c r="S7">
        <v>1</v>
      </c>
      <c r="T7" t="str">
        <f t="shared" si="3"/>
        <v>e</v>
      </c>
      <c r="U7" t="s">
        <v>8</v>
      </c>
      <c r="V7" t="s">
        <v>199</v>
      </c>
      <c r="W7" t="s">
        <v>70</v>
      </c>
      <c r="X7" t="s">
        <v>705</v>
      </c>
      <c r="AF7" t="s">
        <v>623</v>
      </c>
      <c r="AI7">
        <v>1</v>
      </c>
      <c r="AJ7">
        <v>1</v>
      </c>
      <c r="AM7" t="str">
        <f t="shared" ref="AM7:AM70" si="9">IF(U7&lt;&gt;"",U7,IF($A7=$A6,AM6,""))</f>
        <v>Pass</v>
      </c>
      <c r="AN7" t="str">
        <f t="shared" ref="AN7:AN70" si="10">IF(V7&lt;&gt;"",V7,IF($A7=$A6,AN6,""))</f>
        <v>Pass_Missed</v>
      </c>
      <c r="AP7" t="str">
        <f t="shared" si="5"/>
        <v>Offensive</v>
      </c>
      <c r="BB7" s="23"/>
      <c r="BD7" s="21"/>
      <c r="BE7" s="21"/>
      <c r="BF7" s="21"/>
      <c r="BG7" s="21"/>
      <c r="BH7" s="21"/>
      <c r="BI7" s="21"/>
    </row>
    <row r="8" spans="1:117" x14ac:dyDescent="0.2">
      <c r="A8">
        <v>4</v>
      </c>
      <c r="B8">
        <v>1</v>
      </c>
      <c r="C8">
        <f t="shared" si="2"/>
        <v>9001</v>
      </c>
      <c r="D8">
        <f t="shared" ref="D8:D71" si="11">IF(C8&lt;&gt;"",C8,B8)</f>
        <v>9001</v>
      </c>
      <c r="E8">
        <v>1</v>
      </c>
      <c r="G8" s="6">
        <v>2</v>
      </c>
      <c r="H8">
        <f t="shared" si="6"/>
        <v>1</v>
      </c>
      <c r="R8">
        <v>25</v>
      </c>
      <c r="S8">
        <v>1</v>
      </c>
      <c r="T8" t="str">
        <f t="shared" si="3"/>
        <v>e</v>
      </c>
      <c r="X8" t="s">
        <v>705</v>
      </c>
      <c r="AM8" t="str">
        <f t="shared" si="9"/>
        <v>Pass</v>
      </c>
      <c r="AN8" t="str">
        <f t="shared" si="10"/>
        <v>Pass_Missed</v>
      </c>
      <c r="AP8" t="str">
        <f t="shared" si="5"/>
        <v>Offensive</v>
      </c>
      <c r="BB8" s="23"/>
      <c r="BD8" s="21"/>
      <c r="BE8" s="21"/>
      <c r="BF8" s="21"/>
      <c r="BG8" s="21"/>
      <c r="BH8" s="21"/>
      <c r="BI8" s="21"/>
    </row>
    <row r="9" spans="1:117" x14ac:dyDescent="0.2">
      <c r="A9">
        <v>4</v>
      </c>
      <c r="B9">
        <v>1</v>
      </c>
      <c r="C9">
        <f t="shared" si="2"/>
        <v>9001</v>
      </c>
      <c r="D9">
        <f t="shared" si="11"/>
        <v>9001</v>
      </c>
      <c r="E9">
        <v>1</v>
      </c>
      <c r="G9" s="6">
        <v>2</v>
      </c>
      <c r="H9">
        <f t="shared" si="6"/>
        <v>1</v>
      </c>
      <c r="R9">
        <v>70</v>
      </c>
      <c r="T9" t="str">
        <f t="shared" si="3"/>
        <v>o</v>
      </c>
      <c r="X9" t="s">
        <v>705</v>
      </c>
      <c r="AM9" t="str">
        <f t="shared" si="9"/>
        <v>Pass</v>
      </c>
      <c r="AN9" t="str">
        <f t="shared" si="10"/>
        <v>Pass_Missed</v>
      </c>
      <c r="AP9" t="str">
        <f t="shared" si="5"/>
        <v>Defensive</v>
      </c>
      <c r="BB9" s="23"/>
      <c r="BD9" s="21"/>
      <c r="BE9" s="21"/>
      <c r="BF9" s="21"/>
      <c r="BG9" s="21"/>
      <c r="BH9" s="21"/>
      <c r="BI9" s="21"/>
    </row>
    <row r="10" spans="1:117" x14ac:dyDescent="0.2">
      <c r="A10">
        <v>5</v>
      </c>
      <c r="B10">
        <v>1</v>
      </c>
      <c r="C10">
        <f t="shared" si="2"/>
        <v>9001</v>
      </c>
      <c r="D10">
        <f t="shared" si="11"/>
        <v>9001</v>
      </c>
      <c r="E10">
        <v>1</v>
      </c>
      <c r="G10" s="6">
        <v>2</v>
      </c>
      <c r="H10">
        <f t="shared" si="6"/>
        <v>1</v>
      </c>
      <c r="I10" s="5" t="s">
        <v>621</v>
      </c>
      <c r="J10" s="5" t="s">
        <v>622</v>
      </c>
      <c r="Q10" t="s">
        <v>620</v>
      </c>
      <c r="R10">
        <v>4</v>
      </c>
      <c r="S10">
        <v>1</v>
      </c>
      <c r="T10" t="str">
        <f t="shared" si="3"/>
        <v>e</v>
      </c>
      <c r="U10" t="s">
        <v>10</v>
      </c>
      <c r="V10" t="s">
        <v>190</v>
      </c>
      <c r="W10" t="s">
        <v>76</v>
      </c>
      <c r="AF10" t="s">
        <v>623</v>
      </c>
      <c r="AI10">
        <v>1</v>
      </c>
      <c r="AM10" t="str">
        <f t="shared" si="9"/>
        <v>Turnover</v>
      </c>
      <c r="AN10" t="str">
        <f t="shared" si="10"/>
        <v>Turnover_Giveaway</v>
      </c>
      <c r="AP10" t="str">
        <f t="shared" si="5"/>
        <v>Offensive</v>
      </c>
      <c r="BB10" s="23"/>
      <c r="BD10" s="21"/>
      <c r="BE10" s="21"/>
      <c r="BF10" s="21"/>
      <c r="BG10" s="21"/>
      <c r="BH10" s="21"/>
      <c r="BI10" s="21"/>
    </row>
    <row r="11" spans="1:117" x14ac:dyDescent="0.2">
      <c r="A11">
        <v>5</v>
      </c>
      <c r="B11">
        <v>1</v>
      </c>
      <c r="C11">
        <f t="shared" si="2"/>
        <v>9001</v>
      </c>
      <c r="D11">
        <f t="shared" si="11"/>
        <v>9001</v>
      </c>
      <c r="E11">
        <v>1</v>
      </c>
      <c r="G11" s="6">
        <v>2</v>
      </c>
      <c r="H11">
        <f t="shared" si="6"/>
        <v>1</v>
      </c>
      <c r="R11">
        <v>25</v>
      </c>
      <c r="S11">
        <v>1</v>
      </c>
      <c r="T11" t="str">
        <f t="shared" si="3"/>
        <v>e</v>
      </c>
      <c r="AM11" t="str">
        <f t="shared" si="9"/>
        <v>Turnover</v>
      </c>
      <c r="AN11" t="str">
        <f t="shared" si="10"/>
        <v>Turnover_Giveaway</v>
      </c>
      <c r="AP11" t="str">
        <f t="shared" si="5"/>
        <v>Offensive</v>
      </c>
      <c r="BB11" s="23"/>
      <c r="BD11" s="21"/>
      <c r="BE11" s="21"/>
      <c r="BF11" s="21"/>
      <c r="BG11" s="21"/>
      <c r="BH11" s="21"/>
      <c r="BI11" s="21"/>
    </row>
    <row r="12" spans="1:117" x14ac:dyDescent="0.2">
      <c r="A12">
        <v>6</v>
      </c>
      <c r="B12">
        <v>2</v>
      </c>
      <c r="C12">
        <f t="shared" si="2"/>
        <v>9002</v>
      </c>
      <c r="D12">
        <f t="shared" si="11"/>
        <v>9002</v>
      </c>
      <c r="E12">
        <v>2</v>
      </c>
      <c r="G12" s="6">
        <v>3</v>
      </c>
      <c r="H12">
        <f>IF(U12="Intermission",H11+1,H11)</f>
        <v>1</v>
      </c>
      <c r="I12" s="5" t="s">
        <v>621</v>
      </c>
      <c r="J12" s="5" t="s">
        <v>638</v>
      </c>
      <c r="Q12" t="s">
        <v>620</v>
      </c>
      <c r="R12">
        <v>14</v>
      </c>
      <c r="S12">
        <v>1</v>
      </c>
      <c r="T12" t="str">
        <f t="shared" si="3"/>
        <v>e</v>
      </c>
      <c r="U12" t="s">
        <v>257</v>
      </c>
      <c r="V12" t="s">
        <v>210</v>
      </c>
      <c r="W12" t="s">
        <v>93</v>
      </c>
      <c r="Y12" t="s">
        <v>680</v>
      </c>
      <c r="AA12" t="s">
        <v>705</v>
      </c>
      <c r="AF12" t="s">
        <v>401</v>
      </c>
      <c r="AJ12">
        <v>1</v>
      </c>
      <c r="AM12" t="str">
        <f t="shared" si="9"/>
        <v>Zone_Entry_Exit</v>
      </c>
      <c r="AN12" t="str">
        <f t="shared" si="10"/>
        <v>Zone_Keepin</v>
      </c>
      <c r="AP12" t="str">
        <f t="shared" si="5"/>
        <v>Offensive</v>
      </c>
      <c r="BB12" s="23"/>
      <c r="BD12" s="21"/>
      <c r="BE12" s="21"/>
      <c r="BF12" s="21"/>
      <c r="BG12" s="21"/>
      <c r="BH12" s="21"/>
      <c r="BI12" s="21"/>
    </row>
    <row r="13" spans="1:117" x14ac:dyDescent="0.2">
      <c r="A13">
        <v>6</v>
      </c>
      <c r="B13">
        <v>2</v>
      </c>
      <c r="C13">
        <f t="shared" si="2"/>
        <v>9002</v>
      </c>
      <c r="D13">
        <f t="shared" si="11"/>
        <v>9002</v>
      </c>
      <c r="E13">
        <v>2</v>
      </c>
      <c r="G13" s="6">
        <v>3</v>
      </c>
      <c r="H13">
        <f>IF(U13="Intermission",H12+1,H12)</f>
        <v>1</v>
      </c>
      <c r="R13">
        <v>77</v>
      </c>
      <c r="T13" t="str">
        <f t="shared" si="3"/>
        <v>o</v>
      </c>
      <c r="AJ13">
        <v>1</v>
      </c>
      <c r="AM13" t="str">
        <f t="shared" si="9"/>
        <v>Zone_Entry_Exit</v>
      </c>
      <c r="AN13" t="str">
        <f t="shared" si="10"/>
        <v>Zone_Keepin</v>
      </c>
      <c r="AP13" t="str">
        <f t="shared" si="5"/>
        <v>Defensive</v>
      </c>
      <c r="BB13" s="23"/>
      <c r="BD13" s="21"/>
      <c r="BE13" s="21"/>
      <c r="BF13" s="21"/>
      <c r="BG13" s="21"/>
      <c r="BH13" s="21"/>
      <c r="BI13" s="21"/>
    </row>
    <row r="14" spans="1:117" x14ac:dyDescent="0.2">
      <c r="A14">
        <v>6</v>
      </c>
      <c r="B14">
        <v>2</v>
      </c>
      <c r="C14">
        <f t="shared" si="2"/>
        <v>9002</v>
      </c>
      <c r="D14">
        <f t="shared" si="11"/>
        <v>9002</v>
      </c>
      <c r="E14">
        <v>2</v>
      </c>
      <c r="G14" s="6">
        <v>3</v>
      </c>
      <c r="H14">
        <f t="shared" si="6"/>
        <v>1</v>
      </c>
      <c r="R14">
        <v>25</v>
      </c>
      <c r="T14" t="str">
        <f t="shared" si="3"/>
        <v>o</v>
      </c>
      <c r="AM14" t="str">
        <f t="shared" si="9"/>
        <v>Zone_Entry_Exit</v>
      </c>
      <c r="AN14" t="str">
        <f t="shared" si="10"/>
        <v>Zone_Keepin</v>
      </c>
      <c r="AP14" t="str">
        <f t="shared" si="5"/>
        <v>Defensive</v>
      </c>
      <c r="BB14" s="23"/>
      <c r="BD14" s="21"/>
      <c r="BE14" s="21"/>
      <c r="BF14" s="21"/>
      <c r="BG14" s="21"/>
      <c r="BH14" s="21"/>
      <c r="BI14" s="21"/>
    </row>
    <row r="15" spans="1:117" x14ac:dyDescent="0.2">
      <c r="A15">
        <v>7</v>
      </c>
      <c r="B15">
        <v>2</v>
      </c>
      <c r="C15">
        <f t="shared" si="2"/>
        <v>9002</v>
      </c>
      <c r="D15">
        <f t="shared" si="11"/>
        <v>9002</v>
      </c>
      <c r="E15">
        <v>2</v>
      </c>
      <c r="G15" s="6">
        <v>3</v>
      </c>
      <c r="H15">
        <f t="shared" si="6"/>
        <v>1</v>
      </c>
      <c r="I15" s="5" t="s">
        <v>621</v>
      </c>
      <c r="J15" s="5" t="s">
        <v>637</v>
      </c>
      <c r="Q15" t="s">
        <v>620</v>
      </c>
      <c r="R15">
        <v>14</v>
      </c>
      <c r="S15">
        <v>1</v>
      </c>
      <c r="T15" t="str">
        <f t="shared" si="3"/>
        <v>e</v>
      </c>
      <c r="U15" t="s">
        <v>10</v>
      </c>
      <c r="V15" t="s">
        <v>190</v>
      </c>
      <c r="W15" t="s">
        <v>424</v>
      </c>
      <c r="AF15" t="s">
        <v>401</v>
      </c>
      <c r="AI15">
        <v>1</v>
      </c>
      <c r="AJ15">
        <v>1</v>
      </c>
      <c r="AM15" t="str">
        <f t="shared" si="9"/>
        <v>Turnover</v>
      </c>
      <c r="AN15" t="str">
        <f t="shared" si="10"/>
        <v>Turnover_Giveaway</v>
      </c>
      <c r="AP15" t="str">
        <f t="shared" si="5"/>
        <v>Offensive</v>
      </c>
      <c r="BB15" s="23"/>
      <c r="BD15" s="21"/>
      <c r="BE15" s="21"/>
      <c r="BF15" s="21"/>
      <c r="BG15" s="21"/>
      <c r="BH15" s="21"/>
      <c r="BI15" s="21"/>
    </row>
    <row r="16" spans="1:117" x14ac:dyDescent="0.2">
      <c r="A16">
        <v>8</v>
      </c>
      <c r="B16" t="s">
        <v>887</v>
      </c>
      <c r="C16" t="str">
        <f t="shared" si="2"/>
        <v/>
      </c>
      <c r="D16" t="str">
        <f t="shared" si="11"/>
        <v/>
      </c>
      <c r="E16">
        <v>2</v>
      </c>
      <c r="F16">
        <v>1</v>
      </c>
      <c r="G16" s="6">
        <v>3</v>
      </c>
      <c r="H16">
        <f t="shared" si="6"/>
        <v>1</v>
      </c>
      <c r="I16" s="5" t="s">
        <v>621</v>
      </c>
      <c r="J16" s="5" t="s">
        <v>639</v>
      </c>
      <c r="K16" s="5" t="s">
        <v>621</v>
      </c>
      <c r="L16" s="7" t="s">
        <v>640</v>
      </c>
      <c r="Q16" t="s">
        <v>619</v>
      </c>
      <c r="R16">
        <v>68</v>
      </c>
      <c r="S16">
        <v>1</v>
      </c>
      <c r="T16" t="str">
        <f t="shared" si="3"/>
        <v>e</v>
      </c>
      <c r="U16" t="s">
        <v>15</v>
      </c>
      <c r="Y16" t="s">
        <v>679</v>
      </c>
      <c r="AA16" t="s">
        <v>706</v>
      </c>
      <c r="AF16" t="s">
        <v>623</v>
      </c>
      <c r="AJ16">
        <v>1</v>
      </c>
      <c r="AM16" t="str">
        <f t="shared" si="9"/>
        <v>Possession</v>
      </c>
      <c r="AN16" t="str">
        <f t="shared" si="10"/>
        <v/>
      </c>
      <c r="AP16" t="str">
        <f t="shared" si="5"/>
        <v>Offensive</v>
      </c>
      <c r="BB16" s="23"/>
      <c r="BD16" s="21"/>
      <c r="BE16" s="21"/>
      <c r="BF16" s="21"/>
      <c r="BG16" s="21"/>
      <c r="BH16" s="21"/>
      <c r="BI16" s="21"/>
    </row>
    <row r="17" spans="1:61" x14ac:dyDescent="0.2">
      <c r="A17">
        <v>8</v>
      </c>
      <c r="B17" t="s">
        <v>887</v>
      </c>
      <c r="C17" t="str">
        <f t="shared" si="2"/>
        <v/>
      </c>
      <c r="D17" t="str">
        <f t="shared" si="11"/>
        <v/>
      </c>
      <c r="E17">
        <v>2</v>
      </c>
      <c r="F17">
        <v>1</v>
      </c>
      <c r="G17" s="6">
        <v>3</v>
      </c>
      <c r="H17">
        <f t="shared" si="6"/>
        <v>1</v>
      </c>
      <c r="R17">
        <v>70</v>
      </c>
      <c r="T17" t="str">
        <f t="shared" si="3"/>
        <v>o</v>
      </c>
      <c r="Y17" t="s">
        <v>715</v>
      </c>
      <c r="AJ17">
        <v>1</v>
      </c>
      <c r="AM17" t="str">
        <f t="shared" si="9"/>
        <v>Possession</v>
      </c>
      <c r="AN17" t="str">
        <f t="shared" si="10"/>
        <v/>
      </c>
      <c r="AP17" t="str">
        <f t="shared" si="5"/>
        <v>Defensive</v>
      </c>
      <c r="BB17" s="23"/>
      <c r="BD17" s="21"/>
      <c r="BE17" s="21"/>
      <c r="BF17" s="21"/>
      <c r="BG17" s="21"/>
      <c r="BH17" s="21"/>
      <c r="BI17" s="21"/>
    </row>
    <row r="18" spans="1:61" x14ac:dyDescent="0.2">
      <c r="A18">
        <v>9</v>
      </c>
      <c r="B18">
        <v>3</v>
      </c>
      <c r="C18">
        <f t="shared" si="2"/>
        <v>9003</v>
      </c>
      <c r="D18">
        <f t="shared" si="11"/>
        <v>9003</v>
      </c>
      <c r="E18">
        <v>2</v>
      </c>
      <c r="F18">
        <v>1</v>
      </c>
      <c r="G18" s="6">
        <v>3</v>
      </c>
      <c r="H18">
        <f t="shared" si="6"/>
        <v>1</v>
      </c>
      <c r="I18" s="5" t="s">
        <v>621</v>
      </c>
      <c r="J18" s="5" t="s">
        <v>640</v>
      </c>
      <c r="Q18" t="s">
        <v>619</v>
      </c>
      <c r="R18">
        <v>68</v>
      </c>
      <c r="S18">
        <v>1</v>
      </c>
      <c r="T18" t="str">
        <f t="shared" si="3"/>
        <v>e</v>
      </c>
      <c r="U18" t="s">
        <v>8</v>
      </c>
      <c r="V18" t="s">
        <v>189</v>
      </c>
      <c r="W18" t="s">
        <v>70</v>
      </c>
      <c r="X18" t="s">
        <v>706</v>
      </c>
      <c r="Y18" t="s">
        <v>678</v>
      </c>
      <c r="AA18" t="s">
        <v>706</v>
      </c>
      <c r="AF18" t="s">
        <v>623</v>
      </c>
      <c r="AM18" t="str">
        <f t="shared" si="9"/>
        <v>Pass</v>
      </c>
      <c r="AN18" t="str">
        <f t="shared" si="10"/>
        <v>Pass_Completed</v>
      </c>
      <c r="AP18" t="str">
        <f t="shared" si="5"/>
        <v>Offensive</v>
      </c>
      <c r="BB18" s="23"/>
      <c r="BD18" s="21"/>
      <c r="BE18" s="21"/>
      <c r="BF18" s="21"/>
      <c r="BG18" s="21"/>
      <c r="BH18" s="21"/>
      <c r="BI18" s="21"/>
    </row>
    <row r="19" spans="1:61" x14ac:dyDescent="0.2">
      <c r="A19">
        <v>9</v>
      </c>
      <c r="B19">
        <v>3</v>
      </c>
      <c r="C19">
        <f t="shared" si="2"/>
        <v>9003</v>
      </c>
      <c r="D19">
        <f t="shared" si="11"/>
        <v>9003</v>
      </c>
      <c r="E19">
        <v>2</v>
      </c>
      <c r="F19">
        <v>1</v>
      </c>
      <c r="G19" s="6">
        <v>3</v>
      </c>
      <c r="H19">
        <f t="shared" si="6"/>
        <v>1</v>
      </c>
      <c r="R19">
        <v>77</v>
      </c>
      <c r="S19">
        <v>1</v>
      </c>
      <c r="T19" t="str">
        <f t="shared" si="3"/>
        <v>e</v>
      </c>
      <c r="X19" t="s">
        <v>706</v>
      </c>
      <c r="AM19" t="str">
        <f t="shared" si="9"/>
        <v>Pass</v>
      </c>
      <c r="AN19" t="str">
        <f t="shared" si="10"/>
        <v>Pass_Completed</v>
      </c>
      <c r="AP19" t="str">
        <f t="shared" si="5"/>
        <v>Offensive</v>
      </c>
      <c r="BB19" s="23"/>
      <c r="BD19" s="21"/>
      <c r="BE19" s="21"/>
      <c r="BF19" s="21"/>
      <c r="BG19" s="21"/>
      <c r="BH19" s="21"/>
      <c r="BI19" s="21"/>
    </row>
    <row r="20" spans="1:61" x14ac:dyDescent="0.2">
      <c r="A20">
        <v>9</v>
      </c>
      <c r="B20">
        <v>3</v>
      </c>
      <c r="C20">
        <f t="shared" si="2"/>
        <v>9003</v>
      </c>
      <c r="D20">
        <f t="shared" si="11"/>
        <v>9003</v>
      </c>
      <c r="E20">
        <v>2</v>
      </c>
      <c r="F20">
        <v>1</v>
      </c>
      <c r="G20" s="6">
        <v>3</v>
      </c>
      <c r="H20">
        <f t="shared" si="6"/>
        <v>1</v>
      </c>
      <c r="R20">
        <v>70</v>
      </c>
      <c r="T20" t="str">
        <f t="shared" si="3"/>
        <v>o</v>
      </c>
      <c r="X20" t="s">
        <v>706</v>
      </c>
      <c r="AM20" t="str">
        <f t="shared" si="9"/>
        <v>Pass</v>
      </c>
      <c r="AN20" t="str">
        <f t="shared" si="10"/>
        <v>Pass_Completed</v>
      </c>
      <c r="AP20" t="str">
        <f t="shared" si="5"/>
        <v>Defensive</v>
      </c>
      <c r="BB20" s="23"/>
      <c r="BD20" s="21"/>
      <c r="BE20" s="21"/>
      <c r="BF20" s="21"/>
      <c r="BG20" s="21"/>
      <c r="BH20" s="21"/>
      <c r="BI20" s="21"/>
    </row>
    <row r="21" spans="1:61" x14ac:dyDescent="0.2">
      <c r="A21">
        <v>10</v>
      </c>
      <c r="B21">
        <v>3</v>
      </c>
      <c r="C21">
        <f t="shared" si="2"/>
        <v>9003</v>
      </c>
      <c r="D21">
        <f t="shared" si="11"/>
        <v>9003</v>
      </c>
      <c r="E21">
        <v>2</v>
      </c>
      <c r="F21">
        <v>1</v>
      </c>
      <c r="G21" s="6">
        <v>4</v>
      </c>
      <c r="H21">
        <f t="shared" si="6"/>
        <v>1</v>
      </c>
      <c r="I21" s="5" t="s">
        <v>621</v>
      </c>
      <c r="J21" s="5" t="s">
        <v>640</v>
      </c>
      <c r="Q21" t="s">
        <v>619</v>
      </c>
      <c r="R21">
        <v>68</v>
      </c>
      <c r="S21">
        <v>1</v>
      </c>
      <c r="T21" t="str">
        <f t="shared" si="3"/>
        <v>e</v>
      </c>
      <c r="U21" t="s">
        <v>257</v>
      </c>
      <c r="V21" t="s">
        <v>201</v>
      </c>
      <c r="W21" t="s">
        <v>91</v>
      </c>
      <c r="X21" t="s">
        <v>706</v>
      </c>
      <c r="AA21" t="s">
        <v>706</v>
      </c>
      <c r="AF21" t="s">
        <v>623</v>
      </c>
      <c r="AM21" t="str">
        <f t="shared" si="9"/>
        <v>Zone_Entry_Exit</v>
      </c>
      <c r="AN21" t="str">
        <f t="shared" si="10"/>
        <v>Zone_Exit</v>
      </c>
      <c r="AP21" t="str">
        <f t="shared" si="5"/>
        <v>Offensive</v>
      </c>
      <c r="BB21" s="23"/>
      <c r="BD21" s="21"/>
      <c r="BE21" s="21"/>
      <c r="BF21" s="21"/>
      <c r="BG21" s="21"/>
      <c r="BH21" s="21"/>
      <c r="BI21" s="21"/>
    </row>
    <row r="22" spans="1:61" x14ac:dyDescent="0.2">
      <c r="A22">
        <v>10</v>
      </c>
      <c r="B22">
        <v>3</v>
      </c>
      <c r="C22">
        <f t="shared" si="2"/>
        <v>9003</v>
      </c>
      <c r="D22">
        <f t="shared" si="11"/>
        <v>9003</v>
      </c>
      <c r="E22">
        <v>2</v>
      </c>
      <c r="F22">
        <v>1</v>
      </c>
      <c r="G22" s="6">
        <v>4</v>
      </c>
      <c r="H22">
        <f t="shared" si="6"/>
        <v>1</v>
      </c>
      <c r="R22">
        <v>77</v>
      </c>
      <c r="S22">
        <v>1</v>
      </c>
      <c r="T22" t="str">
        <f t="shared" si="3"/>
        <v>e</v>
      </c>
      <c r="X22" t="s">
        <v>706</v>
      </c>
      <c r="AM22" t="str">
        <f t="shared" si="9"/>
        <v>Zone_Entry_Exit</v>
      </c>
      <c r="AN22" t="str">
        <f t="shared" si="10"/>
        <v>Zone_Exit</v>
      </c>
      <c r="AP22" t="str">
        <f t="shared" si="5"/>
        <v>Offensive</v>
      </c>
      <c r="BB22" s="23"/>
      <c r="BD22" s="21"/>
      <c r="BE22" s="21"/>
      <c r="BF22" s="21"/>
      <c r="BG22" s="21"/>
      <c r="BH22" s="21"/>
      <c r="BI22" s="21"/>
    </row>
    <row r="23" spans="1:61" x14ac:dyDescent="0.2">
      <c r="A23">
        <v>10</v>
      </c>
      <c r="B23">
        <v>3</v>
      </c>
      <c r="C23">
        <f t="shared" si="2"/>
        <v>9003</v>
      </c>
      <c r="D23">
        <f t="shared" si="11"/>
        <v>9003</v>
      </c>
      <c r="E23">
        <v>2</v>
      </c>
      <c r="F23">
        <v>1</v>
      </c>
      <c r="G23" s="6">
        <v>4</v>
      </c>
      <c r="H23">
        <f t="shared" si="6"/>
        <v>1</v>
      </c>
      <c r="R23">
        <v>70</v>
      </c>
      <c r="T23" t="str">
        <f t="shared" si="3"/>
        <v>o</v>
      </c>
      <c r="X23" t="s">
        <v>706</v>
      </c>
      <c r="AM23" t="str">
        <f t="shared" si="9"/>
        <v>Zone_Entry_Exit</v>
      </c>
      <c r="AN23" t="str">
        <f t="shared" si="10"/>
        <v>Zone_Exit</v>
      </c>
      <c r="AP23" t="str">
        <f t="shared" si="5"/>
        <v>Defensive</v>
      </c>
      <c r="BB23" s="23"/>
      <c r="BD23" s="21"/>
      <c r="BE23" s="21"/>
      <c r="BF23" s="21"/>
      <c r="BG23" s="21"/>
      <c r="BH23" s="21"/>
      <c r="BI23" s="21"/>
    </row>
    <row r="24" spans="1:61" x14ac:dyDescent="0.2">
      <c r="A24">
        <v>11</v>
      </c>
      <c r="B24" t="s">
        <v>887</v>
      </c>
      <c r="C24" t="str">
        <f t="shared" si="2"/>
        <v/>
      </c>
      <c r="D24" t="str">
        <f t="shared" si="11"/>
        <v/>
      </c>
      <c r="E24">
        <v>2</v>
      </c>
      <c r="F24">
        <v>1</v>
      </c>
      <c r="G24" s="6">
        <v>5</v>
      </c>
      <c r="H24">
        <f>IF(U24="Intermission",H23+1,H23)</f>
        <v>1</v>
      </c>
      <c r="I24" s="5" t="s">
        <v>621</v>
      </c>
      <c r="J24" s="5" t="s">
        <v>640</v>
      </c>
      <c r="K24" s="5" t="s">
        <v>621</v>
      </c>
      <c r="L24" s="7" t="s">
        <v>673</v>
      </c>
      <c r="Q24" t="s">
        <v>619</v>
      </c>
      <c r="R24">
        <v>77</v>
      </c>
      <c r="S24">
        <v>1</v>
      </c>
      <c r="T24" t="str">
        <f t="shared" si="3"/>
        <v>e</v>
      </c>
      <c r="U24" t="s">
        <v>15</v>
      </c>
      <c r="X24" t="s">
        <v>706</v>
      </c>
      <c r="AF24" t="s">
        <v>635</v>
      </c>
      <c r="AM24" t="str">
        <f t="shared" si="9"/>
        <v>Possession</v>
      </c>
      <c r="AN24" t="str">
        <f t="shared" si="10"/>
        <v/>
      </c>
      <c r="AP24" t="str">
        <f t="shared" si="5"/>
        <v>Offensive</v>
      </c>
      <c r="BB24" s="23"/>
      <c r="BD24" s="21"/>
      <c r="BE24" s="21"/>
      <c r="BF24" s="21"/>
      <c r="BG24" s="21"/>
      <c r="BH24" s="21"/>
      <c r="BI24" s="21"/>
    </row>
    <row r="25" spans="1:61" x14ac:dyDescent="0.2">
      <c r="A25">
        <v>11</v>
      </c>
      <c r="B25" t="s">
        <v>887</v>
      </c>
      <c r="C25" t="str">
        <f t="shared" si="2"/>
        <v/>
      </c>
      <c r="D25" t="str">
        <f t="shared" si="11"/>
        <v/>
      </c>
      <c r="E25">
        <v>2</v>
      </c>
      <c r="F25">
        <v>2</v>
      </c>
      <c r="G25" s="6">
        <v>5</v>
      </c>
      <c r="H25">
        <f t="shared" si="6"/>
        <v>1</v>
      </c>
      <c r="R25">
        <v>14</v>
      </c>
      <c r="T25" t="str">
        <f t="shared" si="3"/>
        <v>o</v>
      </c>
      <c r="X25" t="s">
        <v>706</v>
      </c>
      <c r="AM25" t="str">
        <f t="shared" si="9"/>
        <v>Possession</v>
      </c>
      <c r="AN25" t="str">
        <f t="shared" si="10"/>
        <v/>
      </c>
      <c r="AP25" t="str">
        <f t="shared" si="5"/>
        <v>Defensive</v>
      </c>
      <c r="BB25" s="23"/>
      <c r="BD25" s="21"/>
      <c r="BE25" s="21"/>
      <c r="BF25" s="21"/>
      <c r="BG25" s="21"/>
      <c r="BH25" s="21"/>
      <c r="BI25" s="21"/>
    </row>
    <row r="26" spans="1:61" x14ac:dyDescent="0.2">
      <c r="A26">
        <v>12</v>
      </c>
      <c r="B26" t="s">
        <v>887</v>
      </c>
      <c r="C26" t="str">
        <f t="shared" si="2"/>
        <v/>
      </c>
      <c r="D26" t="str">
        <f t="shared" si="11"/>
        <v/>
      </c>
      <c r="E26">
        <v>2</v>
      </c>
      <c r="F26">
        <v>2</v>
      </c>
      <c r="G26" s="6">
        <v>6</v>
      </c>
      <c r="H26">
        <f t="shared" si="6"/>
        <v>1</v>
      </c>
      <c r="I26" s="5" t="s">
        <v>621</v>
      </c>
      <c r="J26" s="5" t="s">
        <v>673</v>
      </c>
      <c r="K26" s="5" t="s">
        <v>621</v>
      </c>
      <c r="L26" s="7" t="s">
        <v>672</v>
      </c>
      <c r="Q26" t="s">
        <v>619</v>
      </c>
      <c r="R26">
        <v>77</v>
      </c>
      <c r="S26">
        <v>1</v>
      </c>
      <c r="T26" t="str">
        <f t="shared" si="3"/>
        <v>e</v>
      </c>
      <c r="U26" t="s">
        <v>257</v>
      </c>
      <c r="V26" t="s">
        <v>191</v>
      </c>
      <c r="W26" t="s">
        <v>87</v>
      </c>
      <c r="X26" t="s">
        <v>706</v>
      </c>
      <c r="Y26" t="s">
        <v>677</v>
      </c>
      <c r="AA26" t="s">
        <v>706</v>
      </c>
      <c r="AF26" t="s">
        <v>401</v>
      </c>
      <c r="AM26" t="str">
        <f t="shared" si="9"/>
        <v>Zone_Entry_Exit</v>
      </c>
      <c r="AN26" t="str">
        <f t="shared" si="10"/>
        <v>Zone_Entry</v>
      </c>
      <c r="AP26" t="str">
        <f t="shared" si="5"/>
        <v>Offensive</v>
      </c>
      <c r="BB26" s="23"/>
      <c r="BD26" s="21"/>
      <c r="BE26" s="21"/>
      <c r="BF26" s="21"/>
      <c r="BG26" s="21"/>
      <c r="BH26" s="21"/>
      <c r="BI26" s="21"/>
    </row>
    <row r="27" spans="1:61" x14ac:dyDescent="0.2">
      <c r="A27">
        <v>12</v>
      </c>
      <c r="B27" t="s">
        <v>887</v>
      </c>
      <c r="C27" t="str">
        <f t="shared" si="2"/>
        <v/>
      </c>
      <c r="D27" t="str">
        <f t="shared" si="11"/>
        <v/>
      </c>
      <c r="E27">
        <v>2</v>
      </c>
      <c r="F27">
        <v>2</v>
      </c>
      <c r="G27" s="6">
        <v>6</v>
      </c>
      <c r="H27">
        <f t="shared" si="6"/>
        <v>1</v>
      </c>
      <c r="R27">
        <v>13</v>
      </c>
      <c r="S27">
        <v>1</v>
      </c>
      <c r="T27" t="str">
        <f t="shared" si="3"/>
        <v>e</v>
      </c>
      <c r="X27" t="s">
        <v>706</v>
      </c>
      <c r="AM27" t="str">
        <f t="shared" si="9"/>
        <v>Zone_Entry_Exit</v>
      </c>
      <c r="AN27" t="str">
        <f t="shared" si="10"/>
        <v>Zone_Entry</v>
      </c>
      <c r="AP27" t="str">
        <f t="shared" si="5"/>
        <v>Offensive</v>
      </c>
      <c r="BB27" s="23"/>
      <c r="BD27" s="21"/>
      <c r="BE27" s="21"/>
      <c r="BF27" s="21"/>
      <c r="BG27" s="21"/>
      <c r="BH27" s="21"/>
      <c r="BI27" s="21"/>
    </row>
    <row r="28" spans="1:61" x14ac:dyDescent="0.2">
      <c r="A28">
        <v>12</v>
      </c>
      <c r="B28" t="s">
        <v>887</v>
      </c>
      <c r="C28" t="str">
        <f t="shared" si="2"/>
        <v/>
      </c>
      <c r="D28" t="str">
        <f t="shared" si="11"/>
        <v/>
      </c>
      <c r="E28">
        <v>2</v>
      </c>
      <c r="F28">
        <v>2</v>
      </c>
      <c r="G28" s="6">
        <v>6</v>
      </c>
      <c r="H28">
        <f t="shared" si="6"/>
        <v>1</v>
      </c>
      <c r="R28">
        <v>91</v>
      </c>
      <c r="T28" t="str">
        <f t="shared" si="3"/>
        <v>o</v>
      </c>
      <c r="X28" t="s">
        <v>706</v>
      </c>
      <c r="AM28" t="str">
        <f t="shared" si="9"/>
        <v>Zone_Entry_Exit</v>
      </c>
      <c r="AN28" t="str">
        <f t="shared" si="10"/>
        <v>Zone_Entry</v>
      </c>
      <c r="AP28" t="str">
        <f t="shared" si="5"/>
        <v>Defensive</v>
      </c>
      <c r="BB28" s="23"/>
      <c r="BD28" s="21"/>
      <c r="BE28" s="21"/>
      <c r="BF28" s="21"/>
      <c r="BG28" s="21"/>
      <c r="BH28" s="21"/>
      <c r="BI28" s="21"/>
    </row>
    <row r="29" spans="1:61" x14ac:dyDescent="0.2">
      <c r="A29">
        <v>12</v>
      </c>
      <c r="B29" t="s">
        <v>887</v>
      </c>
      <c r="C29" t="str">
        <f t="shared" si="2"/>
        <v/>
      </c>
      <c r="D29" t="str">
        <f t="shared" si="11"/>
        <v/>
      </c>
      <c r="E29">
        <v>2</v>
      </c>
      <c r="F29">
        <v>2</v>
      </c>
      <c r="G29" s="6">
        <v>6</v>
      </c>
      <c r="H29">
        <f t="shared" si="6"/>
        <v>1</v>
      </c>
      <c r="R29">
        <v>9</v>
      </c>
      <c r="T29" t="str">
        <f t="shared" si="3"/>
        <v>o</v>
      </c>
      <c r="X29" t="s">
        <v>706</v>
      </c>
      <c r="AM29" t="str">
        <f t="shared" si="9"/>
        <v>Zone_Entry_Exit</v>
      </c>
      <c r="AN29" t="str">
        <f t="shared" si="10"/>
        <v>Zone_Entry</v>
      </c>
      <c r="AP29" t="str">
        <f t="shared" si="5"/>
        <v>Defensive</v>
      </c>
      <c r="BB29" s="23"/>
      <c r="BD29" s="21"/>
      <c r="BE29" s="21"/>
      <c r="BF29" s="21"/>
      <c r="BG29" s="21"/>
      <c r="BH29" s="21"/>
      <c r="BI29" s="21"/>
    </row>
    <row r="30" spans="1:61" x14ac:dyDescent="0.2">
      <c r="A30">
        <v>12</v>
      </c>
      <c r="B30" t="s">
        <v>887</v>
      </c>
      <c r="C30" t="str">
        <f t="shared" si="2"/>
        <v/>
      </c>
      <c r="D30" t="str">
        <f t="shared" si="11"/>
        <v/>
      </c>
      <c r="E30">
        <v>2</v>
      </c>
      <c r="F30">
        <v>2</v>
      </c>
      <c r="G30" s="6">
        <v>6</v>
      </c>
      <c r="H30">
        <f t="shared" si="6"/>
        <v>1</v>
      </c>
      <c r="R30">
        <v>14</v>
      </c>
      <c r="T30" t="str">
        <f t="shared" si="3"/>
        <v>o</v>
      </c>
      <c r="X30" t="s">
        <v>706</v>
      </c>
      <c r="AM30" t="str">
        <f t="shared" si="9"/>
        <v>Zone_Entry_Exit</v>
      </c>
      <c r="AN30" t="str">
        <f t="shared" si="10"/>
        <v>Zone_Entry</v>
      </c>
      <c r="AP30" t="str">
        <f t="shared" si="5"/>
        <v>Defensive</v>
      </c>
      <c r="BB30" s="23"/>
      <c r="BD30" s="21"/>
      <c r="BE30" s="21"/>
      <c r="BF30" s="21"/>
      <c r="BG30" s="21"/>
      <c r="BH30" s="21"/>
      <c r="BI30" s="21"/>
    </row>
    <row r="31" spans="1:61" x14ac:dyDescent="0.2">
      <c r="A31">
        <v>13</v>
      </c>
      <c r="B31">
        <v>4</v>
      </c>
      <c r="C31">
        <f t="shared" si="2"/>
        <v>9004</v>
      </c>
      <c r="D31">
        <f t="shared" si="11"/>
        <v>9004</v>
      </c>
      <c r="E31">
        <v>2</v>
      </c>
      <c r="F31">
        <v>2</v>
      </c>
      <c r="G31" s="6">
        <v>6</v>
      </c>
      <c r="H31">
        <f t="shared" si="6"/>
        <v>1</v>
      </c>
      <c r="I31" s="5" t="s">
        <v>621</v>
      </c>
      <c r="J31" s="5" t="s">
        <v>672</v>
      </c>
      <c r="Q31" t="s">
        <v>619</v>
      </c>
      <c r="R31">
        <v>77</v>
      </c>
      <c r="S31">
        <v>1</v>
      </c>
      <c r="T31" t="str">
        <f t="shared" si="3"/>
        <v>e</v>
      </c>
      <c r="U31" t="s">
        <v>7</v>
      </c>
      <c r="V31" t="s">
        <v>208</v>
      </c>
      <c r="W31" t="s">
        <v>53</v>
      </c>
      <c r="AF31" t="s">
        <v>401</v>
      </c>
      <c r="AI31">
        <v>1</v>
      </c>
      <c r="AJ31">
        <v>1</v>
      </c>
      <c r="AM31" t="str">
        <f t="shared" si="9"/>
        <v>Shot</v>
      </c>
      <c r="AN31" t="str">
        <f t="shared" si="10"/>
        <v>Shot_Blocked</v>
      </c>
      <c r="AP31" t="str">
        <f t="shared" si="5"/>
        <v>Offensive</v>
      </c>
      <c r="BB31" s="23"/>
      <c r="BD31" s="21"/>
      <c r="BE31" s="21"/>
      <c r="BF31" s="21"/>
      <c r="BG31" s="21"/>
      <c r="BH31" s="21"/>
      <c r="BI31" s="21"/>
    </row>
    <row r="32" spans="1:61" x14ac:dyDescent="0.2">
      <c r="A32">
        <v>13</v>
      </c>
      <c r="B32">
        <v>4</v>
      </c>
      <c r="C32">
        <f t="shared" si="2"/>
        <v>9004</v>
      </c>
      <c r="D32">
        <f t="shared" si="11"/>
        <v>9004</v>
      </c>
      <c r="E32">
        <v>2</v>
      </c>
      <c r="F32">
        <v>2</v>
      </c>
      <c r="G32" s="6">
        <v>6</v>
      </c>
      <c r="H32">
        <f t="shared" si="6"/>
        <v>1</v>
      </c>
      <c r="R32">
        <v>9</v>
      </c>
      <c r="T32" t="str">
        <f t="shared" si="3"/>
        <v>o</v>
      </c>
      <c r="Y32" t="s">
        <v>681</v>
      </c>
      <c r="AA32" t="s">
        <v>706</v>
      </c>
      <c r="AJ32">
        <v>1</v>
      </c>
      <c r="AM32" t="str">
        <f t="shared" si="9"/>
        <v>Shot</v>
      </c>
      <c r="AN32" t="str">
        <f t="shared" si="10"/>
        <v>Shot_Blocked</v>
      </c>
      <c r="AP32" t="str">
        <f t="shared" si="5"/>
        <v>Defensive</v>
      </c>
      <c r="BB32" s="23"/>
      <c r="BD32" s="21"/>
      <c r="BE32" s="21"/>
      <c r="BF32" s="21"/>
      <c r="BG32" s="21"/>
      <c r="BH32" s="21"/>
      <c r="BI32" s="21"/>
    </row>
    <row r="33" spans="1:61" x14ac:dyDescent="0.2">
      <c r="A33">
        <v>14</v>
      </c>
      <c r="B33">
        <v>4</v>
      </c>
      <c r="C33">
        <f t="shared" si="2"/>
        <v>9004</v>
      </c>
      <c r="D33">
        <f t="shared" si="11"/>
        <v>9004</v>
      </c>
      <c r="E33">
        <v>2</v>
      </c>
      <c r="F33">
        <v>2</v>
      </c>
      <c r="G33" s="6">
        <v>6</v>
      </c>
      <c r="H33">
        <f t="shared" si="6"/>
        <v>1</v>
      </c>
      <c r="I33" s="5" t="s">
        <v>621</v>
      </c>
      <c r="J33" s="5" t="s">
        <v>672</v>
      </c>
      <c r="Q33" t="s">
        <v>619</v>
      </c>
      <c r="R33">
        <v>77</v>
      </c>
      <c r="S33">
        <v>1</v>
      </c>
      <c r="T33" t="str">
        <f t="shared" si="3"/>
        <v>e</v>
      </c>
      <c r="U33" t="s">
        <v>10</v>
      </c>
      <c r="V33" t="s">
        <v>190</v>
      </c>
      <c r="W33" t="s">
        <v>78</v>
      </c>
      <c r="AF33" t="s">
        <v>401</v>
      </c>
      <c r="AI33">
        <v>1</v>
      </c>
      <c r="AJ33">
        <v>1</v>
      </c>
      <c r="AM33" t="str">
        <f t="shared" si="9"/>
        <v>Turnover</v>
      </c>
      <c r="AN33" t="str">
        <f t="shared" si="10"/>
        <v>Turnover_Giveaway</v>
      </c>
      <c r="AP33" t="str">
        <f t="shared" si="5"/>
        <v>Offensive</v>
      </c>
      <c r="BB33" s="23"/>
      <c r="BD33" s="21"/>
      <c r="BE33" s="21"/>
      <c r="BF33" s="21"/>
      <c r="BG33" s="21"/>
      <c r="BH33" s="21"/>
      <c r="BI33" s="21"/>
    </row>
    <row r="34" spans="1:61" x14ac:dyDescent="0.2">
      <c r="A34">
        <v>14</v>
      </c>
      <c r="B34">
        <v>4</v>
      </c>
      <c r="C34">
        <f t="shared" si="2"/>
        <v>9004</v>
      </c>
      <c r="D34">
        <f t="shared" si="11"/>
        <v>9004</v>
      </c>
      <c r="E34">
        <v>2</v>
      </c>
      <c r="F34">
        <v>2</v>
      </c>
      <c r="G34" s="6">
        <v>6</v>
      </c>
      <c r="H34">
        <f t="shared" si="6"/>
        <v>1</v>
      </c>
      <c r="Q34" t="s">
        <v>619</v>
      </c>
      <c r="R34">
        <v>9</v>
      </c>
      <c r="T34" t="str">
        <f t="shared" si="3"/>
        <v>o</v>
      </c>
      <c r="AM34" t="str">
        <f t="shared" si="9"/>
        <v>Turnover</v>
      </c>
      <c r="AN34" t="str">
        <f t="shared" si="10"/>
        <v>Turnover_Giveaway</v>
      </c>
      <c r="AP34" t="str">
        <f t="shared" si="5"/>
        <v>Defensive</v>
      </c>
      <c r="BB34" s="23"/>
      <c r="BD34" s="21"/>
      <c r="BE34" s="21"/>
      <c r="BF34" s="21"/>
      <c r="BG34" s="21"/>
      <c r="BH34" s="21"/>
      <c r="BI34" s="21"/>
    </row>
    <row r="35" spans="1:61" x14ac:dyDescent="0.2">
      <c r="A35">
        <v>15</v>
      </c>
      <c r="B35">
        <v>4</v>
      </c>
      <c r="C35">
        <f t="shared" si="2"/>
        <v>9004</v>
      </c>
      <c r="D35">
        <f t="shared" si="11"/>
        <v>9004</v>
      </c>
      <c r="E35">
        <v>3</v>
      </c>
      <c r="G35" s="6">
        <v>6</v>
      </c>
      <c r="H35">
        <f t="shared" si="6"/>
        <v>1</v>
      </c>
      <c r="I35" s="5" t="s">
        <v>621</v>
      </c>
      <c r="J35" s="5" t="s">
        <v>682</v>
      </c>
      <c r="Q35" t="s">
        <v>620</v>
      </c>
      <c r="R35">
        <v>91</v>
      </c>
      <c r="S35">
        <v>1</v>
      </c>
      <c r="T35" t="str">
        <f t="shared" si="3"/>
        <v>e</v>
      </c>
      <c r="U35" t="s">
        <v>15</v>
      </c>
      <c r="X35" t="s">
        <v>706</v>
      </c>
      <c r="Y35" t="s">
        <v>683</v>
      </c>
      <c r="AF35" t="s">
        <v>623</v>
      </c>
      <c r="AM35" t="str">
        <f t="shared" si="9"/>
        <v>Possession</v>
      </c>
      <c r="AN35" t="str">
        <f t="shared" si="10"/>
        <v/>
      </c>
      <c r="AP35" t="str">
        <f t="shared" ref="AP35:AP70" si="12">IF(AND(T35="e",OR(AM35="Save",AN35="Turnover_Takeaway",AN35="Play_Defensive")),"Defensive",IF(AND(T35="o",OR(AM35="Save",AN35="Turnover_Takeaway",AN35="Play_Defensive")),"Offensive",IF(OR(AM35="Deadice",AM35="Stoppage",AM35="Intermission"),"",IF(T35="e","Offensive",IF(T35="o","Defensive","")))))</f>
        <v>Offensive</v>
      </c>
      <c r="BB35" s="23"/>
      <c r="BD35" s="21"/>
      <c r="BE35" s="21"/>
      <c r="BF35" s="21"/>
      <c r="BG35" s="21"/>
      <c r="BH35" s="21"/>
      <c r="BI35" s="21"/>
    </row>
    <row r="36" spans="1:61" x14ac:dyDescent="0.2">
      <c r="A36">
        <v>16</v>
      </c>
      <c r="B36">
        <v>5</v>
      </c>
      <c r="C36">
        <f t="shared" si="2"/>
        <v>9005</v>
      </c>
      <c r="D36">
        <f t="shared" si="11"/>
        <v>9005</v>
      </c>
      <c r="E36">
        <v>3</v>
      </c>
      <c r="G36" s="6">
        <v>6</v>
      </c>
      <c r="H36">
        <f t="shared" si="6"/>
        <v>1</v>
      </c>
      <c r="I36" s="5" t="s">
        <v>621</v>
      </c>
      <c r="J36" s="5" t="s">
        <v>682</v>
      </c>
      <c r="Q36" t="s">
        <v>620</v>
      </c>
      <c r="R36">
        <v>91</v>
      </c>
      <c r="S36">
        <v>1</v>
      </c>
      <c r="T36" t="str">
        <f t="shared" si="3"/>
        <v>e</v>
      </c>
      <c r="U36" t="s">
        <v>10</v>
      </c>
      <c r="V36" t="s">
        <v>190</v>
      </c>
      <c r="W36" t="s">
        <v>398</v>
      </c>
      <c r="Y36" t="s">
        <v>678</v>
      </c>
      <c r="AA36" t="s">
        <v>705</v>
      </c>
      <c r="AF36" t="s">
        <v>623</v>
      </c>
      <c r="AI36">
        <v>1</v>
      </c>
      <c r="AJ36">
        <v>1</v>
      </c>
      <c r="AM36" t="str">
        <f t="shared" si="9"/>
        <v>Turnover</v>
      </c>
      <c r="AN36" t="str">
        <f t="shared" si="10"/>
        <v>Turnover_Giveaway</v>
      </c>
      <c r="AP36" t="str">
        <f t="shared" si="12"/>
        <v>Offensive</v>
      </c>
      <c r="BB36" s="23"/>
      <c r="BD36" s="21"/>
      <c r="BE36" s="21"/>
      <c r="BF36" s="21"/>
      <c r="BG36" s="21"/>
      <c r="BH36" s="21"/>
      <c r="BI36" s="21"/>
    </row>
    <row r="37" spans="1:61" x14ac:dyDescent="0.2">
      <c r="A37">
        <v>16</v>
      </c>
      <c r="B37">
        <v>5</v>
      </c>
      <c r="C37">
        <f t="shared" si="2"/>
        <v>9005</v>
      </c>
      <c r="D37">
        <f t="shared" si="11"/>
        <v>9005</v>
      </c>
      <c r="E37">
        <v>3</v>
      </c>
      <c r="G37" s="6">
        <v>6</v>
      </c>
      <c r="H37">
        <f t="shared" si="6"/>
        <v>1</v>
      </c>
      <c r="R37">
        <v>68</v>
      </c>
      <c r="T37" t="str">
        <f t="shared" si="3"/>
        <v>o</v>
      </c>
      <c r="AJ37">
        <v>1</v>
      </c>
      <c r="AM37" t="str">
        <f t="shared" si="9"/>
        <v>Turnover</v>
      </c>
      <c r="AN37" t="str">
        <f t="shared" si="10"/>
        <v>Turnover_Giveaway</v>
      </c>
      <c r="AP37" t="str">
        <f t="shared" si="12"/>
        <v>Defensive</v>
      </c>
      <c r="BB37" s="23"/>
      <c r="BD37" s="21"/>
      <c r="BE37" s="21"/>
      <c r="BF37" s="21"/>
      <c r="BG37" s="21"/>
      <c r="BH37" s="21"/>
      <c r="BI37" s="21"/>
    </row>
    <row r="38" spans="1:61" x14ac:dyDescent="0.2">
      <c r="A38">
        <v>17</v>
      </c>
      <c r="B38">
        <v>5</v>
      </c>
      <c r="C38">
        <f t="shared" si="2"/>
        <v>9005</v>
      </c>
      <c r="D38">
        <f t="shared" si="11"/>
        <v>9005</v>
      </c>
      <c r="E38">
        <v>3</v>
      </c>
      <c r="G38" s="6">
        <v>6</v>
      </c>
      <c r="H38">
        <f t="shared" si="6"/>
        <v>1</v>
      </c>
      <c r="I38" s="5" t="s">
        <v>621</v>
      </c>
      <c r="J38" s="5" t="s">
        <v>711</v>
      </c>
      <c r="K38" s="5" t="s">
        <v>621</v>
      </c>
      <c r="L38" s="7" t="s">
        <v>713</v>
      </c>
      <c r="Q38" t="s">
        <v>619</v>
      </c>
      <c r="R38">
        <v>77</v>
      </c>
      <c r="S38">
        <v>1</v>
      </c>
      <c r="T38" t="str">
        <f t="shared" si="3"/>
        <v>e</v>
      </c>
      <c r="U38" t="s">
        <v>15</v>
      </c>
      <c r="V38" t="s">
        <v>697</v>
      </c>
      <c r="X38" t="s">
        <v>705</v>
      </c>
      <c r="Y38" t="s">
        <v>712</v>
      </c>
      <c r="AA38" t="s">
        <v>706</v>
      </c>
      <c r="AF38" t="s">
        <v>401</v>
      </c>
      <c r="AJ38">
        <v>1</v>
      </c>
      <c r="AM38" t="str">
        <f t="shared" si="9"/>
        <v>Possession</v>
      </c>
      <c r="AN38" t="str">
        <f t="shared" si="10"/>
        <v>PuckRetrieval</v>
      </c>
      <c r="AP38" t="str">
        <f t="shared" si="12"/>
        <v>Offensive</v>
      </c>
      <c r="BB38" s="23"/>
      <c r="BD38" s="21"/>
      <c r="BE38" s="21"/>
      <c r="BF38" s="21"/>
      <c r="BG38" s="21"/>
      <c r="BH38" s="21"/>
      <c r="BI38" s="21"/>
    </row>
    <row r="39" spans="1:61" x14ac:dyDescent="0.2">
      <c r="A39">
        <v>17</v>
      </c>
      <c r="B39">
        <v>5</v>
      </c>
      <c r="C39">
        <f t="shared" si="2"/>
        <v>9005</v>
      </c>
      <c r="D39">
        <f t="shared" si="11"/>
        <v>9005</v>
      </c>
      <c r="E39">
        <v>3</v>
      </c>
      <c r="G39" s="6">
        <v>6</v>
      </c>
      <c r="H39">
        <f t="shared" si="6"/>
        <v>1</v>
      </c>
      <c r="R39">
        <v>70</v>
      </c>
      <c r="T39" t="str">
        <f t="shared" si="3"/>
        <v>o</v>
      </c>
      <c r="X39" t="s">
        <v>705</v>
      </c>
      <c r="Y39" t="s">
        <v>714</v>
      </c>
      <c r="AA39" t="s">
        <v>706</v>
      </c>
      <c r="AJ39">
        <v>1</v>
      </c>
      <c r="AM39" t="str">
        <f t="shared" si="9"/>
        <v>Possession</v>
      </c>
      <c r="AN39" t="str">
        <f t="shared" si="10"/>
        <v>PuckRetrieval</v>
      </c>
      <c r="AP39" t="str">
        <f t="shared" si="12"/>
        <v>Defensive</v>
      </c>
      <c r="BB39" s="23"/>
      <c r="BD39" s="21"/>
      <c r="BE39" s="21"/>
      <c r="BF39" s="21"/>
      <c r="BG39" s="21"/>
      <c r="BH39" s="21"/>
      <c r="BI39" s="21"/>
    </row>
    <row r="40" spans="1:61" x14ac:dyDescent="0.2">
      <c r="A40">
        <v>18</v>
      </c>
      <c r="B40" t="s">
        <v>887</v>
      </c>
      <c r="C40" t="str">
        <f t="shared" si="2"/>
        <v/>
      </c>
      <c r="D40" t="str">
        <f t="shared" si="11"/>
        <v/>
      </c>
      <c r="E40">
        <v>3</v>
      </c>
      <c r="G40" s="6">
        <v>6</v>
      </c>
      <c r="H40">
        <f t="shared" si="6"/>
        <v>1</v>
      </c>
      <c r="I40" s="5" t="s">
        <v>621</v>
      </c>
      <c r="J40" s="5" t="s">
        <v>713</v>
      </c>
      <c r="Q40" t="s">
        <v>620</v>
      </c>
      <c r="R40">
        <v>70</v>
      </c>
      <c r="S40">
        <v>1</v>
      </c>
      <c r="T40" t="str">
        <f t="shared" si="3"/>
        <v>e</v>
      </c>
      <c r="U40" t="s">
        <v>10</v>
      </c>
      <c r="V40" t="s">
        <v>200</v>
      </c>
      <c r="W40" t="s">
        <v>82</v>
      </c>
      <c r="AF40" t="s">
        <v>623</v>
      </c>
      <c r="AM40" t="str">
        <f t="shared" si="9"/>
        <v>Turnover</v>
      </c>
      <c r="AN40" t="str">
        <f t="shared" si="10"/>
        <v>Turnover_Takeaway</v>
      </c>
      <c r="AP40" t="str">
        <f t="shared" si="12"/>
        <v>Defensive</v>
      </c>
      <c r="BB40" s="23"/>
      <c r="BD40" s="21"/>
      <c r="BE40" s="21"/>
      <c r="BF40" s="21"/>
      <c r="BG40" s="21"/>
      <c r="BH40" s="21"/>
      <c r="BI40" s="21"/>
    </row>
    <row r="41" spans="1:61" x14ac:dyDescent="0.2">
      <c r="A41">
        <v>18</v>
      </c>
      <c r="B41" t="s">
        <v>887</v>
      </c>
      <c r="C41" t="str">
        <f t="shared" si="2"/>
        <v/>
      </c>
      <c r="D41" t="str">
        <f t="shared" si="11"/>
        <v/>
      </c>
      <c r="E41">
        <v>3</v>
      </c>
      <c r="G41" s="6">
        <v>6</v>
      </c>
      <c r="H41">
        <f t="shared" si="6"/>
        <v>1</v>
      </c>
      <c r="R41">
        <v>77</v>
      </c>
      <c r="T41" t="str">
        <f t="shared" si="3"/>
        <v>o</v>
      </c>
      <c r="AM41" t="str">
        <f t="shared" si="9"/>
        <v>Turnover</v>
      </c>
      <c r="AN41" t="str">
        <f t="shared" si="10"/>
        <v>Turnover_Takeaway</v>
      </c>
      <c r="AP41" t="str">
        <f t="shared" si="12"/>
        <v>Offensive</v>
      </c>
      <c r="BB41" s="23"/>
      <c r="BD41" s="21"/>
      <c r="BE41" s="21"/>
      <c r="BF41" s="21"/>
      <c r="BG41" s="21"/>
      <c r="BH41" s="21"/>
      <c r="BI41" s="21"/>
    </row>
    <row r="42" spans="1:61" x14ac:dyDescent="0.2">
      <c r="A42">
        <v>19</v>
      </c>
      <c r="B42" t="s">
        <v>887</v>
      </c>
      <c r="C42" t="str">
        <f t="shared" si="2"/>
        <v/>
      </c>
      <c r="D42" t="str">
        <f t="shared" si="11"/>
        <v/>
      </c>
      <c r="E42">
        <v>3</v>
      </c>
      <c r="F42">
        <v>3</v>
      </c>
      <c r="G42" s="6">
        <v>6</v>
      </c>
      <c r="H42">
        <f t="shared" si="6"/>
        <v>1</v>
      </c>
      <c r="I42" s="5" t="s">
        <v>621</v>
      </c>
      <c r="J42" s="5" t="s">
        <v>716</v>
      </c>
      <c r="Q42" t="s">
        <v>620</v>
      </c>
      <c r="R42">
        <v>91</v>
      </c>
      <c r="S42">
        <v>1</v>
      </c>
      <c r="T42" t="str">
        <f t="shared" si="3"/>
        <v>e</v>
      </c>
      <c r="U42" t="s">
        <v>15</v>
      </c>
      <c r="V42" t="s">
        <v>697</v>
      </c>
      <c r="X42" t="s">
        <v>706</v>
      </c>
      <c r="Y42" t="s">
        <v>712</v>
      </c>
      <c r="AA42" t="s">
        <v>706</v>
      </c>
      <c r="AF42" t="s">
        <v>623</v>
      </c>
      <c r="AM42" t="str">
        <f t="shared" si="9"/>
        <v>Possession</v>
      </c>
      <c r="AN42" t="str">
        <f t="shared" si="10"/>
        <v>PuckRetrieval</v>
      </c>
      <c r="AP42" t="str">
        <f t="shared" si="12"/>
        <v>Offensive</v>
      </c>
      <c r="BB42" s="23"/>
      <c r="BD42" s="21"/>
      <c r="BE42" s="21"/>
      <c r="BF42" s="21"/>
      <c r="BG42" s="21"/>
      <c r="BH42" s="21"/>
      <c r="BI42" s="21"/>
    </row>
    <row r="43" spans="1:61" x14ac:dyDescent="0.2">
      <c r="A43">
        <v>21</v>
      </c>
      <c r="B43">
        <v>6</v>
      </c>
      <c r="C43">
        <f t="shared" si="2"/>
        <v>9006</v>
      </c>
      <c r="D43">
        <f t="shared" si="11"/>
        <v>9006</v>
      </c>
      <c r="E43">
        <v>3</v>
      </c>
      <c r="F43">
        <v>3</v>
      </c>
      <c r="G43" s="6">
        <v>7</v>
      </c>
      <c r="H43">
        <f t="shared" si="6"/>
        <v>1</v>
      </c>
      <c r="I43" s="5" t="s">
        <v>621</v>
      </c>
      <c r="J43" s="5" t="s">
        <v>716</v>
      </c>
      <c r="Q43" t="s">
        <v>620</v>
      </c>
      <c r="R43">
        <v>91</v>
      </c>
      <c r="S43">
        <v>1</v>
      </c>
      <c r="T43" t="str">
        <f t="shared" si="3"/>
        <v>e</v>
      </c>
      <c r="U43" t="s">
        <v>257</v>
      </c>
      <c r="V43" t="s">
        <v>201</v>
      </c>
      <c r="W43" t="s">
        <v>92</v>
      </c>
      <c r="AA43" t="s">
        <v>706</v>
      </c>
      <c r="AF43" t="s">
        <v>623</v>
      </c>
      <c r="AM43" t="str">
        <f t="shared" si="9"/>
        <v>Zone_Entry_Exit</v>
      </c>
      <c r="AN43" t="str">
        <f t="shared" si="10"/>
        <v>Zone_Exit</v>
      </c>
      <c r="AP43" t="str">
        <f t="shared" si="12"/>
        <v>Offensive</v>
      </c>
      <c r="BB43" s="23"/>
      <c r="BD43" s="21"/>
      <c r="BE43" s="21"/>
      <c r="BF43" s="21"/>
      <c r="BG43" s="21"/>
      <c r="BH43" s="21"/>
      <c r="BI43" s="21"/>
    </row>
    <row r="44" spans="1:61" x14ac:dyDescent="0.2">
      <c r="A44">
        <v>22</v>
      </c>
      <c r="B44">
        <v>6</v>
      </c>
      <c r="C44">
        <f t="shared" si="2"/>
        <v>9006</v>
      </c>
      <c r="D44">
        <f t="shared" si="11"/>
        <v>9006</v>
      </c>
      <c r="E44">
        <v>3</v>
      </c>
      <c r="F44">
        <v>3</v>
      </c>
      <c r="G44" s="6">
        <v>7</v>
      </c>
      <c r="H44">
        <f t="shared" si="6"/>
        <v>1</v>
      </c>
      <c r="I44" s="5" t="s">
        <v>621</v>
      </c>
      <c r="J44" s="5" t="s">
        <v>716</v>
      </c>
      <c r="Q44" t="s">
        <v>620</v>
      </c>
      <c r="R44">
        <v>91</v>
      </c>
      <c r="S44">
        <v>1</v>
      </c>
      <c r="T44" t="str">
        <f t="shared" si="3"/>
        <v>e</v>
      </c>
      <c r="U44" t="s">
        <v>10</v>
      </c>
      <c r="V44" t="s">
        <v>190</v>
      </c>
      <c r="W44" t="s">
        <v>387</v>
      </c>
      <c r="AF44" t="s">
        <v>623</v>
      </c>
      <c r="AM44" t="str">
        <f t="shared" si="9"/>
        <v>Turnover</v>
      </c>
      <c r="AN44" t="str">
        <f t="shared" si="10"/>
        <v>Turnover_Giveaway</v>
      </c>
      <c r="AP44" t="str">
        <f t="shared" si="12"/>
        <v>Offensive</v>
      </c>
      <c r="BB44" s="23"/>
      <c r="BD44" s="21"/>
      <c r="BE44" s="21"/>
      <c r="BF44" s="21"/>
      <c r="BG44" s="21"/>
      <c r="BH44" s="21"/>
      <c r="BI44" s="21"/>
    </row>
    <row r="45" spans="1:61" x14ac:dyDescent="0.2">
      <c r="A45">
        <v>23</v>
      </c>
      <c r="B45">
        <v>6</v>
      </c>
      <c r="C45">
        <f t="shared" si="2"/>
        <v>9006</v>
      </c>
      <c r="D45">
        <f t="shared" si="11"/>
        <v>9006</v>
      </c>
      <c r="E45">
        <v>4</v>
      </c>
      <c r="F45">
        <v>4</v>
      </c>
      <c r="G45" s="6">
        <v>7</v>
      </c>
      <c r="H45">
        <f t="shared" si="6"/>
        <v>1</v>
      </c>
      <c r="I45" s="5" t="s">
        <v>621</v>
      </c>
      <c r="J45" s="5" t="s">
        <v>717</v>
      </c>
      <c r="Q45" t="s">
        <v>619</v>
      </c>
      <c r="R45">
        <v>4</v>
      </c>
      <c r="S45">
        <v>1</v>
      </c>
      <c r="T45" t="str">
        <f t="shared" si="3"/>
        <v>e</v>
      </c>
      <c r="U45" t="s">
        <v>15</v>
      </c>
      <c r="V45" t="s">
        <v>697</v>
      </c>
      <c r="X45" t="s">
        <v>706</v>
      </c>
      <c r="AA45" t="s">
        <v>706</v>
      </c>
      <c r="AF45" t="s">
        <v>635</v>
      </c>
      <c r="AJ45">
        <v>1</v>
      </c>
      <c r="AM45" t="str">
        <f t="shared" si="9"/>
        <v>Possession</v>
      </c>
      <c r="AN45" t="str">
        <f t="shared" si="10"/>
        <v>PuckRetrieval</v>
      </c>
      <c r="AP45" t="str">
        <f t="shared" si="12"/>
        <v>Offensive</v>
      </c>
      <c r="BB45" s="23"/>
      <c r="BD45" s="21"/>
      <c r="BE45" s="21"/>
      <c r="BF45" s="21"/>
      <c r="BG45" s="21"/>
      <c r="BH45" s="21"/>
      <c r="BI45" s="21"/>
    </row>
    <row r="46" spans="1:61" x14ac:dyDescent="0.2">
      <c r="A46">
        <v>23</v>
      </c>
      <c r="B46">
        <v>6</v>
      </c>
      <c r="C46">
        <f t="shared" si="2"/>
        <v>9006</v>
      </c>
      <c r="D46">
        <f t="shared" si="11"/>
        <v>9006</v>
      </c>
      <c r="E46">
        <v>4</v>
      </c>
      <c r="F46">
        <v>4</v>
      </c>
      <c r="G46" s="6">
        <v>7</v>
      </c>
      <c r="H46">
        <f t="shared" si="6"/>
        <v>1</v>
      </c>
      <c r="R46">
        <v>14</v>
      </c>
      <c r="T46" t="str">
        <f t="shared" si="3"/>
        <v>o</v>
      </c>
      <c r="X46" t="s">
        <v>706</v>
      </c>
      <c r="AJ46">
        <v>1</v>
      </c>
      <c r="AM46" t="str">
        <f t="shared" si="9"/>
        <v>Possession</v>
      </c>
      <c r="AN46" t="str">
        <f t="shared" si="10"/>
        <v>PuckRetrieval</v>
      </c>
      <c r="AP46" t="str">
        <f t="shared" si="12"/>
        <v>Defensive</v>
      </c>
      <c r="BB46" s="23"/>
      <c r="BD46" s="21"/>
      <c r="BE46" s="21"/>
      <c r="BF46" s="21"/>
      <c r="BG46" s="21"/>
      <c r="BH46" s="21"/>
      <c r="BI46" s="21"/>
    </row>
    <row r="47" spans="1:61" x14ac:dyDescent="0.2">
      <c r="A47">
        <v>24</v>
      </c>
      <c r="B47">
        <v>7</v>
      </c>
      <c r="C47">
        <f t="shared" si="2"/>
        <v>9007</v>
      </c>
      <c r="D47">
        <f t="shared" si="11"/>
        <v>9007</v>
      </c>
      <c r="E47">
        <v>4</v>
      </c>
      <c r="F47">
        <v>4</v>
      </c>
      <c r="G47" s="6">
        <v>7</v>
      </c>
      <c r="H47">
        <f t="shared" si="6"/>
        <v>1</v>
      </c>
      <c r="I47" s="5" t="s">
        <v>621</v>
      </c>
      <c r="J47" s="5" t="s">
        <v>717</v>
      </c>
      <c r="Q47" t="s">
        <v>619</v>
      </c>
      <c r="R47">
        <v>4</v>
      </c>
      <c r="S47">
        <v>1</v>
      </c>
      <c r="T47" t="str">
        <f t="shared" si="3"/>
        <v>e</v>
      </c>
      <c r="U47" t="s">
        <v>257</v>
      </c>
      <c r="V47" t="s">
        <v>191</v>
      </c>
      <c r="W47" t="s">
        <v>89</v>
      </c>
      <c r="Y47" t="s">
        <v>718</v>
      </c>
      <c r="AA47" t="s">
        <v>705</v>
      </c>
      <c r="AF47" t="s">
        <v>635</v>
      </c>
      <c r="AJ47">
        <v>1</v>
      </c>
      <c r="AM47" t="str">
        <f t="shared" si="9"/>
        <v>Zone_Entry_Exit</v>
      </c>
      <c r="AN47" t="str">
        <f t="shared" si="10"/>
        <v>Zone_Entry</v>
      </c>
      <c r="AP47" t="str">
        <f t="shared" si="12"/>
        <v>Offensive</v>
      </c>
      <c r="BB47" s="23"/>
      <c r="BD47" s="21"/>
      <c r="BE47" s="21"/>
      <c r="BF47" s="21"/>
      <c r="BG47" s="21"/>
      <c r="BH47" s="21"/>
      <c r="BI47" s="21"/>
    </row>
    <row r="48" spans="1:61" x14ac:dyDescent="0.2">
      <c r="A48">
        <v>24</v>
      </c>
      <c r="B48">
        <v>7</v>
      </c>
      <c r="C48">
        <f t="shared" si="2"/>
        <v>9007</v>
      </c>
      <c r="D48">
        <f t="shared" si="11"/>
        <v>9007</v>
      </c>
      <c r="E48">
        <v>4</v>
      </c>
      <c r="F48">
        <v>4</v>
      </c>
      <c r="G48" s="6">
        <v>8</v>
      </c>
      <c r="H48">
        <f t="shared" si="6"/>
        <v>1</v>
      </c>
      <c r="R48">
        <v>14</v>
      </c>
      <c r="T48" t="str">
        <f t="shared" si="3"/>
        <v>o</v>
      </c>
      <c r="AJ48">
        <v>1</v>
      </c>
      <c r="AM48" t="str">
        <f t="shared" si="9"/>
        <v>Zone_Entry_Exit</v>
      </c>
      <c r="AN48" t="str">
        <f t="shared" si="10"/>
        <v>Zone_Entry</v>
      </c>
      <c r="AP48" t="str">
        <f t="shared" si="12"/>
        <v>Defensive</v>
      </c>
      <c r="BB48" s="23"/>
      <c r="BD48" s="21"/>
      <c r="BE48" s="21"/>
      <c r="BF48" s="21"/>
      <c r="BG48" s="21"/>
      <c r="BH48" s="21"/>
      <c r="BI48" s="21"/>
    </row>
    <row r="49" spans="1:61" x14ac:dyDescent="0.2">
      <c r="A49">
        <v>25</v>
      </c>
      <c r="B49">
        <v>7</v>
      </c>
      <c r="C49">
        <f t="shared" si="2"/>
        <v>9007</v>
      </c>
      <c r="D49">
        <f t="shared" si="11"/>
        <v>9007</v>
      </c>
      <c r="E49">
        <v>4</v>
      </c>
      <c r="F49">
        <v>4</v>
      </c>
      <c r="G49" s="6">
        <v>8</v>
      </c>
      <c r="H49">
        <f t="shared" si="6"/>
        <v>1</v>
      </c>
      <c r="I49" s="5" t="s">
        <v>621</v>
      </c>
      <c r="J49" s="5" t="s">
        <v>717</v>
      </c>
      <c r="Q49" t="s">
        <v>619</v>
      </c>
      <c r="R49">
        <v>4</v>
      </c>
      <c r="S49">
        <v>1</v>
      </c>
      <c r="T49" t="str">
        <f t="shared" si="3"/>
        <v>e</v>
      </c>
      <c r="U49" t="s">
        <v>10</v>
      </c>
      <c r="V49" t="s">
        <v>190</v>
      </c>
      <c r="W49" t="s">
        <v>387</v>
      </c>
      <c r="AF49" t="s">
        <v>635</v>
      </c>
      <c r="AM49" t="str">
        <f t="shared" si="9"/>
        <v>Turnover</v>
      </c>
      <c r="AN49" t="str">
        <f t="shared" si="10"/>
        <v>Turnover_Giveaway</v>
      </c>
      <c r="AP49" t="str">
        <f t="shared" si="12"/>
        <v>Offensive</v>
      </c>
      <c r="BB49" s="23"/>
      <c r="BD49" s="21"/>
      <c r="BE49" s="21"/>
      <c r="BF49" s="21"/>
      <c r="BG49" s="21"/>
      <c r="BH49" s="21"/>
      <c r="BI49" s="21"/>
    </row>
    <row r="50" spans="1:61" x14ac:dyDescent="0.2">
      <c r="A50">
        <v>25</v>
      </c>
      <c r="B50">
        <v>7</v>
      </c>
      <c r="C50">
        <f t="shared" si="2"/>
        <v>9007</v>
      </c>
      <c r="D50">
        <f t="shared" si="11"/>
        <v>9007</v>
      </c>
      <c r="E50">
        <v>4</v>
      </c>
      <c r="F50">
        <v>4</v>
      </c>
      <c r="G50" s="6">
        <v>8</v>
      </c>
      <c r="H50">
        <f>IF(U50="Intermission",H49+1,H49)</f>
        <v>1</v>
      </c>
      <c r="I50" s="5" t="s">
        <v>621</v>
      </c>
      <c r="J50" s="5" t="s">
        <v>717</v>
      </c>
      <c r="Q50" t="s">
        <v>619</v>
      </c>
      <c r="R50">
        <v>14</v>
      </c>
      <c r="T50" t="str">
        <f t="shared" si="3"/>
        <v>o</v>
      </c>
      <c r="AF50" t="s">
        <v>635</v>
      </c>
      <c r="AM50" t="str">
        <f t="shared" si="9"/>
        <v>Turnover</v>
      </c>
      <c r="AN50" t="str">
        <f t="shared" si="10"/>
        <v>Turnover_Giveaway</v>
      </c>
      <c r="AP50" t="str">
        <f t="shared" si="12"/>
        <v>Defensive</v>
      </c>
      <c r="BB50" s="23"/>
      <c r="BD50" s="21"/>
      <c r="BE50" s="21"/>
      <c r="BF50" s="21"/>
      <c r="BG50" s="21"/>
      <c r="BH50" s="21"/>
      <c r="BI50" s="21"/>
    </row>
    <row r="51" spans="1:61" x14ac:dyDescent="0.2">
      <c r="A51">
        <v>26</v>
      </c>
      <c r="B51">
        <v>7</v>
      </c>
      <c r="C51">
        <f t="shared" si="2"/>
        <v>9007</v>
      </c>
      <c r="D51">
        <f t="shared" si="11"/>
        <v>9007</v>
      </c>
      <c r="E51">
        <v>5</v>
      </c>
      <c r="F51">
        <v>5</v>
      </c>
      <c r="G51" s="6">
        <v>8</v>
      </c>
      <c r="H51">
        <f>IF(U51="Intermission",H50+1,H50)</f>
        <v>1</v>
      </c>
      <c r="I51" s="5" t="s">
        <v>621</v>
      </c>
      <c r="J51" s="5" t="s">
        <v>719</v>
      </c>
      <c r="K51" s="5" t="s">
        <v>621</v>
      </c>
      <c r="L51" s="7" t="s">
        <v>721</v>
      </c>
      <c r="Q51" t="s">
        <v>620</v>
      </c>
      <c r="R51">
        <v>9</v>
      </c>
      <c r="S51">
        <v>1</v>
      </c>
      <c r="T51" t="str">
        <f t="shared" si="3"/>
        <v>e</v>
      </c>
      <c r="U51" t="s">
        <v>15</v>
      </c>
      <c r="V51" t="s">
        <v>697</v>
      </c>
      <c r="X51" t="s">
        <v>706</v>
      </c>
      <c r="Y51" t="s">
        <v>720</v>
      </c>
      <c r="AA51" t="s">
        <v>706</v>
      </c>
      <c r="AF51" t="s">
        <v>623</v>
      </c>
      <c r="AM51" t="str">
        <f t="shared" si="9"/>
        <v>Possession</v>
      </c>
      <c r="AN51" t="str">
        <f t="shared" si="10"/>
        <v>PuckRetrieval</v>
      </c>
      <c r="AP51" t="str">
        <f t="shared" si="12"/>
        <v>Offensive</v>
      </c>
      <c r="BB51" s="23"/>
      <c r="BD51" s="21"/>
      <c r="BE51" s="21"/>
      <c r="BF51" s="21"/>
      <c r="BG51" s="21"/>
      <c r="BH51" s="21"/>
      <c r="BI51" s="21"/>
    </row>
    <row r="52" spans="1:61" x14ac:dyDescent="0.2">
      <c r="A52">
        <v>27</v>
      </c>
      <c r="B52">
        <v>8</v>
      </c>
      <c r="C52">
        <f t="shared" si="2"/>
        <v>9008</v>
      </c>
      <c r="D52">
        <f t="shared" si="11"/>
        <v>9008</v>
      </c>
      <c r="E52">
        <v>5</v>
      </c>
      <c r="F52">
        <v>5</v>
      </c>
      <c r="G52" s="6">
        <v>8</v>
      </c>
      <c r="H52">
        <f t="shared" si="6"/>
        <v>1</v>
      </c>
      <c r="I52" s="5" t="s">
        <v>621</v>
      </c>
      <c r="J52" s="5" t="s">
        <v>721</v>
      </c>
      <c r="Q52" t="s">
        <v>620</v>
      </c>
      <c r="R52">
        <v>9</v>
      </c>
      <c r="S52">
        <v>1</v>
      </c>
      <c r="T52" t="str">
        <f t="shared" si="3"/>
        <v>e</v>
      </c>
      <c r="U52" t="s">
        <v>8</v>
      </c>
      <c r="V52" t="s">
        <v>209</v>
      </c>
      <c r="W52" t="s">
        <v>67</v>
      </c>
      <c r="X52" t="s">
        <v>705</v>
      </c>
      <c r="AF52" t="s">
        <v>623</v>
      </c>
      <c r="AJ52">
        <v>1</v>
      </c>
      <c r="AM52" t="str">
        <f t="shared" si="9"/>
        <v>Pass</v>
      </c>
      <c r="AN52" t="str">
        <f t="shared" si="10"/>
        <v>Pass_Deflected</v>
      </c>
      <c r="AP52" t="str">
        <f t="shared" si="12"/>
        <v>Offensive</v>
      </c>
      <c r="BB52" s="23"/>
      <c r="BD52" s="21"/>
      <c r="BE52" s="21"/>
      <c r="BF52" s="21"/>
      <c r="BG52" s="21"/>
      <c r="BH52" s="21"/>
      <c r="BI52" s="21"/>
    </row>
    <row r="53" spans="1:61" x14ac:dyDescent="0.2">
      <c r="A53">
        <v>27</v>
      </c>
      <c r="B53">
        <v>8</v>
      </c>
      <c r="C53">
        <f t="shared" si="2"/>
        <v>9008</v>
      </c>
      <c r="D53">
        <f t="shared" si="11"/>
        <v>9008</v>
      </c>
      <c r="E53">
        <v>5</v>
      </c>
      <c r="F53">
        <v>5</v>
      </c>
      <c r="G53" s="6">
        <v>8</v>
      </c>
      <c r="H53">
        <f t="shared" si="6"/>
        <v>1</v>
      </c>
      <c r="R53">
        <v>75</v>
      </c>
      <c r="S53">
        <v>1</v>
      </c>
      <c r="T53" t="str">
        <f t="shared" si="3"/>
        <v>e</v>
      </c>
      <c r="X53" t="s">
        <v>705</v>
      </c>
      <c r="AM53" t="str">
        <f t="shared" si="9"/>
        <v>Pass</v>
      </c>
      <c r="AN53" t="str">
        <f t="shared" si="10"/>
        <v>Pass_Deflected</v>
      </c>
      <c r="AP53" t="str">
        <f t="shared" si="12"/>
        <v>Offensive</v>
      </c>
      <c r="BB53" s="23"/>
      <c r="BD53" s="21"/>
      <c r="BE53" s="21"/>
      <c r="BF53" s="21"/>
      <c r="BG53" s="21"/>
      <c r="BH53" s="21"/>
      <c r="BI53" s="21"/>
    </row>
    <row r="54" spans="1:61" x14ac:dyDescent="0.2">
      <c r="A54">
        <v>27</v>
      </c>
      <c r="B54">
        <v>8</v>
      </c>
      <c r="C54">
        <f t="shared" si="2"/>
        <v>9008</v>
      </c>
      <c r="D54">
        <f t="shared" si="11"/>
        <v>9008</v>
      </c>
      <c r="E54">
        <v>5</v>
      </c>
      <c r="F54">
        <v>5</v>
      </c>
      <c r="G54" s="6">
        <v>8</v>
      </c>
      <c r="H54">
        <f t="shared" si="6"/>
        <v>1</v>
      </c>
      <c r="R54">
        <v>77</v>
      </c>
      <c r="T54" t="str">
        <f t="shared" si="3"/>
        <v>o</v>
      </c>
      <c r="X54" t="s">
        <v>705</v>
      </c>
      <c r="Y54" t="s">
        <v>722</v>
      </c>
      <c r="AJ54">
        <v>1</v>
      </c>
      <c r="AM54" t="str">
        <f t="shared" si="9"/>
        <v>Pass</v>
      </c>
      <c r="AN54" t="str">
        <f t="shared" si="10"/>
        <v>Pass_Deflected</v>
      </c>
      <c r="AP54" t="str">
        <f t="shared" si="12"/>
        <v>Defensive</v>
      </c>
      <c r="BB54" s="23"/>
      <c r="BD54" s="21"/>
      <c r="BE54" s="21"/>
      <c r="BF54" s="21"/>
      <c r="BG54" s="21"/>
      <c r="BH54" s="21"/>
      <c r="BI54" s="21"/>
    </row>
    <row r="55" spans="1:61" x14ac:dyDescent="0.2">
      <c r="A55">
        <v>27</v>
      </c>
      <c r="B55">
        <v>8</v>
      </c>
      <c r="C55">
        <f t="shared" si="2"/>
        <v>9008</v>
      </c>
      <c r="D55">
        <f t="shared" si="11"/>
        <v>9008</v>
      </c>
      <c r="E55">
        <v>5</v>
      </c>
      <c r="F55">
        <v>5</v>
      </c>
      <c r="G55" s="6">
        <v>8</v>
      </c>
      <c r="H55">
        <f t="shared" si="6"/>
        <v>1</v>
      </c>
      <c r="R55">
        <v>25</v>
      </c>
      <c r="T55" t="str">
        <f t="shared" si="3"/>
        <v>o</v>
      </c>
      <c r="X55" t="s">
        <v>705</v>
      </c>
      <c r="Y55" t="s">
        <v>723</v>
      </c>
      <c r="AA55" t="s">
        <v>706</v>
      </c>
      <c r="AM55" t="str">
        <f t="shared" si="9"/>
        <v>Pass</v>
      </c>
      <c r="AN55" t="str">
        <f t="shared" si="10"/>
        <v>Pass_Deflected</v>
      </c>
      <c r="AP55" t="str">
        <f t="shared" si="12"/>
        <v>Defensive</v>
      </c>
      <c r="BB55" s="23"/>
      <c r="BD55" s="21"/>
      <c r="BE55" s="21"/>
      <c r="BF55" s="21"/>
      <c r="BG55" s="21"/>
      <c r="BH55" s="21"/>
      <c r="BI55" s="21"/>
    </row>
    <row r="56" spans="1:61" x14ac:dyDescent="0.2">
      <c r="A56">
        <v>28</v>
      </c>
      <c r="B56">
        <v>8</v>
      </c>
      <c r="C56">
        <f t="shared" si="2"/>
        <v>9008</v>
      </c>
      <c r="D56">
        <f t="shared" si="11"/>
        <v>9008</v>
      </c>
      <c r="E56">
        <v>5</v>
      </c>
      <c r="F56">
        <v>5</v>
      </c>
      <c r="G56" s="6">
        <v>9</v>
      </c>
      <c r="H56">
        <f t="shared" si="6"/>
        <v>1</v>
      </c>
      <c r="I56" s="5" t="s">
        <v>621</v>
      </c>
      <c r="J56" s="5" t="s">
        <v>721</v>
      </c>
      <c r="Q56" t="s">
        <v>620</v>
      </c>
      <c r="R56">
        <v>9</v>
      </c>
      <c r="S56">
        <v>1</v>
      </c>
      <c r="T56" t="str">
        <f t="shared" si="3"/>
        <v>e</v>
      </c>
      <c r="U56" t="s">
        <v>257</v>
      </c>
      <c r="V56" t="s">
        <v>201</v>
      </c>
      <c r="W56" t="s">
        <v>409</v>
      </c>
      <c r="AF56" t="s">
        <v>623</v>
      </c>
      <c r="AJ56">
        <v>1</v>
      </c>
      <c r="AM56" t="str">
        <f t="shared" si="9"/>
        <v>Zone_Entry_Exit</v>
      </c>
      <c r="AN56" t="str">
        <f t="shared" si="10"/>
        <v>Zone_Exit</v>
      </c>
      <c r="AP56" t="str">
        <f t="shared" si="12"/>
        <v>Offensive</v>
      </c>
      <c r="BB56" s="23"/>
      <c r="BD56" s="21"/>
      <c r="BE56" s="21"/>
      <c r="BF56" s="21"/>
      <c r="BG56" s="21"/>
      <c r="BH56" s="21"/>
      <c r="BI56" s="21"/>
    </row>
    <row r="57" spans="1:61" x14ac:dyDescent="0.2">
      <c r="A57">
        <v>28</v>
      </c>
      <c r="B57">
        <v>8</v>
      </c>
      <c r="C57">
        <f t="shared" si="2"/>
        <v>9008</v>
      </c>
      <c r="D57">
        <f t="shared" si="11"/>
        <v>9008</v>
      </c>
      <c r="E57">
        <v>5</v>
      </c>
      <c r="F57">
        <v>5</v>
      </c>
      <c r="G57" s="6">
        <v>9</v>
      </c>
      <c r="H57">
        <f t="shared" si="6"/>
        <v>1</v>
      </c>
      <c r="R57">
        <v>75</v>
      </c>
      <c r="S57">
        <v>1</v>
      </c>
      <c r="T57" t="str">
        <f t="shared" si="3"/>
        <v>e</v>
      </c>
      <c r="AM57" t="str">
        <f t="shared" si="9"/>
        <v>Zone_Entry_Exit</v>
      </c>
      <c r="AN57" t="str">
        <f t="shared" si="10"/>
        <v>Zone_Exit</v>
      </c>
      <c r="AP57" t="str">
        <f t="shared" si="12"/>
        <v>Offensive</v>
      </c>
      <c r="BB57" s="23"/>
      <c r="BD57" s="21"/>
      <c r="BE57" s="21"/>
      <c r="BF57" s="21"/>
      <c r="BG57" s="21"/>
      <c r="BH57" s="21"/>
      <c r="BI57" s="21"/>
    </row>
    <row r="58" spans="1:61" x14ac:dyDescent="0.2">
      <c r="A58">
        <v>28</v>
      </c>
      <c r="B58">
        <v>8</v>
      </c>
      <c r="C58">
        <f t="shared" si="2"/>
        <v>9008</v>
      </c>
      <c r="D58">
        <f t="shared" si="11"/>
        <v>9008</v>
      </c>
      <c r="E58">
        <v>5</v>
      </c>
      <c r="F58">
        <v>5</v>
      </c>
      <c r="G58" s="6">
        <v>9</v>
      </c>
      <c r="H58">
        <f t="shared" si="6"/>
        <v>1</v>
      </c>
      <c r="R58">
        <v>77</v>
      </c>
      <c r="T58" t="str">
        <f t="shared" si="3"/>
        <v>o</v>
      </c>
      <c r="Y58" t="s">
        <v>722</v>
      </c>
      <c r="AJ58">
        <v>1</v>
      </c>
      <c r="AM58" t="str">
        <f t="shared" si="9"/>
        <v>Zone_Entry_Exit</v>
      </c>
      <c r="AN58" t="str">
        <f t="shared" si="10"/>
        <v>Zone_Exit</v>
      </c>
      <c r="AP58" t="str">
        <f t="shared" si="12"/>
        <v>Defensive</v>
      </c>
      <c r="BB58" s="23"/>
      <c r="BD58" s="21"/>
      <c r="BE58" s="21"/>
      <c r="BF58" s="21"/>
      <c r="BG58" s="21"/>
      <c r="BH58" s="21"/>
      <c r="BI58" s="21"/>
    </row>
    <row r="59" spans="1:61" x14ac:dyDescent="0.2">
      <c r="A59">
        <v>28</v>
      </c>
      <c r="B59">
        <v>8</v>
      </c>
      <c r="C59">
        <f t="shared" si="2"/>
        <v>9008</v>
      </c>
      <c r="D59">
        <f t="shared" si="11"/>
        <v>9008</v>
      </c>
      <c r="E59">
        <v>5</v>
      </c>
      <c r="F59">
        <v>5</v>
      </c>
      <c r="G59" s="6">
        <v>9</v>
      </c>
      <c r="H59">
        <f t="shared" si="6"/>
        <v>1</v>
      </c>
      <c r="R59">
        <v>25</v>
      </c>
      <c r="T59" t="str">
        <f t="shared" si="3"/>
        <v>o</v>
      </c>
      <c r="Y59" t="s">
        <v>723</v>
      </c>
      <c r="AA59" t="s">
        <v>706</v>
      </c>
      <c r="AM59" t="str">
        <f t="shared" si="9"/>
        <v>Zone_Entry_Exit</v>
      </c>
      <c r="AN59" t="str">
        <f t="shared" si="10"/>
        <v>Zone_Exit</v>
      </c>
      <c r="AP59" t="str">
        <f t="shared" si="12"/>
        <v>Defensive</v>
      </c>
      <c r="BB59" s="23"/>
      <c r="BD59" s="21"/>
      <c r="BE59" s="21"/>
      <c r="BF59" s="21"/>
      <c r="BG59" s="21"/>
      <c r="BH59" s="21"/>
      <c r="BI59" s="21"/>
    </row>
    <row r="60" spans="1:61" x14ac:dyDescent="0.2">
      <c r="A60">
        <v>29</v>
      </c>
      <c r="B60">
        <v>8</v>
      </c>
      <c r="C60">
        <f t="shared" si="2"/>
        <v>9008</v>
      </c>
      <c r="D60">
        <f t="shared" si="11"/>
        <v>9008</v>
      </c>
      <c r="E60">
        <v>5</v>
      </c>
      <c r="F60">
        <v>5</v>
      </c>
      <c r="G60" s="6">
        <v>9</v>
      </c>
      <c r="H60">
        <f t="shared" si="6"/>
        <v>1</v>
      </c>
      <c r="I60" s="5" t="s">
        <v>621</v>
      </c>
      <c r="J60" s="5" t="s">
        <v>721</v>
      </c>
      <c r="Q60" t="s">
        <v>620</v>
      </c>
      <c r="R60">
        <v>9</v>
      </c>
      <c r="S60">
        <v>1</v>
      </c>
      <c r="T60" t="str">
        <f t="shared" si="3"/>
        <v>e</v>
      </c>
      <c r="U60" t="s">
        <v>10</v>
      </c>
      <c r="V60" t="s">
        <v>190</v>
      </c>
      <c r="W60" t="s">
        <v>75</v>
      </c>
      <c r="AF60" t="s">
        <v>623</v>
      </c>
      <c r="AM60" t="str">
        <f t="shared" si="9"/>
        <v>Turnover</v>
      </c>
      <c r="AN60" t="str">
        <f t="shared" si="10"/>
        <v>Turnover_Giveaway</v>
      </c>
      <c r="AP60" t="str">
        <f t="shared" si="12"/>
        <v>Offensive</v>
      </c>
      <c r="BB60" s="23"/>
      <c r="BD60" s="21"/>
      <c r="BE60" s="21"/>
      <c r="BF60" s="21"/>
      <c r="BG60" s="21"/>
      <c r="BH60" s="21"/>
      <c r="BI60" s="21"/>
    </row>
    <row r="61" spans="1:61" x14ac:dyDescent="0.2">
      <c r="A61">
        <v>29</v>
      </c>
      <c r="B61">
        <v>8</v>
      </c>
      <c r="C61">
        <f t="shared" si="2"/>
        <v>9008</v>
      </c>
      <c r="D61">
        <f t="shared" si="11"/>
        <v>9008</v>
      </c>
      <c r="E61">
        <v>5</v>
      </c>
      <c r="F61">
        <v>5</v>
      </c>
      <c r="G61" s="6">
        <v>9</v>
      </c>
      <c r="H61">
        <f t="shared" si="6"/>
        <v>1</v>
      </c>
      <c r="R61">
        <v>25</v>
      </c>
      <c r="T61" t="str">
        <f t="shared" si="3"/>
        <v>o</v>
      </c>
      <c r="Y61" t="s">
        <v>723</v>
      </c>
      <c r="AA61" t="s">
        <v>706</v>
      </c>
      <c r="AM61" t="str">
        <f t="shared" si="9"/>
        <v>Turnover</v>
      </c>
      <c r="AN61" t="str">
        <f t="shared" si="10"/>
        <v>Turnover_Giveaway</v>
      </c>
      <c r="AP61" t="str">
        <f t="shared" si="12"/>
        <v>Defensive</v>
      </c>
      <c r="BB61" s="23"/>
      <c r="BD61" s="21"/>
      <c r="BE61" s="21"/>
      <c r="BF61" s="21"/>
      <c r="BG61" s="21"/>
      <c r="BH61" s="21"/>
      <c r="BI61" s="21"/>
    </row>
    <row r="62" spans="1:61" x14ac:dyDescent="0.2">
      <c r="A62">
        <v>30</v>
      </c>
      <c r="B62">
        <v>8</v>
      </c>
      <c r="C62">
        <f t="shared" si="2"/>
        <v>9008</v>
      </c>
      <c r="D62">
        <f t="shared" si="11"/>
        <v>9008</v>
      </c>
      <c r="E62">
        <v>5</v>
      </c>
      <c r="F62">
        <v>6</v>
      </c>
      <c r="G62" s="6">
        <v>10</v>
      </c>
      <c r="H62">
        <f t="shared" si="6"/>
        <v>1</v>
      </c>
      <c r="I62" s="5" t="s">
        <v>621</v>
      </c>
      <c r="J62" s="5" t="s">
        <v>724</v>
      </c>
      <c r="K62" s="5" t="s">
        <v>621</v>
      </c>
      <c r="L62" s="7" t="s">
        <v>726</v>
      </c>
      <c r="Q62" t="s">
        <v>619</v>
      </c>
      <c r="R62">
        <v>25</v>
      </c>
      <c r="S62">
        <v>1</v>
      </c>
      <c r="T62" t="str">
        <f t="shared" si="3"/>
        <v>e</v>
      </c>
      <c r="U62" t="s">
        <v>15</v>
      </c>
      <c r="V62" t="s">
        <v>697</v>
      </c>
      <c r="X62" t="s">
        <v>706</v>
      </c>
      <c r="Y62" t="s">
        <v>725</v>
      </c>
      <c r="AA62" t="s">
        <v>706</v>
      </c>
      <c r="AF62" t="s">
        <v>635</v>
      </c>
      <c r="AM62" t="str">
        <f t="shared" si="9"/>
        <v>Possession</v>
      </c>
      <c r="AN62" t="str">
        <f t="shared" si="10"/>
        <v>PuckRetrieval</v>
      </c>
      <c r="AP62" t="str">
        <f t="shared" si="12"/>
        <v>Offensive</v>
      </c>
      <c r="BB62" s="23"/>
      <c r="BD62" s="21"/>
      <c r="BE62" s="21"/>
      <c r="BF62" s="21"/>
      <c r="BG62" s="21"/>
      <c r="BH62" s="21"/>
      <c r="BI62" s="21"/>
    </row>
    <row r="63" spans="1:61" x14ac:dyDescent="0.2">
      <c r="A63">
        <v>31</v>
      </c>
      <c r="B63" t="s">
        <v>887</v>
      </c>
      <c r="C63" t="str">
        <f t="shared" si="2"/>
        <v/>
      </c>
      <c r="D63" t="str">
        <f t="shared" si="11"/>
        <v/>
      </c>
      <c r="E63">
        <v>6</v>
      </c>
      <c r="F63">
        <v>6</v>
      </c>
      <c r="G63" s="6">
        <v>11</v>
      </c>
      <c r="H63">
        <f t="shared" si="6"/>
        <v>1</v>
      </c>
      <c r="I63" s="5" t="s">
        <v>621</v>
      </c>
      <c r="J63" s="5" t="s">
        <v>726</v>
      </c>
      <c r="K63" s="5" t="s">
        <v>621</v>
      </c>
      <c r="L63" s="7" t="s">
        <v>727</v>
      </c>
      <c r="Q63" t="s">
        <v>619</v>
      </c>
      <c r="R63">
        <v>25</v>
      </c>
      <c r="S63">
        <v>1</v>
      </c>
      <c r="T63" t="str">
        <f t="shared" si="3"/>
        <v>e</v>
      </c>
      <c r="U63" t="s">
        <v>257</v>
      </c>
      <c r="V63" t="s">
        <v>191</v>
      </c>
      <c r="W63" t="s">
        <v>88</v>
      </c>
      <c r="X63" t="s">
        <v>706</v>
      </c>
      <c r="Y63" t="s">
        <v>728</v>
      </c>
      <c r="AF63" t="s">
        <v>401</v>
      </c>
      <c r="AJ63">
        <v>1</v>
      </c>
      <c r="AM63" t="str">
        <f t="shared" si="9"/>
        <v>Zone_Entry_Exit</v>
      </c>
      <c r="AN63" t="str">
        <f t="shared" si="10"/>
        <v>Zone_Entry</v>
      </c>
      <c r="AP63" t="str">
        <f t="shared" si="12"/>
        <v>Offensive</v>
      </c>
      <c r="BB63" s="23"/>
      <c r="BD63" s="21"/>
      <c r="BE63" s="21"/>
      <c r="BF63" s="21"/>
      <c r="BG63" s="21"/>
      <c r="BH63" s="21"/>
      <c r="BI63" s="21"/>
    </row>
    <row r="64" spans="1:61" x14ac:dyDescent="0.2">
      <c r="A64">
        <v>31</v>
      </c>
      <c r="B64" t="s">
        <v>887</v>
      </c>
      <c r="C64" t="str">
        <f t="shared" si="2"/>
        <v/>
      </c>
      <c r="D64" t="str">
        <f t="shared" si="11"/>
        <v/>
      </c>
      <c r="E64">
        <v>6</v>
      </c>
      <c r="F64">
        <v>6</v>
      </c>
      <c r="G64" s="6">
        <v>11</v>
      </c>
      <c r="H64">
        <f t="shared" si="6"/>
        <v>1</v>
      </c>
      <c r="R64">
        <v>77</v>
      </c>
      <c r="S64">
        <v>1</v>
      </c>
      <c r="T64" t="str">
        <f t="shared" si="3"/>
        <v>e</v>
      </c>
      <c r="X64" t="s">
        <v>706</v>
      </c>
      <c r="AM64" t="str">
        <f t="shared" si="9"/>
        <v>Zone_Entry_Exit</v>
      </c>
      <c r="AN64" t="str">
        <f t="shared" si="10"/>
        <v>Zone_Entry</v>
      </c>
      <c r="AP64" t="str">
        <f t="shared" si="12"/>
        <v>Offensive</v>
      </c>
      <c r="BB64" s="23"/>
      <c r="BD64" s="21"/>
      <c r="BE64" s="21"/>
      <c r="BF64" s="21"/>
      <c r="BG64" s="21"/>
      <c r="BH64" s="21"/>
      <c r="BI64" s="21"/>
    </row>
    <row r="65" spans="1:61" x14ac:dyDescent="0.2">
      <c r="A65">
        <v>31</v>
      </c>
      <c r="B65" t="s">
        <v>887</v>
      </c>
      <c r="C65" t="str">
        <f t="shared" si="2"/>
        <v/>
      </c>
      <c r="D65" t="str">
        <f t="shared" si="11"/>
        <v/>
      </c>
      <c r="E65">
        <v>6</v>
      </c>
      <c r="F65">
        <v>6</v>
      </c>
      <c r="G65" s="6">
        <v>11</v>
      </c>
      <c r="H65">
        <f t="shared" si="6"/>
        <v>1</v>
      </c>
      <c r="R65">
        <v>13</v>
      </c>
      <c r="S65">
        <v>1</v>
      </c>
      <c r="T65" t="str">
        <f t="shared" si="3"/>
        <v>e</v>
      </c>
      <c r="X65" t="s">
        <v>706</v>
      </c>
      <c r="AM65" t="str">
        <f t="shared" si="9"/>
        <v>Zone_Entry_Exit</v>
      </c>
      <c r="AN65" t="str">
        <f t="shared" si="10"/>
        <v>Zone_Entry</v>
      </c>
      <c r="AP65" t="str">
        <f t="shared" si="12"/>
        <v>Offensive</v>
      </c>
      <c r="BB65" s="23"/>
      <c r="BD65" s="21"/>
      <c r="BE65" s="21"/>
      <c r="BF65" s="21"/>
      <c r="BG65" s="21"/>
      <c r="BH65" s="21"/>
      <c r="BI65" s="21"/>
    </row>
    <row r="66" spans="1:61" x14ac:dyDescent="0.2">
      <c r="A66">
        <v>31</v>
      </c>
      <c r="B66" t="s">
        <v>887</v>
      </c>
      <c r="C66" t="str">
        <f t="shared" si="2"/>
        <v/>
      </c>
      <c r="D66" t="str">
        <f t="shared" si="11"/>
        <v/>
      </c>
      <c r="E66">
        <v>6</v>
      </c>
      <c r="F66">
        <v>6</v>
      </c>
      <c r="G66" s="6">
        <v>11</v>
      </c>
      <c r="H66">
        <f t="shared" si="6"/>
        <v>1</v>
      </c>
      <c r="R66">
        <v>68</v>
      </c>
      <c r="S66">
        <v>1</v>
      </c>
      <c r="T66" t="str">
        <f t="shared" si="3"/>
        <v>e</v>
      </c>
      <c r="X66" t="s">
        <v>706</v>
      </c>
      <c r="AM66" t="str">
        <f t="shared" si="9"/>
        <v>Zone_Entry_Exit</v>
      </c>
      <c r="AN66" t="str">
        <f t="shared" si="10"/>
        <v>Zone_Entry</v>
      </c>
      <c r="AP66" t="str">
        <f t="shared" si="12"/>
        <v>Offensive</v>
      </c>
      <c r="BB66" s="23"/>
      <c r="BD66" s="21"/>
      <c r="BE66" s="21"/>
      <c r="BF66" s="21"/>
      <c r="BG66" s="21"/>
      <c r="BH66" s="21"/>
      <c r="BI66" s="21"/>
    </row>
    <row r="67" spans="1:61" x14ac:dyDescent="0.2">
      <c r="A67">
        <v>31</v>
      </c>
      <c r="B67" t="s">
        <v>887</v>
      </c>
      <c r="C67" t="str">
        <f t="shared" ref="C67:C130" si="13">IF(B67&lt;&gt;"",9000+B67,"")</f>
        <v/>
      </c>
      <c r="D67" t="str">
        <f t="shared" si="11"/>
        <v/>
      </c>
      <c r="E67">
        <v>6</v>
      </c>
      <c r="F67">
        <v>6</v>
      </c>
      <c r="G67" s="6">
        <v>11</v>
      </c>
      <c r="H67">
        <f t="shared" si="6"/>
        <v>1</v>
      </c>
      <c r="R67">
        <v>91</v>
      </c>
      <c r="T67" t="str">
        <f t="shared" ref="T67:T130" si="14">IF(S67="x","",IF(S67=1,"e","o"))</f>
        <v>o</v>
      </c>
      <c r="X67" t="s">
        <v>706</v>
      </c>
      <c r="Y67" t="s">
        <v>729</v>
      </c>
      <c r="Z67" t="s">
        <v>714</v>
      </c>
      <c r="AA67" t="s">
        <v>706</v>
      </c>
      <c r="AJ67">
        <v>1</v>
      </c>
      <c r="AM67" t="str">
        <f t="shared" si="9"/>
        <v>Zone_Entry_Exit</v>
      </c>
      <c r="AN67" t="str">
        <f t="shared" si="10"/>
        <v>Zone_Entry</v>
      </c>
      <c r="AP67" t="str">
        <f t="shared" si="12"/>
        <v>Defensive</v>
      </c>
      <c r="BB67" s="23"/>
      <c r="BD67" s="21"/>
      <c r="BE67" s="21"/>
      <c r="BF67" s="21"/>
      <c r="BG67" s="21"/>
      <c r="BH67" s="21"/>
      <c r="BI67" s="21"/>
    </row>
    <row r="68" spans="1:61" x14ac:dyDescent="0.2">
      <c r="A68">
        <v>31</v>
      </c>
      <c r="B68" t="s">
        <v>887</v>
      </c>
      <c r="C68" t="str">
        <f t="shared" si="13"/>
        <v/>
      </c>
      <c r="D68" t="str">
        <f t="shared" si="11"/>
        <v/>
      </c>
      <c r="E68">
        <v>6</v>
      </c>
      <c r="F68">
        <v>6</v>
      </c>
      <c r="G68" s="6">
        <v>11</v>
      </c>
      <c r="H68">
        <f t="shared" ref="H68:H131" si="15">IF(U68="Intermission",H67+1,H67)</f>
        <v>1</v>
      </c>
      <c r="R68">
        <v>9</v>
      </c>
      <c r="T68" t="str">
        <f t="shared" si="14"/>
        <v>o</v>
      </c>
      <c r="X68" t="s">
        <v>706</v>
      </c>
      <c r="AM68" t="str">
        <f t="shared" si="9"/>
        <v>Zone_Entry_Exit</v>
      </c>
      <c r="AN68" t="str">
        <f t="shared" si="10"/>
        <v>Zone_Entry</v>
      </c>
      <c r="AP68" t="str">
        <f t="shared" si="12"/>
        <v>Defensive</v>
      </c>
      <c r="BB68" s="23"/>
      <c r="BD68" s="21"/>
      <c r="BE68" s="21"/>
      <c r="BF68" s="21"/>
      <c r="BG68" s="21"/>
      <c r="BH68" s="21"/>
      <c r="BI68" s="21"/>
    </row>
    <row r="69" spans="1:61" x14ac:dyDescent="0.2">
      <c r="A69">
        <v>31</v>
      </c>
      <c r="B69" t="s">
        <v>887</v>
      </c>
      <c r="C69" t="str">
        <f t="shared" si="13"/>
        <v/>
      </c>
      <c r="D69" t="str">
        <f t="shared" si="11"/>
        <v/>
      </c>
      <c r="E69">
        <v>6</v>
      </c>
      <c r="F69">
        <v>6</v>
      </c>
      <c r="G69" s="6">
        <v>11</v>
      </c>
      <c r="H69">
        <f t="shared" si="15"/>
        <v>1</v>
      </c>
      <c r="R69">
        <v>14</v>
      </c>
      <c r="T69" t="str">
        <f t="shared" si="14"/>
        <v>o</v>
      </c>
      <c r="AM69" t="str">
        <f t="shared" si="9"/>
        <v>Zone_Entry_Exit</v>
      </c>
      <c r="AN69" t="str">
        <f t="shared" si="10"/>
        <v>Zone_Entry</v>
      </c>
      <c r="AP69" t="str">
        <f t="shared" si="12"/>
        <v>Defensive</v>
      </c>
      <c r="BB69" s="23"/>
      <c r="BD69" s="21"/>
      <c r="BE69" s="21"/>
      <c r="BF69" s="21"/>
      <c r="BG69" s="21"/>
      <c r="BH69" s="21"/>
      <c r="BI69" s="21"/>
    </row>
    <row r="70" spans="1:61" x14ac:dyDescent="0.2">
      <c r="A70">
        <v>32</v>
      </c>
      <c r="B70" t="s">
        <v>887</v>
      </c>
      <c r="C70" t="str">
        <f t="shared" si="13"/>
        <v/>
      </c>
      <c r="D70" t="str">
        <f t="shared" si="11"/>
        <v/>
      </c>
      <c r="E70">
        <v>6</v>
      </c>
      <c r="F70">
        <v>7</v>
      </c>
      <c r="G70" s="6">
        <v>11</v>
      </c>
      <c r="H70">
        <f t="shared" si="15"/>
        <v>1</v>
      </c>
      <c r="I70" s="5" t="s">
        <v>621</v>
      </c>
      <c r="J70" s="5" t="s">
        <v>727</v>
      </c>
      <c r="Q70" t="s">
        <v>620</v>
      </c>
      <c r="R70">
        <v>91</v>
      </c>
      <c r="S70">
        <v>1</v>
      </c>
      <c r="T70" t="str">
        <f t="shared" si="14"/>
        <v>e</v>
      </c>
      <c r="U70" t="s">
        <v>10</v>
      </c>
      <c r="V70" t="s">
        <v>200</v>
      </c>
      <c r="W70" t="s">
        <v>82</v>
      </c>
      <c r="X70" t="s">
        <v>706</v>
      </c>
      <c r="Y70" t="s">
        <v>714</v>
      </c>
      <c r="AF70" t="s">
        <v>623</v>
      </c>
      <c r="AJ70">
        <v>1</v>
      </c>
      <c r="AM70" t="str">
        <f t="shared" si="9"/>
        <v>Turnover</v>
      </c>
      <c r="AN70" t="str">
        <f t="shared" si="10"/>
        <v>Turnover_Takeaway</v>
      </c>
      <c r="AP70" t="str">
        <f t="shared" si="12"/>
        <v>Defensive</v>
      </c>
      <c r="BB70" s="23"/>
      <c r="BD70" s="21"/>
      <c r="BE70" s="21"/>
      <c r="BF70" s="21"/>
      <c r="BG70" s="21"/>
      <c r="BH70" s="21"/>
      <c r="BI70" s="21"/>
    </row>
    <row r="71" spans="1:61" x14ac:dyDescent="0.2">
      <c r="A71">
        <v>32</v>
      </c>
      <c r="B71" t="s">
        <v>887</v>
      </c>
      <c r="C71" t="str">
        <f t="shared" si="13"/>
        <v/>
      </c>
      <c r="D71" t="str">
        <f t="shared" si="11"/>
        <v/>
      </c>
      <c r="E71">
        <v>6</v>
      </c>
      <c r="F71">
        <v>7</v>
      </c>
      <c r="G71" s="6">
        <v>11</v>
      </c>
      <c r="H71">
        <f t="shared" si="15"/>
        <v>1</v>
      </c>
      <c r="R71">
        <v>25</v>
      </c>
      <c r="T71" t="str">
        <f t="shared" si="14"/>
        <v>o</v>
      </c>
      <c r="X71" t="s">
        <v>706</v>
      </c>
      <c r="AJ71">
        <v>1</v>
      </c>
      <c r="AM71" t="str">
        <f t="shared" ref="AM71:AM134" si="16">IF(U71&lt;&gt;"",U71,IF($A71=$A70,AM70,""))</f>
        <v>Turnover</v>
      </c>
      <c r="AN71" t="str">
        <f t="shared" ref="AN71:AN134" si="17">IF(V71&lt;&gt;"",V71,IF($A71=$A70,AN70,""))</f>
        <v>Turnover_Takeaway</v>
      </c>
      <c r="AP71" t="str">
        <f t="shared" ref="AP71:AP133" si="18">IF(AND(T71="e",OR(AM71="Save",AN71="Turnover_Takeaway",AN71="Play_Defensive")),"Defensive",IF(AND(T71="o",OR(AM71="Save",AN71="Turnover_Takeaway",AN71="Play_Defensive")),"Offensive",IF(OR(AM71="Deadice",AM71="Stoppage",AM71="Intermission"),"",IF(T71="e","Offensive",IF(T71="o","Defensive","")))))</f>
        <v>Offensive</v>
      </c>
      <c r="BB71" s="23"/>
      <c r="BD71" s="21"/>
      <c r="BE71" s="21"/>
      <c r="BF71" s="21"/>
      <c r="BG71" s="21"/>
      <c r="BH71" s="21"/>
      <c r="BI71" s="21"/>
    </row>
    <row r="72" spans="1:61" x14ac:dyDescent="0.2">
      <c r="A72">
        <v>33</v>
      </c>
      <c r="B72" t="s">
        <v>887</v>
      </c>
      <c r="C72" t="str">
        <f t="shared" si="13"/>
        <v/>
      </c>
      <c r="D72" t="str">
        <f t="shared" ref="D72:D135" si="19">IF(C72&lt;&gt;"",C72,B72)</f>
        <v/>
      </c>
      <c r="E72">
        <v>7</v>
      </c>
      <c r="F72">
        <v>7</v>
      </c>
      <c r="G72" s="6">
        <v>11</v>
      </c>
      <c r="H72">
        <f t="shared" si="15"/>
        <v>1</v>
      </c>
      <c r="I72" s="5" t="s">
        <v>621</v>
      </c>
      <c r="J72" s="5" t="s">
        <v>727</v>
      </c>
      <c r="Q72" t="s">
        <v>620</v>
      </c>
      <c r="R72">
        <v>91</v>
      </c>
      <c r="S72">
        <v>1</v>
      </c>
      <c r="T72" t="str">
        <f t="shared" si="14"/>
        <v>e</v>
      </c>
      <c r="U72" t="s">
        <v>8</v>
      </c>
      <c r="V72" t="s">
        <v>189</v>
      </c>
      <c r="W72" t="s">
        <v>71</v>
      </c>
      <c r="X72" t="s">
        <v>706</v>
      </c>
      <c r="AF72" t="s">
        <v>623</v>
      </c>
      <c r="AJ72">
        <v>1</v>
      </c>
      <c r="AM72" t="str">
        <f t="shared" si="16"/>
        <v>Pass</v>
      </c>
      <c r="AN72" t="str">
        <f t="shared" si="17"/>
        <v>Pass_Completed</v>
      </c>
      <c r="AP72" t="str">
        <f t="shared" si="18"/>
        <v>Offensive</v>
      </c>
      <c r="BB72" s="23"/>
      <c r="BD72" s="21"/>
      <c r="BE72" s="21"/>
      <c r="BF72" s="21"/>
      <c r="BG72" s="21"/>
      <c r="BH72" s="21"/>
      <c r="BI72" s="21"/>
    </row>
    <row r="73" spans="1:61" x14ac:dyDescent="0.2">
      <c r="A73">
        <v>33</v>
      </c>
      <c r="B73" t="s">
        <v>887</v>
      </c>
      <c r="C73" t="str">
        <f t="shared" si="13"/>
        <v/>
      </c>
      <c r="D73" t="str">
        <f t="shared" si="19"/>
        <v/>
      </c>
      <c r="E73">
        <v>7</v>
      </c>
      <c r="F73">
        <v>7</v>
      </c>
      <c r="G73" s="6">
        <v>11</v>
      </c>
      <c r="H73">
        <f t="shared" si="15"/>
        <v>1</v>
      </c>
      <c r="R73">
        <v>70</v>
      </c>
      <c r="S73">
        <v>1</v>
      </c>
      <c r="T73" t="str">
        <f t="shared" si="14"/>
        <v>e</v>
      </c>
      <c r="X73" t="s">
        <v>706</v>
      </c>
      <c r="AJ73">
        <v>1</v>
      </c>
      <c r="AM73" t="str">
        <f t="shared" si="16"/>
        <v>Pass</v>
      </c>
      <c r="AN73" t="str">
        <f t="shared" si="17"/>
        <v>Pass_Completed</v>
      </c>
      <c r="AP73" t="str">
        <f t="shared" si="18"/>
        <v>Offensive</v>
      </c>
      <c r="BB73" s="23"/>
      <c r="BD73" s="21"/>
      <c r="BE73" s="21"/>
      <c r="BF73" s="21"/>
      <c r="BG73" s="21"/>
      <c r="BH73" s="21"/>
      <c r="BI73" s="21"/>
    </row>
    <row r="74" spans="1:61" x14ac:dyDescent="0.2">
      <c r="A74">
        <v>33</v>
      </c>
      <c r="B74" t="s">
        <v>887</v>
      </c>
      <c r="C74" t="str">
        <f t="shared" si="13"/>
        <v/>
      </c>
      <c r="D74" t="str">
        <f t="shared" si="19"/>
        <v/>
      </c>
      <c r="E74">
        <v>7</v>
      </c>
      <c r="F74">
        <v>7</v>
      </c>
      <c r="G74" s="6">
        <v>11</v>
      </c>
      <c r="H74">
        <f t="shared" si="15"/>
        <v>1</v>
      </c>
      <c r="R74">
        <v>25</v>
      </c>
      <c r="T74" t="str">
        <f t="shared" si="14"/>
        <v>o</v>
      </c>
      <c r="X74" t="s">
        <v>706</v>
      </c>
      <c r="AM74" t="str">
        <f t="shared" si="16"/>
        <v>Pass</v>
      </c>
      <c r="AN74" t="str">
        <f t="shared" si="17"/>
        <v>Pass_Completed</v>
      </c>
      <c r="AP74" t="str">
        <f t="shared" si="18"/>
        <v>Defensive</v>
      </c>
      <c r="BB74" s="23"/>
      <c r="BD74" s="21"/>
      <c r="BE74" s="21"/>
      <c r="BF74" s="21"/>
      <c r="BG74" s="21"/>
      <c r="BH74" s="21"/>
      <c r="BI74" s="21"/>
    </row>
    <row r="75" spans="1:61" x14ac:dyDescent="0.2">
      <c r="A75">
        <v>34</v>
      </c>
      <c r="B75" t="s">
        <v>887</v>
      </c>
      <c r="C75" t="str">
        <f t="shared" si="13"/>
        <v/>
      </c>
      <c r="D75" t="str">
        <f t="shared" si="19"/>
        <v/>
      </c>
      <c r="E75">
        <v>7</v>
      </c>
      <c r="F75">
        <v>7</v>
      </c>
      <c r="G75" s="6">
        <v>11</v>
      </c>
      <c r="H75">
        <f t="shared" si="15"/>
        <v>1</v>
      </c>
      <c r="I75" s="5" t="s">
        <v>621</v>
      </c>
      <c r="J75" s="5" t="s">
        <v>730</v>
      </c>
      <c r="K75" s="5" t="s">
        <v>621</v>
      </c>
      <c r="L75" s="7" t="s">
        <v>731</v>
      </c>
      <c r="Q75" t="s">
        <v>620</v>
      </c>
      <c r="R75">
        <v>70</v>
      </c>
      <c r="S75">
        <v>1</v>
      </c>
      <c r="T75" t="str">
        <f t="shared" si="14"/>
        <v>e</v>
      </c>
      <c r="U75" t="s">
        <v>15</v>
      </c>
      <c r="V75" t="s">
        <v>684</v>
      </c>
      <c r="AF75" t="s">
        <v>623</v>
      </c>
      <c r="AM75" t="str">
        <f t="shared" si="16"/>
        <v>Possession</v>
      </c>
      <c r="AN75" t="str">
        <f t="shared" si="17"/>
        <v>Regroup</v>
      </c>
      <c r="AP75" t="str">
        <f t="shared" si="18"/>
        <v>Offensive</v>
      </c>
      <c r="BB75" s="23"/>
      <c r="BD75" s="21"/>
      <c r="BE75" s="21"/>
      <c r="BF75" s="21"/>
      <c r="BG75" s="21"/>
      <c r="BH75" s="21"/>
      <c r="BI75" s="21"/>
    </row>
    <row r="76" spans="1:61" x14ac:dyDescent="0.2">
      <c r="A76">
        <v>35</v>
      </c>
      <c r="B76">
        <v>9</v>
      </c>
      <c r="C76">
        <f t="shared" si="13"/>
        <v>9009</v>
      </c>
      <c r="D76">
        <f t="shared" si="19"/>
        <v>9009</v>
      </c>
      <c r="E76">
        <v>7</v>
      </c>
      <c r="F76">
        <v>7</v>
      </c>
      <c r="G76" s="6">
        <v>12</v>
      </c>
      <c r="H76">
        <f t="shared" si="15"/>
        <v>1</v>
      </c>
      <c r="I76" s="5" t="s">
        <v>621</v>
      </c>
      <c r="J76" s="5" t="s">
        <v>731</v>
      </c>
      <c r="Q76" t="s">
        <v>620</v>
      </c>
      <c r="R76">
        <v>70</v>
      </c>
      <c r="S76">
        <v>1</v>
      </c>
      <c r="T76" t="str">
        <f t="shared" si="14"/>
        <v>e</v>
      </c>
      <c r="U76" t="s">
        <v>257</v>
      </c>
      <c r="V76" t="s">
        <v>201</v>
      </c>
      <c r="W76" t="s">
        <v>92</v>
      </c>
      <c r="AF76" t="s">
        <v>623</v>
      </c>
      <c r="AM76" t="str">
        <f t="shared" si="16"/>
        <v>Zone_Entry_Exit</v>
      </c>
      <c r="AN76" t="str">
        <f t="shared" si="17"/>
        <v>Zone_Exit</v>
      </c>
      <c r="AP76" t="str">
        <f t="shared" si="18"/>
        <v>Offensive</v>
      </c>
      <c r="BB76" s="23"/>
      <c r="BD76" s="21"/>
      <c r="BE76" s="21"/>
      <c r="BF76" s="21"/>
      <c r="BG76" s="21"/>
      <c r="BH76" s="21"/>
      <c r="BI76" s="21"/>
    </row>
    <row r="77" spans="1:61" x14ac:dyDescent="0.2">
      <c r="A77">
        <v>36</v>
      </c>
      <c r="B77">
        <v>9</v>
      </c>
      <c r="C77">
        <f t="shared" si="13"/>
        <v>9009</v>
      </c>
      <c r="D77">
        <f t="shared" si="19"/>
        <v>9009</v>
      </c>
      <c r="E77">
        <v>7</v>
      </c>
      <c r="F77">
        <v>7</v>
      </c>
      <c r="G77" s="6">
        <v>13</v>
      </c>
      <c r="H77">
        <f t="shared" si="15"/>
        <v>1</v>
      </c>
      <c r="I77" s="5" t="s">
        <v>621</v>
      </c>
      <c r="J77" s="5" t="s">
        <v>731</v>
      </c>
      <c r="Q77" t="s">
        <v>620</v>
      </c>
      <c r="R77">
        <v>70</v>
      </c>
      <c r="S77">
        <v>1</v>
      </c>
      <c r="T77" t="str">
        <f t="shared" si="14"/>
        <v>e</v>
      </c>
      <c r="U77" t="s">
        <v>257</v>
      </c>
      <c r="V77" t="s">
        <v>191</v>
      </c>
      <c r="W77" t="s">
        <v>408</v>
      </c>
      <c r="AF77" t="s">
        <v>623</v>
      </c>
      <c r="AM77" t="str">
        <f t="shared" si="16"/>
        <v>Zone_Entry_Exit</v>
      </c>
      <c r="AN77" t="str">
        <f t="shared" si="17"/>
        <v>Zone_Entry</v>
      </c>
      <c r="AP77" t="str">
        <f t="shared" si="18"/>
        <v>Offensive</v>
      </c>
      <c r="BB77" s="23"/>
      <c r="BD77" s="21"/>
      <c r="BE77" s="21"/>
      <c r="BF77" s="21"/>
      <c r="BG77" s="21"/>
      <c r="BH77" s="21"/>
      <c r="BI77" s="21"/>
    </row>
    <row r="78" spans="1:61" x14ac:dyDescent="0.2">
      <c r="A78">
        <v>37</v>
      </c>
      <c r="B78">
        <v>9</v>
      </c>
      <c r="C78">
        <f t="shared" si="13"/>
        <v>9009</v>
      </c>
      <c r="D78">
        <f t="shared" si="19"/>
        <v>9009</v>
      </c>
      <c r="E78">
        <v>7</v>
      </c>
      <c r="F78">
        <v>7</v>
      </c>
      <c r="G78" s="6">
        <v>13</v>
      </c>
      <c r="H78">
        <f t="shared" si="15"/>
        <v>1</v>
      </c>
      <c r="I78" s="5" t="s">
        <v>621</v>
      </c>
      <c r="J78" s="5" t="s">
        <v>731</v>
      </c>
      <c r="Q78" t="s">
        <v>620</v>
      </c>
      <c r="R78">
        <v>70</v>
      </c>
      <c r="S78">
        <v>1</v>
      </c>
      <c r="T78" t="str">
        <f t="shared" si="14"/>
        <v>e</v>
      </c>
      <c r="U78" t="s">
        <v>10</v>
      </c>
      <c r="V78" t="s">
        <v>190</v>
      </c>
      <c r="W78" t="s">
        <v>387</v>
      </c>
      <c r="AF78" t="s">
        <v>623</v>
      </c>
      <c r="AM78" t="str">
        <f t="shared" si="16"/>
        <v>Turnover</v>
      </c>
      <c r="AN78" t="str">
        <f t="shared" si="17"/>
        <v>Turnover_Giveaway</v>
      </c>
      <c r="AP78" t="str">
        <f t="shared" si="18"/>
        <v>Offensive</v>
      </c>
      <c r="BB78" s="23"/>
      <c r="BD78" s="21"/>
      <c r="BE78" s="21"/>
      <c r="BF78" s="21"/>
      <c r="BG78" s="21"/>
      <c r="BH78" s="21"/>
      <c r="BI78" s="21"/>
    </row>
    <row r="79" spans="1:61" x14ac:dyDescent="0.2">
      <c r="A79">
        <v>38</v>
      </c>
      <c r="B79">
        <v>9</v>
      </c>
      <c r="C79">
        <f t="shared" si="13"/>
        <v>9009</v>
      </c>
      <c r="D79">
        <f t="shared" si="19"/>
        <v>9009</v>
      </c>
      <c r="E79">
        <v>7</v>
      </c>
      <c r="F79">
        <v>7</v>
      </c>
      <c r="G79" s="6">
        <v>13</v>
      </c>
      <c r="H79">
        <f t="shared" si="15"/>
        <v>1</v>
      </c>
      <c r="I79" s="5" t="s">
        <v>621</v>
      </c>
      <c r="J79" s="5" t="s">
        <v>621</v>
      </c>
      <c r="Q79" t="s">
        <v>619</v>
      </c>
      <c r="R79">
        <v>4</v>
      </c>
      <c r="S79">
        <v>1</v>
      </c>
      <c r="T79" t="str">
        <f t="shared" si="14"/>
        <v>e</v>
      </c>
      <c r="U79" t="s">
        <v>15</v>
      </c>
      <c r="V79" t="s">
        <v>697</v>
      </c>
      <c r="AF79" t="s">
        <v>623</v>
      </c>
      <c r="AM79" t="str">
        <f t="shared" si="16"/>
        <v>Possession</v>
      </c>
      <c r="AN79" t="str">
        <f t="shared" si="17"/>
        <v>PuckRetrieval</v>
      </c>
      <c r="AP79" t="str">
        <f t="shared" si="18"/>
        <v>Offensive</v>
      </c>
      <c r="BB79" s="23"/>
      <c r="BD79" s="21"/>
      <c r="BE79" s="21"/>
      <c r="BF79" s="21"/>
      <c r="BG79" s="21"/>
      <c r="BH79" s="21"/>
      <c r="BI79" s="21"/>
    </row>
    <row r="80" spans="1:61" x14ac:dyDescent="0.2">
      <c r="A80">
        <v>39</v>
      </c>
      <c r="B80" t="s">
        <v>887</v>
      </c>
      <c r="C80" t="str">
        <f t="shared" si="13"/>
        <v/>
      </c>
      <c r="D80" t="str">
        <f t="shared" si="19"/>
        <v/>
      </c>
      <c r="E80">
        <v>8</v>
      </c>
      <c r="F80">
        <v>8</v>
      </c>
      <c r="G80" s="6">
        <v>14</v>
      </c>
      <c r="H80">
        <f t="shared" si="15"/>
        <v>1</v>
      </c>
      <c r="I80" s="5" t="s">
        <v>621</v>
      </c>
      <c r="J80" s="5" t="s">
        <v>621</v>
      </c>
      <c r="K80" s="5" t="s">
        <v>621</v>
      </c>
      <c r="L80" s="7" t="s">
        <v>732</v>
      </c>
      <c r="Q80" t="s">
        <v>619</v>
      </c>
      <c r="R80">
        <v>4</v>
      </c>
      <c r="S80">
        <v>1</v>
      </c>
      <c r="T80" t="str">
        <f t="shared" si="14"/>
        <v>e</v>
      </c>
      <c r="U80" t="s">
        <v>257</v>
      </c>
      <c r="V80" t="s">
        <v>201</v>
      </c>
      <c r="W80" t="s">
        <v>90</v>
      </c>
      <c r="X80" t="s">
        <v>706</v>
      </c>
      <c r="AF80" t="s">
        <v>623</v>
      </c>
      <c r="AM80" t="str">
        <f t="shared" si="16"/>
        <v>Zone_Entry_Exit</v>
      </c>
      <c r="AN80" t="str">
        <f t="shared" si="17"/>
        <v>Zone_Exit</v>
      </c>
      <c r="AP80" t="str">
        <f t="shared" si="18"/>
        <v>Offensive</v>
      </c>
      <c r="BB80" s="23"/>
      <c r="BD80" s="21"/>
      <c r="BE80" s="21"/>
      <c r="BF80" s="21"/>
      <c r="BG80" s="21"/>
      <c r="BH80" s="21"/>
      <c r="BI80" s="21"/>
    </row>
    <row r="81" spans="1:61" x14ac:dyDescent="0.2">
      <c r="A81">
        <v>40</v>
      </c>
      <c r="B81" t="s">
        <v>887</v>
      </c>
      <c r="C81" t="str">
        <f t="shared" si="13"/>
        <v/>
      </c>
      <c r="D81" t="str">
        <f t="shared" si="19"/>
        <v/>
      </c>
      <c r="E81">
        <v>8</v>
      </c>
      <c r="F81">
        <v>8</v>
      </c>
      <c r="G81" s="6">
        <v>15</v>
      </c>
      <c r="H81">
        <f t="shared" si="15"/>
        <v>1</v>
      </c>
      <c r="I81" s="5" t="s">
        <v>621</v>
      </c>
      <c r="J81" s="5" t="s">
        <v>732</v>
      </c>
      <c r="K81" s="5" t="s">
        <v>621</v>
      </c>
      <c r="L81" s="7" t="s">
        <v>733</v>
      </c>
      <c r="Q81" t="s">
        <v>619</v>
      </c>
      <c r="R81">
        <v>4</v>
      </c>
      <c r="S81">
        <v>1</v>
      </c>
      <c r="T81" t="str">
        <f t="shared" si="14"/>
        <v>e</v>
      </c>
      <c r="U81" t="s">
        <v>15</v>
      </c>
      <c r="AF81" t="s">
        <v>635</v>
      </c>
      <c r="AJ81">
        <v>1</v>
      </c>
      <c r="AM81" t="str">
        <f t="shared" si="16"/>
        <v>Possession</v>
      </c>
      <c r="AN81" t="str">
        <f t="shared" si="17"/>
        <v/>
      </c>
      <c r="AP81" t="str">
        <f t="shared" si="18"/>
        <v>Offensive</v>
      </c>
      <c r="BB81" s="23"/>
      <c r="BD81" s="21"/>
      <c r="BE81" s="21"/>
      <c r="BF81" s="21"/>
      <c r="BG81" s="21"/>
      <c r="BH81" s="21"/>
      <c r="BI81" s="21"/>
    </row>
    <row r="82" spans="1:61" x14ac:dyDescent="0.2">
      <c r="A82">
        <v>40</v>
      </c>
      <c r="B82" t="s">
        <v>887</v>
      </c>
      <c r="C82" t="str">
        <f t="shared" si="13"/>
        <v/>
      </c>
      <c r="D82" t="str">
        <f t="shared" si="19"/>
        <v/>
      </c>
      <c r="E82">
        <v>8</v>
      </c>
      <c r="F82">
        <v>8</v>
      </c>
      <c r="G82" s="6">
        <v>15</v>
      </c>
      <c r="H82">
        <f t="shared" si="15"/>
        <v>1</v>
      </c>
      <c r="R82">
        <v>70</v>
      </c>
      <c r="T82" t="str">
        <f t="shared" si="14"/>
        <v>o</v>
      </c>
      <c r="AF82" t="s">
        <v>635</v>
      </c>
      <c r="AJ82">
        <v>1</v>
      </c>
      <c r="AM82" t="str">
        <f t="shared" si="16"/>
        <v>Possession</v>
      </c>
      <c r="AN82" t="str">
        <f t="shared" si="17"/>
        <v/>
      </c>
      <c r="AP82" t="str">
        <f t="shared" si="18"/>
        <v>Defensive</v>
      </c>
      <c r="BB82" s="23"/>
      <c r="BD82" s="21"/>
      <c r="BE82" s="21"/>
      <c r="BF82" s="21"/>
      <c r="BG82" s="21"/>
      <c r="BH82" s="21"/>
      <c r="BI82" s="21"/>
    </row>
    <row r="83" spans="1:61" x14ac:dyDescent="0.2">
      <c r="A83">
        <v>41</v>
      </c>
      <c r="B83" t="s">
        <v>887</v>
      </c>
      <c r="C83" t="str">
        <f t="shared" si="13"/>
        <v/>
      </c>
      <c r="D83" t="str">
        <f t="shared" si="19"/>
        <v/>
      </c>
      <c r="E83">
        <v>8</v>
      </c>
      <c r="F83">
        <v>9</v>
      </c>
      <c r="G83" s="6">
        <v>16</v>
      </c>
      <c r="H83">
        <f t="shared" si="15"/>
        <v>1</v>
      </c>
      <c r="I83" s="5" t="s">
        <v>621</v>
      </c>
      <c r="J83" s="5" t="s">
        <v>733</v>
      </c>
      <c r="K83" s="5" t="s">
        <v>621</v>
      </c>
      <c r="L83" s="7" t="s">
        <v>734</v>
      </c>
      <c r="Q83" t="s">
        <v>619</v>
      </c>
      <c r="R83">
        <v>4</v>
      </c>
      <c r="S83">
        <v>1</v>
      </c>
      <c r="T83" t="str">
        <f t="shared" si="14"/>
        <v>e</v>
      </c>
      <c r="U83" t="s">
        <v>257</v>
      </c>
      <c r="V83" t="s">
        <v>191</v>
      </c>
      <c r="W83" t="s">
        <v>87</v>
      </c>
      <c r="X83" t="s">
        <v>706</v>
      </c>
      <c r="Y83" t="s">
        <v>677</v>
      </c>
      <c r="AF83" t="s">
        <v>401</v>
      </c>
      <c r="AM83" t="str">
        <f t="shared" si="16"/>
        <v>Zone_Entry_Exit</v>
      </c>
      <c r="AN83" t="str">
        <f t="shared" si="17"/>
        <v>Zone_Entry</v>
      </c>
      <c r="AP83" t="str">
        <f t="shared" si="18"/>
        <v>Offensive</v>
      </c>
      <c r="BB83" s="23"/>
      <c r="BD83" s="21"/>
      <c r="BE83" s="21"/>
      <c r="BF83" s="21"/>
      <c r="BG83" s="21"/>
      <c r="BH83" s="21"/>
      <c r="BI83" s="21"/>
    </row>
    <row r="84" spans="1:61" x14ac:dyDescent="0.2">
      <c r="A84">
        <v>41</v>
      </c>
      <c r="B84" t="s">
        <v>887</v>
      </c>
      <c r="C84" t="str">
        <f t="shared" si="13"/>
        <v/>
      </c>
      <c r="D84" t="str">
        <f t="shared" si="19"/>
        <v/>
      </c>
      <c r="E84">
        <v>8</v>
      </c>
      <c r="F84">
        <v>9</v>
      </c>
      <c r="G84" s="6">
        <v>16</v>
      </c>
      <c r="H84">
        <f t="shared" si="15"/>
        <v>1</v>
      </c>
      <c r="R84">
        <v>77</v>
      </c>
      <c r="S84">
        <v>1</v>
      </c>
      <c r="T84" t="str">
        <f t="shared" si="14"/>
        <v>e</v>
      </c>
      <c r="AM84" t="str">
        <f t="shared" si="16"/>
        <v>Zone_Entry_Exit</v>
      </c>
      <c r="AN84" t="str">
        <f t="shared" si="17"/>
        <v>Zone_Entry</v>
      </c>
      <c r="AP84" t="str">
        <f t="shared" si="18"/>
        <v>Offensive</v>
      </c>
      <c r="BB84" s="23"/>
      <c r="BD84" s="21"/>
      <c r="BE84" s="21"/>
      <c r="BF84" s="21"/>
      <c r="BG84" s="21"/>
      <c r="BH84" s="21"/>
      <c r="BI84" s="21"/>
    </row>
    <row r="85" spans="1:61" x14ac:dyDescent="0.2">
      <c r="A85">
        <v>41</v>
      </c>
      <c r="B85" t="s">
        <v>887</v>
      </c>
      <c r="C85" t="str">
        <f t="shared" si="13"/>
        <v/>
      </c>
      <c r="D85" t="str">
        <f t="shared" si="19"/>
        <v/>
      </c>
      <c r="E85">
        <v>8</v>
      </c>
      <c r="F85">
        <v>9</v>
      </c>
      <c r="G85" s="6">
        <v>16</v>
      </c>
      <c r="H85">
        <f t="shared" si="15"/>
        <v>1</v>
      </c>
      <c r="R85">
        <v>13</v>
      </c>
      <c r="S85">
        <v>1</v>
      </c>
      <c r="T85" t="str">
        <f t="shared" si="14"/>
        <v>e</v>
      </c>
      <c r="AM85" t="str">
        <f t="shared" si="16"/>
        <v>Zone_Entry_Exit</v>
      </c>
      <c r="AN85" t="str">
        <f t="shared" si="17"/>
        <v>Zone_Entry</v>
      </c>
      <c r="AP85" t="str">
        <f t="shared" si="18"/>
        <v>Offensive</v>
      </c>
      <c r="BB85" s="23"/>
      <c r="BD85" s="21"/>
      <c r="BE85" s="21"/>
      <c r="BF85" s="21"/>
      <c r="BG85" s="21"/>
      <c r="BH85" s="21"/>
      <c r="BI85" s="21"/>
    </row>
    <row r="86" spans="1:61" x14ac:dyDescent="0.2">
      <c r="A86">
        <v>41</v>
      </c>
      <c r="B86" t="s">
        <v>887</v>
      </c>
      <c r="C86" t="str">
        <f t="shared" si="13"/>
        <v/>
      </c>
      <c r="D86" t="str">
        <f t="shared" si="19"/>
        <v/>
      </c>
      <c r="E86">
        <v>8</v>
      </c>
      <c r="F86">
        <v>9</v>
      </c>
      <c r="G86" s="6">
        <v>16</v>
      </c>
      <c r="H86">
        <f t="shared" si="15"/>
        <v>1</v>
      </c>
      <c r="R86">
        <v>91</v>
      </c>
      <c r="T86" t="str">
        <f t="shared" si="14"/>
        <v>o</v>
      </c>
      <c r="AM86" t="str">
        <f t="shared" si="16"/>
        <v>Zone_Entry_Exit</v>
      </c>
      <c r="AN86" t="str">
        <f t="shared" si="17"/>
        <v>Zone_Entry</v>
      </c>
      <c r="AP86" t="str">
        <f t="shared" si="18"/>
        <v>Defensive</v>
      </c>
      <c r="BB86" s="23"/>
      <c r="BD86" s="21"/>
      <c r="BE86" s="21"/>
      <c r="BF86" s="21"/>
      <c r="BG86" s="21"/>
      <c r="BH86" s="21"/>
      <c r="BI86" s="21"/>
    </row>
    <row r="87" spans="1:61" x14ac:dyDescent="0.2">
      <c r="A87">
        <v>41</v>
      </c>
      <c r="B87" t="s">
        <v>887</v>
      </c>
      <c r="C87" t="str">
        <f t="shared" si="13"/>
        <v/>
      </c>
      <c r="D87" t="str">
        <f t="shared" si="19"/>
        <v/>
      </c>
      <c r="E87">
        <v>8</v>
      </c>
      <c r="F87">
        <v>9</v>
      </c>
      <c r="G87" s="6">
        <v>16</v>
      </c>
      <c r="H87">
        <f t="shared" si="15"/>
        <v>1</v>
      </c>
      <c r="R87">
        <v>9</v>
      </c>
      <c r="T87" t="str">
        <f t="shared" si="14"/>
        <v>o</v>
      </c>
      <c r="AM87" t="str">
        <f t="shared" si="16"/>
        <v>Zone_Entry_Exit</v>
      </c>
      <c r="AN87" t="str">
        <f t="shared" si="17"/>
        <v>Zone_Entry</v>
      </c>
      <c r="AP87" t="str">
        <f t="shared" si="18"/>
        <v>Defensive</v>
      </c>
      <c r="BB87" s="23"/>
      <c r="BD87" s="21"/>
      <c r="BE87" s="21"/>
      <c r="BF87" s="21"/>
      <c r="BG87" s="21"/>
      <c r="BH87" s="21"/>
      <c r="BI87" s="21"/>
    </row>
    <row r="88" spans="1:61" x14ac:dyDescent="0.2">
      <c r="A88">
        <v>41</v>
      </c>
      <c r="B88" t="s">
        <v>887</v>
      </c>
      <c r="C88" t="str">
        <f t="shared" si="13"/>
        <v/>
      </c>
      <c r="D88" t="str">
        <f t="shared" si="19"/>
        <v/>
      </c>
      <c r="E88">
        <v>8</v>
      </c>
      <c r="F88">
        <v>9</v>
      </c>
      <c r="G88" s="6">
        <v>16</v>
      </c>
      <c r="H88">
        <f t="shared" si="15"/>
        <v>1</v>
      </c>
      <c r="R88">
        <v>14</v>
      </c>
      <c r="T88" t="str">
        <f t="shared" si="14"/>
        <v>o</v>
      </c>
      <c r="AM88" t="str">
        <f t="shared" si="16"/>
        <v>Zone_Entry_Exit</v>
      </c>
      <c r="AN88" t="str">
        <f t="shared" si="17"/>
        <v>Zone_Entry</v>
      </c>
      <c r="AP88" t="str">
        <f t="shared" si="18"/>
        <v>Defensive</v>
      </c>
      <c r="BB88" s="23"/>
      <c r="BD88" s="21"/>
      <c r="BE88" s="21"/>
      <c r="BF88" s="21"/>
      <c r="BG88" s="21"/>
      <c r="BH88" s="21"/>
      <c r="BI88" s="21"/>
    </row>
    <row r="89" spans="1:61" x14ac:dyDescent="0.2">
      <c r="A89">
        <v>42</v>
      </c>
      <c r="B89">
        <v>10</v>
      </c>
      <c r="C89">
        <f t="shared" si="13"/>
        <v>9010</v>
      </c>
      <c r="D89">
        <f t="shared" si="19"/>
        <v>9010</v>
      </c>
      <c r="E89">
        <v>8</v>
      </c>
      <c r="F89">
        <v>9</v>
      </c>
      <c r="G89" s="6">
        <v>16</v>
      </c>
      <c r="H89">
        <f t="shared" si="15"/>
        <v>1</v>
      </c>
      <c r="I89" s="5" t="s">
        <v>621</v>
      </c>
      <c r="J89" s="5" t="s">
        <v>734</v>
      </c>
      <c r="Q89" t="s">
        <v>619</v>
      </c>
      <c r="R89">
        <v>4</v>
      </c>
      <c r="S89">
        <v>1</v>
      </c>
      <c r="T89" t="str">
        <f t="shared" si="14"/>
        <v>e</v>
      </c>
      <c r="U89" t="s">
        <v>7</v>
      </c>
      <c r="V89" t="s">
        <v>222</v>
      </c>
      <c r="W89" t="s">
        <v>53</v>
      </c>
      <c r="X89" t="s">
        <v>706</v>
      </c>
      <c r="AF89" t="s">
        <v>401</v>
      </c>
      <c r="AM89" t="str">
        <f t="shared" si="16"/>
        <v>Shot</v>
      </c>
      <c r="AN89" t="str">
        <f t="shared" si="17"/>
        <v>Shot_OnNetSaved</v>
      </c>
      <c r="AP89" t="str">
        <f t="shared" si="18"/>
        <v>Offensive</v>
      </c>
      <c r="BB89" s="23"/>
      <c r="BD89" s="21"/>
      <c r="BE89" s="21"/>
      <c r="BF89" s="21"/>
      <c r="BG89" s="21"/>
      <c r="BH89" s="21"/>
      <c r="BI89" s="21"/>
    </row>
    <row r="90" spans="1:61" x14ac:dyDescent="0.2">
      <c r="A90">
        <v>42</v>
      </c>
      <c r="B90">
        <v>10</v>
      </c>
      <c r="C90">
        <f t="shared" si="13"/>
        <v>9010</v>
      </c>
      <c r="D90">
        <f t="shared" si="19"/>
        <v>9010</v>
      </c>
      <c r="E90">
        <v>8</v>
      </c>
      <c r="F90">
        <v>9</v>
      </c>
      <c r="G90" s="6">
        <v>16</v>
      </c>
      <c r="H90">
        <f t="shared" si="15"/>
        <v>1</v>
      </c>
      <c r="R90">
        <v>39</v>
      </c>
      <c r="T90" t="str">
        <f t="shared" si="14"/>
        <v>o</v>
      </c>
      <c r="AM90" t="str">
        <f t="shared" si="16"/>
        <v>Shot</v>
      </c>
      <c r="AN90" t="str">
        <f t="shared" si="17"/>
        <v>Shot_OnNetSaved</v>
      </c>
      <c r="AP90" t="str">
        <f t="shared" si="18"/>
        <v>Defensive</v>
      </c>
      <c r="BB90" s="23"/>
      <c r="BD90" s="21"/>
      <c r="BE90" s="21"/>
      <c r="BF90" s="21"/>
      <c r="BG90" s="21"/>
      <c r="BH90" s="21"/>
      <c r="BI90" s="21"/>
    </row>
    <row r="91" spans="1:61" x14ac:dyDescent="0.2">
      <c r="A91">
        <v>42</v>
      </c>
      <c r="B91">
        <v>10</v>
      </c>
      <c r="C91">
        <f t="shared" si="13"/>
        <v>9010</v>
      </c>
      <c r="D91">
        <f t="shared" si="19"/>
        <v>9010</v>
      </c>
      <c r="E91">
        <v>8</v>
      </c>
      <c r="F91">
        <v>9</v>
      </c>
      <c r="G91" s="6">
        <v>16</v>
      </c>
      <c r="H91">
        <f t="shared" si="15"/>
        <v>1</v>
      </c>
      <c r="R91">
        <v>91</v>
      </c>
      <c r="T91" t="str">
        <f t="shared" si="14"/>
        <v>o</v>
      </c>
      <c r="Y91" t="s">
        <v>722</v>
      </c>
      <c r="AA91" t="s">
        <v>705</v>
      </c>
      <c r="AM91" t="str">
        <f t="shared" si="16"/>
        <v>Shot</v>
      </c>
      <c r="AN91" t="str">
        <f t="shared" si="17"/>
        <v>Shot_OnNetSaved</v>
      </c>
      <c r="AP91" t="str">
        <f t="shared" si="18"/>
        <v>Defensive</v>
      </c>
      <c r="BB91" s="23"/>
      <c r="BD91" s="21"/>
      <c r="BE91" s="21"/>
      <c r="BF91" s="21"/>
      <c r="BG91" s="21"/>
      <c r="BH91" s="21"/>
      <c r="BI91" s="21"/>
    </row>
    <row r="92" spans="1:61" x14ac:dyDescent="0.2">
      <c r="A92">
        <v>43</v>
      </c>
      <c r="B92">
        <v>10</v>
      </c>
      <c r="C92">
        <f t="shared" si="13"/>
        <v>9010</v>
      </c>
      <c r="D92">
        <f t="shared" si="19"/>
        <v>9010</v>
      </c>
      <c r="E92">
        <v>8</v>
      </c>
      <c r="F92">
        <v>9</v>
      </c>
      <c r="G92" s="6">
        <v>16</v>
      </c>
      <c r="H92">
        <f t="shared" si="15"/>
        <v>1</v>
      </c>
      <c r="Q92" t="s">
        <v>620</v>
      </c>
      <c r="R92">
        <v>39</v>
      </c>
      <c r="S92">
        <v>1</v>
      </c>
      <c r="T92" t="str">
        <f t="shared" si="14"/>
        <v>e</v>
      </c>
      <c r="U92" t="s">
        <v>17</v>
      </c>
      <c r="V92" t="s">
        <v>196</v>
      </c>
      <c r="W92" t="s">
        <v>451</v>
      </c>
      <c r="X92" t="s">
        <v>706</v>
      </c>
      <c r="AF92" t="s">
        <v>623</v>
      </c>
      <c r="AM92" t="str">
        <f t="shared" si="16"/>
        <v>Save</v>
      </c>
      <c r="AN92" t="str">
        <f t="shared" si="17"/>
        <v>Save_Rebound</v>
      </c>
      <c r="AP92" t="str">
        <f t="shared" si="18"/>
        <v>Defensive</v>
      </c>
      <c r="BB92" s="23"/>
      <c r="BD92" s="21"/>
      <c r="BE92" s="21"/>
      <c r="BF92" s="21"/>
      <c r="BG92" s="21"/>
      <c r="BH92" s="21"/>
      <c r="BI92" s="21"/>
    </row>
    <row r="93" spans="1:61" x14ac:dyDescent="0.2">
      <c r="A93">
        <v>43</v>
      </c>
      <c r="B93">
        <v>10</v>
      </c>
      <c r="C93">
        <f t="shared" si="13"/>
        <v>9010</v>
      </c>
      <c r="D93">
        <f t="shared" si="19"/>
        <v>9010</v>
      </c>
      <c r="E93">
        <v>8</v>
      </c>
      <c r="F93">
        <v>9</v>
      </c>
      <c r="G93" s="6">
        <v>16</v>
      </c>
      <c r="H93">
        <f t="shared" si="15"/>
        <v>1</v>
      </c>
      <c r="R93">
        <v>91</v>
      </c>
      <c r="S93">
        <v>1</v>
      </c>
      <c r="T93" t="str">
        <f t="shared" si="14"/>
        <v>e</v>
      </c>
      <c r="Y93" t="s">
        <v>722</v>
      </c>
      <c r="AA93" t="s">
        <v>705</v>
      </c>
      <c r="AM93" t="str">
        <f t="shared" si="16"/>
        <v>Save</v>
      </c>
      <c r="AN93" t="str">
        <f t="shared" si="17"/>
        <v>Save_Rebound</v>
      </c>
      <c r="AP93" t="str">
        <f t="shared" si="18"/>
        <v>Defensive</v>
      </c>
      <c r="BB93" s="23"/>
      <c r="BD93" s="21"/>
      <c r="BE93" s="21"/>
      <c r="BF93" s="21"/>
      <c r="BG93" s="21"/>
      <c r="BH93" s="21"/>
      <c r="BI93" s="21"/>
    </row>
    <row r="94" spans="1:61" x14ac:dyDescent="0.2">
      <c r="A94">
        <v>43</v>
      </c>
      <c r="B94">
        <v>10</v>
      </c>
      <c r="C94">
        <f t="shared" si="13"/>
        <v>9010</v>
      </c>
      <c r="D94">
        <f t="shared" si="19"/>
        <v>9010</v>
      </c>
      <c r="E94">
        <v>8</v>
      </c>
      <c r="F94">
        <v>9</v>
      </c>
      <c r="G94" s="6">
        <v>16</v>
      </c>
      <c r="H94">
        <f t="shared" si="15"/>
        <v>1</v>
      </c>
      <c r="R94">
        <v>4</v>
      </c>
      <c r="T94" t="str">
        <f t="shared" si="14"/>
        <v>o</v>
      </c>
      <c r="AM94" t="str">
        <f t="shared" si="16"/>
        <v>Save</v>
      </c>
      <c r="AN94" t="str">
        <f t="shared" si="17"/>
        <v>Save_Rebound</v>
      </c>
      <c r="AP94" t="str">
        <f t="shared" si="18"/>
        <v>Offensive</v>
      </c>
      <c r="BB94" s="23"/>
      <c r="BD94" s="21"/>
      <c r="BE94" s="21"/>
      <c r="BF94" s="21"/>
      <c r="BG94" s="21"/>
      <c r="BH94" s="21"/>
      <c r="BI94" s="21"/>
    </row>
    <row r="95" spans="1:61" x14ac:dyDescent="0.2">
      <c r="A95">
        <v>44</v>
      </c>
      <c r="B95">
        <v>10</v>
      </c>
      <c r="C95">
        <f t="shared" si="13"/>
        <v>9010</v>
      </c>
      <c r="D95">
        <f t="shared" si="19"/>
        <v>9010</v>
      </c>
      <c r="E95">
        <v>8</v>
      </c>
      <c r="F95">
        <v>9</v>
      </c>
      <c r="G95" s="6">
        <v>16</v>
      </c>
      <c r="H95">
        <f t="shared" si="15"/>
        <v>1</v>
      </c>
      <c r="I95" s="5" t="s">
        <v>621</v>
      </c>
      <c r="J95" s="5" t="s">
        <v>734</v>
      </c>
      <c r="Q95" t="s">
        <v>620</v>
      </c>
      <c r="R95">
        <v>39</v>
      </c>
      <c r="S95">
        <v>1</v>
      </c>
      <c r="T95" t="str">
        <f t="shared" si="14"/>
        <v>e</v>
      </c>
      <c r="U95" t="s">
        <v>250</v>
      </c>
      <c r="V95" t="s">
        <v>252</v>
      </c>
      <c r="AF95" t="s">
        <v>623</v>
      </c>
      <c r="AM95" t="str">
        <f t="shared" si="16"/>
        <v>Rebound</v>
      </c>
      <c r="AN95" t="str">
        <f t="shared" si="17"/>
        <v>Rebound_OppTeamRecovered</v>
      </c>
      <c r="AP95" t="str">
        <f t="shared" si="18"/>
        <v>Offensive</v>
      </c>
      <c r="BB95" s="23"/>
      <c r="BD95" s="21"/>
      <c r="BE95" s="21"/>
      <c r="BF95" s="21"/>
      <c r="BG95" s="21"/>
      <c r="BH95" s="21"/>
      <c r="BI95" s="21"/>
    </row>
    <row r="96" spans="1:61" x14ac:dyDescent="0.2">
      <c r="A96">
        <v>45</v>
      </c>
      <c r="B96" t="s">
        <v>887</v>
      </c>
      <c r="C96" t="str">
        <f t="shared" si="13"/>
        <v/>
      </c>
      <c r="D96" t="str">
        <f t="shared" si="19"/>
        <v/>
      </c>
      <c r="E96">
        <v>8</v>
      </c>
      <c r="F96">
        <v>10</v>
      </c>
      <c r="G96" s="6">
        <v>16</v>
      </c>
      <c r="H96">
        <f t="shared" si="15"/>
        <v>1</v>
      </c>
      <c r="I96" s="5" t="s">
        <v>621</v>
      </c>
      <c r="J96" s="5" t="s">
        <v>735</v>
      </c>
      <c r="K96" s="5" t="s">
        <v>621</v>
      </c>
      <c r="L96" s="7" t="s">
        <v>736</v>
      </c>
      <c r="Q96" t="s">
        <v>619</v>
      </c>
      <c r="R96">
        <v>68</v>
      </c>
      <c r="S96">
        <v>1</v>
      </c>
      <c r="T96" t="str">
        <f t="shared" si="14"/>
        <v>e</v>
      </c>
      <c r="U96" t="s">
        <v>15</v>
      </c>
      <c r="V96" t="s">
        <v>697</v>
      </c>
      <c r="AA96" t="s">
        <v>706</v>
      </c>
      <c r="AF96" t="s">
        <v>401</v>
      </c>
      <c r="AM96" t="str">
        <f t="shared" si="16"/>
        <v>Possession</v>
      </c>
      <c r="AN96" t="str">
        <f t="shared" si="17"/>
        <v>PuckRetrieval</v>
      </c>
      <c r="AP96" t="str">
        <f t="shared" si="18"/>
        <v>Offensive</v>
      </c>
      <c r="BB96" s="23"/>
      <c r="BD96" s="21"/>
      <c r="BE96" s="21"/>
      <c r="BF96" s="21"/>
      <c r="BG96" s="21"/>
      <c r="BH96" s="21"/>
      <c r="BI96" s="21"/>
    </row>
    <row r="97" spans="1:61" x14ac:dyDescent="0.2">
      <c r="A97">
        <v>46</v>
      </c>
      <c r="B97" t="s">
        <v>887</v>
      </c>
      <c r="C97" t="str">
        <f t="shared" si="13"/>
        <v/>
      </c>
      <c r="D97" t="str">
        <f t="shared" si="19"/>
        <v/>
      </c>
      <c r="E97">
        <v>8</v>
      </c>
      <c r="F97">
        <v>10</v>
      </c>
      <c r="G97" s="6">
        <v>16</v>
      </c>
      <c r="H97">
        <f t="shared" si="15"/>
        <v>1</v>
      </c>
      <c r="I97" s="5" t="s">
        <v>621</v>
      </c>
      <c r="J97" s="5" t="s">
        <v>736</v>
      </c>
      <c r="Q97" t="s">
        <v>619</v>
      </c>
      <c r="R97">
        <v>68</v>
      </c>
      <c r="S97">
        <v>1</v>
      </c>
      <c r="T97" t="str">
        <f t="shared" si="14"/>
        <v>e</v>
      </c>
      <c r="U97" t="s">
        <v>7</v>
      </c>
      <c r="V97" t="s">
        <v>198</v>
      </c>
      <c r="W97" t="s">
        <v>53</v>
      </c>
      <c r="X97" t="s">
        <v>705</v>
      </c>
      <c r="AF97" t="s">
        <v>401</v>
      </c>
      <c r="AM97" t="str">
        <f t="shared" si="16"/>
        <v>Shot</v>
      </c>
      <c r="AN97" t="str">
        <f t="shared" si="17"/>
        <v>Shot_Missed</v>
      </c>
      <c r="AP97" t="str">
        <f t="shared" si="18"/>
        <v>Offensive</v>
      </c>
      <c r="BB97" s="23"/>
      <c r="BD97" s="21"/>
      <c r="BE97" s="21"/>
      <c r="BF97" s="21"/>
      <c r="BG97" s="21"/>
      <c r="BH97" s="21"/>
      <c r="BI97" s="21"/>
    </row>
    <row r="98" spans="1:61" x14ac:dyDescent="0.2">
      <c r="A98">
        <v>46</v>
      </c>
      <c r="B98" t="s">
        <v>887</v>
      </c>
      <c r="C98" t="str">
        <f t="shared" si="13"/>
        <v/>
      </c>
      <c r="D98" t="str">
        <f t="shared" si="19"/>
        <v/>
      </c>
      <c r="E98">
        <v>8</v>
      </c>
      <c r="F98">
        <v>10</v>
      </c>
      <c r="G98" s="6">
        <v>16</v>
      </c>
      <c r="H98">
        <f t="shared" si="15"/>
        <v>1</v>
      </c>
      <c r="R98">
        <v>91</v>
      </c>
      <c r="T98" t="str">
        <f t="shared" si="14"/>
        <v>o</v>
      </c>
      <c r="Y98" t="s">
        <v>722</v>
      </c>
      <c r="AA98" t="s">
        <v>706</v>
      </c>
      <c r="AM98" t="str">
        <f t="shared" si="16"/>
        <v>Shot</v>
      </c>
      <c r="AN98" t="str">
        <f t="shared" si="17"/>
        <v>Shot_Missed</v>
      </c>
      <c r="AP98" t="str">
        <f t="shared" si="18"/>
        <v>Defensive</v>
      </c>
      <c r="BB98" s="23"/>
      <c r="BD98" s="21"/>
      <c r="BE98" s="21"/>
      <c r="BF98" s="21"/>
      <c r="BG98" s="21"/>
      <c r="BH98" s="21"/>
      <c r="BI98" s="21"/>
    </row>
    <row r="99" spans="1:61" x14ac:dyDescent="0.2">
      <c r="A99">
        <v>47</v>
      </c>
      <c r="B99" t="s">
        <v>887</v>
      </c>
      <c r="C99" t="str">
        <f t="shared" si="13"/>
        <v/>
      </c>
      <c r="D99" t="str">
        <f t="shared" si="19"/>
        <v/>
      </c>
      <c r="E99">
        <v>8</v>
      </c>
      <c r="F99">
        <v>11</v>
      </c>
      <c r="G99" s="6">
        <v>16</v>
      </c>
      <c r="H99">
        <f t="shared" si="15"/>
        <v>1</v>
      </c>
      <c r="I99" s="5" t="s">
        <v>621</v>
      </c>
      <c r="J99" s="5" t="s">
        <v>738</v>
      </c>
      <c r="K99" s="5" t="s">
        <v>621</v>
      </c>
      <c r="L99" s="7" t="s">
        <v>740</v>
      </c>
      <c r="Q99" t="s">
        <v>619</v>
      </c>
      <c r="R99">
        <v>68</v>
      </c>
      <c r="S99">
        <v>1</v>
      </c>
      <c r="T99" t="str">
        <f t="shared" si="14"/>
        <v>e</v>
      </c>
      <c r="U99" t="s">
        <v>15</v>
      </c>
      <c r="V99" t="s">
        <v>698</v>
      </c>
      <c r="Y99" t="s">
        <v>739</v>
      </c>
      <c r="AA99" t="s">
        <v>706</v>
      </c>
      <c r="AF99" t="s">
        <v>401</v>
      </c>
      <c r="AM99" t="str">
        <f t="shared" si="16"/>
        <v>Possession</v>
      </c>
      <c r="AN99" t="str">
        <f t="shared" si="17"/>
        <v>PuckRecovery</v>
      </c>
      <c r="AP99" t="str">
        <f t="shared" si="18"/>
        <v>Offensive</v>
      </c>
      <c r="BB99" s="23"/>
      <c r="BD99" s="21"/>
      <c r="BE99" s="21"/>
      <c r="BF99" s="21"/>
      <c r="BG99" s="21"/>
      <c r="BH99" s="21"/>
      <c r="BI99" s="21"/>
    </row>
    <row r="100" spans="1:61" x14ac:dyDescent="0.2">
      <c r="A100">
        <v>48</v>
      </c>
      <c r="B100" t="s">
        <v>887</v>
      </c>
      <c r="C100" t="str">
        <f t="shared" si="13"/>
        <v/>
      </c>
      <c r="D100" t="str">
        <f t="shared" si="19"/>
        <v/>
      </c>
      <c r="E100">
        <v>8</v>
      </c>
      <c r="F100">
        <v>11</v>
      </c>
      <c r="G100" s="6">
        <v>16</v>
      </c>
      <c r="H100">
        <f t="shared" si="15"/>
        <v>1</v>
      </c>
      <c r="I100" s="5" t="s">
        <v>621</v>
      </c>
      <c r="J100" s="5" t="s">
        <v>740</v>
      </c>
      <c r="Q100" t="s">
        <v>619</v>
      </c>
      <c r="R100">
        <v>68</v>
      </c>
      <c r="S100">
        <v>1</v>
      </c>
      <c r="T100" t="str">
        <f t="shared" si="14"/>
        <v>e</v>
      </c>
      <c r="U100" t="s">
        <v>8</v>
      </c>
      <c r="V100" t="s">
        <v>189</v>
      </c>
      <c r="W100" t="s">
        <v>70</v>
      </c>
      <c r="X100" t="s">
        <v>706</v>
      </c>
      <c r="AF100" t="s">
        <v>401</v>
      </c>
      <c r="AJ100">
        <v>1</v>
      </c>
      <c r="AM100" t="str">
        <f t="shared" si="16"/>
        <v>Pass</v>
      </c>
      <c r="AN100" t="str">
        <f t="shared" si="17"/>
        <v>Pass_Completed</v>
      </c>
      <c r="AP100" t="str">
        <f t="shared" si="18"/>
        <v>Offensive</v>
      </c>
      <c r="BB100" s="23"/>
      <c r="BD100" s="21"/>
      <c r="BE100" s="21"/>
      <c r="BF100" s="21"/>
      <c r="BG100" s="21"/>
      <c r="BH100" s="21"/>
      <c r="BI100" s="21"/>
    </row>
    <row r="101" spans="1:61" x14ac:dyDescent="0.2">
      <c r="A101">
        <v>48</v>
      </c>
      <c r="B101" t="s">
        <v>887</v>
      </c>
      <c r="C101" t="str">
        <f t="shared" si="13"/>
        <v/>
      </c>
      <c r="D101" t="str">
        <f t="shared" si="19"/>
        <v/>
      </c>
      <c r="E101">
        <v>8</v>
      </c>
      <c r="F101">
        <v>11</v>
      </c>
      <c r="G101" s="6">
        <v>16</v>
      </c>
      <c r="H101">
        <f t="shared" si="15"/>
        <v>1</v>
      </c>
      <c r="R101">
        <v>13</v>
      </c>
      <c r="S101">
        <v>1</v>
      </c>
      <c r="T101" t="str">
        <f t="shared" si="14"/>
        <v>e</v>
      </c>
      <c r="X101" t="s">
        <v>706</v>
      </c>
      <c r="AM101" t="str">
        <f t="shared" si="16"/>
        <v>Pass</v>
      </c>
      <c r="AN101" t="str">
        <f t="shared" si="17"/>
        <v>Pass_Completed</v>
      </c>
      <c r="AP101" t="str">
        <f t="shared" si="18"/>
        <v>Offensive</v>
      </c>
      <c r="BB101" s="23"/>
      <c r="BD101" s="21"/>
      <c r="BE101" s="21"/>
      <c r="BF101" s="21"/>
      <c r="BG101" s="21"/>
      <c r="BH101" s="21"/>
      <c r="BI101" s="21"/>
    </row>
    <row r="102" spans="1:61" x14ac:dyDescent="0.2">
      <c r="A102">
        <v>48</v>
      </c>
      <c r="B102" t="s">
        <v>887</v>
      </c>
      <c r="C102" t="str">
        <f t="shared" si="13"/>
        <v/>
      </c>
      <c r="D102" t="str">
        <f t="shared" si="19"/>
        <v/>
      </c>
      <c r="E102">
        <v>8</v>
      </c>
      <c r="F102">
        <v>11</v>
      </c>
      <c r="G102" s="6">
        <v>16</v>
      </c>
      <c r="H102">
        <f t="shared" si="15"/>
        <v>1</v>
      </c>
      <c r="R102">
        <v>14</v>
      </c>
      <c r="T102" t="str">
        <f t="shared" si="14"/>
        <v>o</v>
      </c>
      <c r="X102" t="s">
        <v>706</v>
      </c>
      <c r="AJ102">
        <v>1</v>
      </c>
      <c r="AM102" t="str">
        <f t="shared" si="16"/>
        <v>Pass</v>
      </c>
      <c r="AN102" t="str">
        <f t="shared" si="17"/>
        <v>Pass_Completed</v>
      </c>
      <c r="AP102" t="str">
        <f t="shared" si="18"/>
        <v>Defensive</v>
      </c>
      <c r="BB102" s="23"/>
      <c r="BD102" s="21"/>
      <c r="BE102" s="21"/>
      <c r="BF102" s="21"/>
      <c r="BG102" s="21"/>
      <c r="BH102" s="21"/>
      <c r="BI102" s="21"/>
    </row>
    <row r="103" spans="1:61" x14ac:dyDescent="0.2">
      <c r="A103">
        <v>49</v>
      </c>
      <c r="B103" t="s">
        <v>887</v>
      </c>
      <c r="C103" t="str">
        <f t="shared" si="13"/>
        <v/>
      </c>
      <c r="D103" t="str">
        <f t="shared" si="19"/>
        <v/>
      </c>
      <c r="E103">
        <v>8</v>
      </c>
      <c r="F103">
        <v>11</v>
      </c>
      <c r="G103" s="6">
        <v>16</v>
      </c>
      <c r="H103">
        <f t="shared" si="15"/>
        <v>1</v>
      </c>
      <c r="I103" s="5" t="s">
        <v>621</v>
      </c>
      <c r="J103" s="5" t="s">
        <v>741</v>
      </c>
      <c r="Q103" t="s">
        <v>619</v>
      </c>
      <c r="R103">
        <v>13</v>
      </c>
      <c r="S103">
        <v>1</v>
      </c>
      <c r="T103" t="str">
        <f t="shared" si="14"/>
        <v>e</v>
      </c>
      <c r="U103" t="s">
        <v>10</v>
      </c>
      <c r="V103" t="s">
        <v>190</v>
      </c>
      <c r="W103" t="s">
        <v>424</v>
      </c>
      <c r="Y103" t="s">
        <v>680</v>
      </c>
      <c r="AA103" t="s">
        <v>705</v>
      </c>
      <c r="AF103" t="s">
        <v>401</v>
      </c>
      <c r="AJ103">
        <v>1</v>
      </c>
      <c r="AM103" t="str">
        <f t="shared" si="16"/>
        <v>Turnover</v>
      </c>
      <c r="AN103" t="str">
        <f t="shared" si="17"/>
        <v>Turnover_Giveaway</v>
      </c>
      <c r="AP103" t="str">
        <f t="shared" si="18"/>
        <v>Offensive</v>
      </c>
      <c r="BB103" s="23"/>
      <c r="BD103" s="21"/>
      <c r="BE103" s="21"/>
      <c r="BF103" s="21"/>
      <c r="BG103" s="21"/>
      <c r="BH103" s="21"/>
      <c r="BI103" s="21"/>
    </row>
    <row r="104" spans="1:61" x14ac:dyDescent="0.2">
      <c r="A104">
        <v>49</v>
      </c>
      <c r="B104" t="s">
        <v>887</v>
      </c>
      <c r="C104" t="str">
        <f t="shared" si="13"/>
        <v/>
      </c>
      <c r="D104" t="str">
        <f t="shared" si="19"/>
        <v/>
      </c>
      <c r="E104">
        <v>8</v>
      </c>
      <c r="F104">
        <v>11</v>
      </c>
      <c r="G104" s="6">
        <v>16</v>
      </c>
      <c r="H104">
        <f t="shared" si="15"/>
        <v>1</v>
      </c>
      <c r="R104">
        <v>14</v>
      </c>
      <c r="T104" t="str">
        <f t="shared" si="14"/>
        <v>o</v>
      </c>
      <c r="AJ104">
        <v>1</v>
      </c>
      <c r="AM104" t="str">
        <f t="shared" si="16"/>
        <v>Turnover</v>
      </c>
      <c r="AN104" t="str">
        <f t="shared" si="17"/>
        <v>Turnover_Giveaway</v>
      </c>
      <c r="AP104" t="str">
        <f t="shared" si="18"/>
        <v>Defensive</v>
      </c>
      <c r="BB104" s="23"/>
      <c r="BD104" s="21"/>
      <c r="BE104" s="21"/>
      <c r="BF104" s="21"/>
      <c r="BG104" s="21"/>
      <c r="BH104" s="21"/>
      <c r="BI104" s="21"/>
    </row>
    <row r="105" spans="1:61" x14ac:dyDescent="0.2">
      <c r="A105">
        <v>50</v>
      </c>
      <c r="B105" t="s">
        <v>887</v>
      </c>
      <c r="C105" t="str">
        <f t="shared" si="13"/>
        <v/>
      </c>
      <c r="D105" t="str">
        <f t="shared" si="19"/>
        <v/>
      </c>
      <c r="E105">
        <v>9</v>
      </c>
      <c r="G105" s="6">
        <v>16</v>
      </c>
      <c r="H105">
        <f t="shared" si="15"/>
        <v>1</v>
      </c>
      <c r="I105" s="5" t="s">
        <v>743</v>
      </c>
      <c r="J105" s="5" t="s">
        <v>622</v>
      </c>
      <c r="K105" s="5" t="s">
        <v>743</v>
      </c>
      <c r="L105" s="7" t="s">
        <v>638</v>
      </c>
      <c r="Q105" t="s">
        <v>620</v>
      </c>
      <c r="R105">
        <v>91</v>
      </c>
      <c r="S105">
        <v>1</v>
      </c>
      <c r="T105" t="str">
        <f t="shared" si="14"/>
        <v>e</v>
      </c>
      <c r="U105" t="s">
        <v>15</v>
      </c>
      <c r="V105" t="s">
        <v>697</v>
      </c>
      <c r="AF105" t="s">
        <v>623</v>
      </c>
      <c r="AM105" t="str">
        <f t="shared" si="16"/>
        <v>Possession</v>
      </c>
      <c r="AN105" t="str">
        <f t="shared" si="17"/>
        <v>PuckRetrieval</v>
      </c>
      <c r="AP105" t="str">
        <f t="shared" si="18"/>
        <v>Offensive</v>
      </c>
      <c r="BB105" s="23"/>
      <c r="BD105" s="21"/>
      <c r="BE105" s="21"/>
      <c r="BF105" s="21"/>
      <c r="BG105" s="21"/>
      <c r="BH105" s="21"/>
      <c r="BI105" s="21"/>
    </row>
    <row r="106" spans="1:61" x14ac:dyDescent="0.2">
      <c r="A106">
        <v>51</v>
      </c>
      <c r="B106">
        <v>11</v>
      </c>
      <c r="C106">
        <f t="shared" si="13"/>
        <v>9011</v>
      </c>
      <c r="D106">
        <f t="shared" si="19"/>
        <v>9011</v>
      </c>
      <c r="E106">
        <v>9</v>
      </c>
      <c r="G106" s="6">
        <v>16</v>
      </c>
      <c r="H106">
        <f t="shared" si="15"/>
        <v>1</v>
      </c>
      <c r="I106" s="5" t="s">
        <v>743</v>
      </c>
      <c r="J106" s="5" t="s">
        <v>638</v>
      </c>
      <c r="Q106" t="s">
        <v>620</v>
      </c>
      <c r="R106">
        <v>91</v>
      </c>
      <c r="S106">
        <v>1</v>
      </c>
      <c r="T106" t="str">
        <f t="shared" si="14"/>
        <v>e</v>
      </c>
      <c r="U106" t="s">
        <v>8</v>
      </c>
      <c r="V106" t="s">
        <v>216</v>
      </c>
      <c r="W106" t="s">
        <v>70</v>
      </c>
      <c r="X106" t="s">
        <v>705</v>
      </c>
      <c r="Y106" t="s">
        <v>744</v>
      </c>
      <c r="AA106" t="s">
        <v>705</v>
      </c>
      <c r="AF106" t="s">
        <v>623</v>
      </c>
      <c r="AM106" t="str">
        <f t="shared" si="16"/>
        <v>Pass</v>
      </c>
      <c r="AN106" t="str">
        <f t="shared" si="17"/>
        <v>Pass_Intercepted</v>
      </c>
      <c r="AP106" t="str">
        <f t="shared" si="18"/>
        <v>Offensive</v>
      </c>
      <c r="BB106" s="23"/>
      <c r="BD106" s="21"/>
      <c r="BE106" s="21"/>
      <c r="BF106" s="21"/>
      <c r="BG106" s="21"/>
      <c r="BH106" s="21"/>
      <c r="BI106" s="21"/>
    </row>
    <row r="107" spans="1:61" x14ac:dyDescent="0.2">
      <c r="A107">
        <v>51</v>
      </c>
      <c r="B107">
        <v>11</v>
      </c>
      <c r="C107">
        <f t="shared" si="13"/>
        <v>9011</v>
      </c>
      <c r="D107">
        <f t="shared" si="19"/>
        <v>9011</v>
      </c>
      <c r="E107">
        <v>9</v>
      </c>
      <c r="G107" s="6">
        <v>16</v>
      </c>
      <c r="H107">
        <f t="shared" si="15"/>
        <v>1</v>
      </c>
      <c r="R107">
        <v>14</v>
      </c>
      <c r="S107">
        <v>1</v>
      </c>
      <c r="T107" t="str">
        <f t="shared" si="14"/>
        <v>e</v>
      </c>
      <c r="X107" t="s">
        <v>705</v>
      </c>
      <c r="AM107" t="str">
        <f t="shared" si="16"/>
        <v>Pass</v>
      </c>
      <c r="AN107" t="str">
        <f t="shared" si="17"/>
        <v>Pass_Intercepted</v>
      </c>
      <c r="AP107" t="str">
        <f t="shared" si="18"/>
        <v>Offensive</v>
      </c>
      <c r="BB107" s="23"/>
      <c r="BD107" s="21"/>
      <c r="BE107" s="21"/>
      <c r="BF107" s="21"/>
      <c r="BG107" s="21"/>
      <c r="BH107" s="21"/>
      <c r="BI107" s="21"/>
    </row>
    <row r="108" spans="1:61" x14ac:dyDescent="0.2">
      <c r="A108">
        <v>51</v>
      </c>
      <c r="B108">
        <v>11</v>
      </c>
      <c r="C108">
        <f t="shared" si="13"/>
        <v>9011</v>
      </c>
      <c r="D108">
        <f t="shared" si="19"/>
        <v>9011</v>
      </c>
      <c r="E108">
        <v>9</v>
      </c>
      <c r="G108" s="6">
        <v>16</v>
      </c>
      <c r="H108">
        <f t="shared" si="15"/>
        <v>1</v>
      </c>
      <c r="I108" s="5" t="s">
        <v>743</v>
      </c>
      <c r="J108" s="5" t="s">
        <v>638</v>
      </c>
      <c r="Q108" t="s">
        <v>620</v>
      </c>
      <c r="R108">
        <v>13</v>
      </c>
      <c r="T108" t="str">
        <f t="shared" si="14"/>
        <v>o</v>
      </c>
      <c r="X108" t="s">
        <v>705</v>
      </c>
      <c r="Y108" t="s">
        <v>723</v>
      </c>
      <c r="AA108" t="s">
        <v>706</v>
      </c>
      <c r="AM108" t="str">
        <f t="shared" si="16"/>
        <v>Pass</v>
      </c>
      <c r="AN108" t="str">
        <f t="shared" si="17"/>
        <v>Pass_Intercepted</v>
      </c>
      <c r="AP108" t="str">
        <f t="shared" si="18"/>
        <v>Defensive</v>
      </c>
      <c r="BB108" s="23"/>
      <c r="BD108" s="21"/>
      <c r="BE108" s="21"/>
      <c r="BF108" s="21"/>
      <c r="BG108" s="21"/>
      <c r="BH108" s="21"/>
      <c r="BI108" s="21"/>
    </row>
    <row r="109" spans="1:61" x14ac:dyDescent="0.2">
      <c r="A109">
        <v>52</v>
      </c>
      <c r="B109">
        <v>11</v>
      </c>
      <c r="C109">
        <f t="shared" si="13"/>
        <v>9011</v>
      </c>
      <c r="D109">
        <f t="shared" si="19"/>
        <v>9011</v>
      </c>
      <c r="E109">
        <v>9</v>
      </c>
      <c r="G109" s="6">
        <v>16</v>
      </c>
      <c r="H109">
        <f t="shared" si="15"/>
        <v>1</v>
      </c>
      <c r="I109" s="5" t="s">
        <v>743</v>
      </c>
      <c r="J109" s="5" t="s">
        <v>638</v>
      </c>
      <c r="Q109" t="s">
        <v>620</v>
      </c>
      <c r="R109">
        <v>91</v>
      </c>
      <c r="S109">
        <v>1</v>
      </c>
      <c r="T109" t="str">
        <f t="shared" si="14"/>
        <v>e</v>
      </c>
      <c r="U109" t="s">
        <v>10</v>
      </c>
      <c r="V109" t="s">
        <v>190</v>
      </c>
      <c r="W109" t="s">
        <v>75</v>
      </c>
      <c r="AF109" t="s">
        <v>623</v>
      </c>
      <c r="AM109" t="str">
        <f t="shared" si="16"/>
        <v>Turnover</v>
      </c>
      <c r="AN109" t="str">
        <f t="shared" si="17"/>
        <v>Turnover_Giveaway</v>
      </c>
      <c r="AP109" t="str">
        <f t="shared" si="18"/>
        <v>Offensive</v>
      </c>
      <c r="BB109" s="23"/>
      <c r="BD109" s="21"/>
      <c r="BE109" s="21"/>
      <c r="BF109" s="21"/>
      <c r="BG109" s="21"/>
      <c r="BH109" s="21"/>
      <c r="BI109" s="21"/>
    </row>
    <row r="110" spans="1:61" x14ac:dyDescent="0.2">
      <c r="A110">
        <v>52</v>
      </c>
      <c r="B110">
        <v>11</v>
      </c>
      <c r="C110">
        <f t="shared" si="13"/>
        <v>9011</v>
      </c>
      <c r="D110">
        <f t="shared" si="19"/>
        <v>9011</v>
      </c>
      <c r="E110">
        <v>9</v>
      </c>
      <c r="G110" s="6">
        <v>16</v>
      </c>
      <c r="H110">
        <f t="shared" si="15"/>
        <v>1</v>
      </c>
      <c r="R110">
        <v>13</v>
      </c>
      <c r="T110" t="str">
        <f t="shared" si="14"/>
        <v>o</v>
      </c>
      <c r="AM110" t="str">
        <f t="shared" si="16"/>
        <v>Turnover</v>
      </c>
      <c r="AN110" t="str">
        <f t="shared" si="17"/>
        <v>Turnover_Giveaway</v>
      </c>
      <c r="AP110" t="str">
        <f t="shared" si="18"/>
        <v>Defensive</v>
      </c>
      <c r="BB110" s="23"/>
      <c r="BD110" s="21"/>
      <c r="BE110" s="21"/>
      <c r="BF110" s="21"/>
      <c r="BG110" s="21"/>
      <c r="BH110" s="21"/>
      <c r="BI110" s="21"/>
    </row>
    <row r="111" spans="1:61" x14ac:dyDescent="0.2">
      <c r="A111">
        <v>53</v>
      </c>
      <c r="B111" t="s">
        <v>887</v>
      </c>
      <c r="C111" t="str">
        <f t="shared" si="13"/>
        <v/>
      </c>
      <c r="D111" t="str">
        <f t="shared" si="19"/>
        <v/>
      </c>
      <c r="E111">
        <v>9</v>
      </c>
      <c r="G111" s="6">
        <v>16</v>
      </c>
      <c r="H111">
        <f t="shared" si="15"/>
        <v>1</v>
      </c>
      <c r="I111" s="5" t="s">
        <v>743</v>
      </c>
      <c r="J111" s="5" t="s">
        <v>750</v>
      </c>
      <c r="K111" s="5" t="s">
        <v>743</v>
      </c>
      <c r="L111" s="7" t="s">
        <v>637</v>
      </c>
      <c r="Q111" t="s">
        <v>619</v>
      </c>
      <c r="R111">
        <v>13</v>
      </c>
      <c r="S111">
        <v>1</v>
      </c>
      <c r="T111" t="str">
        <f t="shared" si="14"/>
        <v>e</v>
      </c>
      <c r="U111" t="s">
        <v>15</v>
      </c>
      <c r="AF111" t="s">
        <v>401</v>
      </c>
      <c r="AJ111">
        <v>1</v>
      </c>
      <c r="AM111" t="str">
        <f t="shared" si="16"/>
        <v>Possession</v>
      </c>
      <c r="AN111" t="str">
        <f t="shared" si="17"/>
        <v/>
      </c>
      <c r="AP111" t="str">
        <f t="shared" si="18"/>
        <v>Offensive</v>
      </c>
      <c r="BB111" s="23"/>
      <c r="BD111" s="21"/>
      <c r="BE111" s="21"/>
      <c r="BF111" s="21"/>
      <c r="BG111" s="21"/>
      <c r="BH111" s="21"/>
      <c r="BI111" s="21"/>
    </row>
    <row r="112" spans="1:61" x14ac:dyDescent="0.2">
      <c r="A112">
        <v>53</v>
      </c>
      <c r="B112" t="s">
        <v>887</v>
      </c>
      <c r="C112" t="str">
        <f t="shared" si="13"/>
        <v/>
      </c>
      <c r="D112" t="str">
        <f t="shared" si="19"/>
        <v/>
      </c>
      <c r="E112">
        <v>9</v>
      </c>
      <c r="G112" s="6">
        <v>16</v>
      </c>
      <c r="H112">
        <f t="shared" si="15"/>
        <v>1</v>
      </c>
      <c r="R112">
        <v>70</v>
      </c>
      <c r="T112" t="str">
        <f t="shared" si="14"/>
        <v>o</v>
      </c>
      <c r="Y112" t="s">
        <v>714</v>
      </c>
      <c r="AA112" t="s">
        <v>706</v>
      </c>
      <c r="AJ112">
        <v>1</v>
      </c>
      <c r="AM112" t="str">
        <f t="shared" si="16"/>
        <v>Possession</v>
      </c>
      <c r="AN112" t="str">
        <f t="shared" si="17"/>
        <v/>
      </c>
      <c r="AP112" t="str">
        <f t="shared" si="18"/>
        <v>Defensive</v>
      </c>
      <c r="BB112" s="23"/>
      <c r="BD112" s="21"/>
      <c r="BE112" s="21"/>
      <c r="BF112" s="21"/>
      <c r="BG112" s="21"/>
      <c r="BH112" s="21"/>
      <c r="BI112" s="21"/>
    </row>
    <row r="113" spans="1:61" x14ac:dyDescent="0.2">
      <c r="A113">
        <v>54</v>
      </c>
      <c r="B113" t="s">
        <v>887</v>
      </c>
      <c r="C113" t="str">
        <f t="shared" si="13"/>
        <v/>
      </c>
      <c r="D113" t="str">
        <f t="shared" si="19"/>
        <v/>
      </c>
      <c r="E113">
        <v>9</v>
      </c>
      <c r="G113" s="6">
        <v>17</v>
      </c>
      <c r="H113">
        <f t="shared" si="15"/>
        <v>1</v>
      </c>
      <c r="I113" s="5" t="s">
        <v>743</v>
      </c>
      <c r="J113" s="5" t="s">
        <v>637</v>
      </c>
      <c r="Q113" t="s">
        <v>620</v>
      </c>
      <c r="R113">
        <v>70</v>
      </c>
      <c r="S113">
        <v>1</v>
      </c>
      <c r="T113" t="str">
        <f t="shared" si="14"/>
        <v>e</v>
      </c>
      <c r="U113" t="s">
        <v>257</v>
      </c>
      <c r="V113" t="s">
        <v>201</v>
      </c>
      <c r="W113" t="s">
        <v>450</v>
      </c>
      <c r="AF113" t="s">
        <v>623</v>
      </c>
      <c r="AM113" t="str">
        <f t="shared" si="16"/>
        <v>Zone_Entry_Exit</v>
      </c>
      <c r="AN113" t="str">
        <f t="shared" si="17"/>
        <v>Zone_Exit</v>
      </c>
      <c r="AP113" t="str">
        <f t="shared" si="18"/>
        <v>Offensive</v>
      </c>
      <c r="BB113" s="23"/>
      <c r="BD113" s="21"/>
      <c r="BE113" s="21"/>
      <c r="BF113" s="21"/>
      <c r="BG113" s="21"/>
      <c r="BH113" s="21"/>
      <c r="BI113" s="21"/>
    </row>
    <row r="114" spans="1:61" x14ac:dyDescent="0.2">
      <c r="A114">
        <v>54</v>
      </c>
      <c r="B114" t="s">
        <v>887</v>
      </c>
      <c r="C114" t="str">
        <f t="shared" si="13"/>
        <v/>
      </c>
      <c r="D114" t="str">
        <f t="shared" si="19"/>
        <v/>
      </c>
      <c r="E114">
        <v>9</v>
      </c>
      <c r="G114" s="6">
        <v>17</v>
      </c>
      <c r="H114">
        <f t="shared" si="15"/>
        <v>1</v>
      </c>
      <c r="R114">
        <v>13</v>
      </c>
      <c r="T114" t="str">
        <f t="shared" si="14"/>
        <v>o</v>
      </c>
      <c r="AM114" t="str">
        <f t="shared" si="16"/>
        <v>Zone_Entry_Exit</v>
      </c>
      <c r="AN114" t="str">
        <f t="shared" si="17"/>
        <v>Zone_Exit</v>
      </c>
      <c r="AP114" t="str">
        <f t="shared" si="18"/>
        <v>Defensive</v>
      </c>
      <c r="BB114" s="23"/>
      <c r="BD114" s="21"/>
      <c r="BE114" s="21"/>
      <c r="BF114" s="21"/>
      <c r="BG114" s="21"/>
      <c r="BH114" s="21"/>
      <c r="BI114" s="21"/>
    </row>
    <row r="115" spans="1:61" x14ac:dyDescent="0.2">
      <c r="A115">
        <v>55</v>
      </c>
      <c r="B115" t="s">
        <v>887</v>
      </c>
      <c r="C115" t="str">
        <f t="shared" si="13"/>
        <v/>
      </c>
      <c r="D115" t="str">
        <f t="shared" si="19"/>
        <v/>
      </c>
      <c r="E115">
        <v>10</v>
      </c>
      <c r="G115" s="6">
        <v>17</v>
      </c>
      <c r="H115">
        <f t="shared" si="15"/>
        <v>1</v>
      </c>
      <c r="I115" s="5" t="s">
        <v>743</v>
      </c>
      <c r="J115" s="5" t="s">
        <v>751</v>
      </c>
      <c r="K115" s="5" t="s">
        <v>743</v>
      </c>
      <c r="L115" s="7" t="s">
        <v>753</v>
      </c>
      <c r="Q115" t="s">
        <v>619</v>
      </c>
      <c r="R115">
        <v>25</v>
      </c>
      <c r="S115">
        <v>1</v>
      </c>
      <c r="T115" t="str">
        <f t="shared" si="14"/>
        <v>e</v>
      </c>
      <c r="U115" t="s">
        <v>15</v>
      </c>
      <c r="V115" t="s">
        <v>698</v>
      </c>
      <c r="X115" t="s">
        <v>706</v>
      </c>
      <c r="Y115" t="s">
        <v>752</v>
      </c>
      <c r="AA115" t="s">
        <v>706</v>
      </c>
      <c r="AF115" t="s">
        <v>635</v>
      </c>
      <c r="AM115" t="str">
        <f t="shared" si="16"/>
        <v>Possession</v>
      </c>
      <c r="AN115" t="str">
        <f t="shared" si="17"/>
        <v>PuckRecovery</v>
      </c>
      <c r="AP115" t="str">
        <f t="shared" si="18"/>
        <v>Offensive</v>
      </c>
      <c r="BB115" s="23"/>
      <c r="BD115" s="21"/>
      <c r="BE115" s="21"/>
      <c r="BF115" s="21"/>
      <c r="BG115" s="21"/>
      <c r="BH115" s="21"/>
      <c r="BI115" s="21"/>
    </row>
    <row r="116" spans="1:61" x14ac:dyDescent="0.2">
      <c r="A116">
        <v>56</v>
      </c>
      <c r="B116" t="s">
        <v>887</v>
      </c>
      <c r="C116" t="str">
        <f t="shared" si="13"/>
        <v/>
      </c>
      <c r="D116" t="str">
        <f t="shared" si="19"/>
        <v/>
      </c>
      <c r="E116">
        <v>10</v>
      </c>
      <c r="G116" s="6">
        <v>17</v>
      </c>
      <c r="H116">
        <f t="shared" si="15"/>
        <v>1</v>
      </c>
      <c r="I116" s="5" t="s">
        <v>743</v>
      </c>
      <c r="J116" s="5" t="s">
        <v>753</v>
      </c>
      <c r="Q116" t="s">
        <v>619</v>
      </c>
      <c r="R116">
        <v>25</v>
      </c>
      <c r="S116">
        <v>1</v>
      </c>
      <c r="T116" t="str">
        <f t="shared" si="14"/>
        <v>e</v>
      </c>
      <c r="U116" t="s">
        <v>8</v>
      </c>
      <c r="V116" t="s">
        <v>189</v>
      </c>
      <c r="W116" t="s">
        <v>70</v>
      </c>
      <c r="X116" t="s">
        <v>706</v>
      </c>
      <c r="AF116" t="s">
        <v>635</v>
      </c>
      <c r="AM116" t="str">
        <f t="shared" si="16"/>
        <v>Pass</v>
      </c>
      <c r="AN116" t="str">
        <f t="shared" si="17"/>
        <v>Pass_Completed</v>
      </c>
      <c r="AP116" t="str">
        <f t="shared" si="18"/>
        <v>Offensive</v>
      </c>
      <c r="BB116" s="23"/>
      <c r="BD116" s="21"/>
      <c r="BE116" s="21"/>
      <c r="BF116" s="21"/>
      <c r="BG116" s="21"/>
      <c r="BH116" s="21"/>
      <c r="BI116" s="21"/>
    </row>
    <row r="117" spans="1:61" x14ac:dyDescent="0.2">
      <c r="A117">
        <v>56</v>
      </c>
      <c r="B117" t="s">
        <v>887</v>
      </c>
      <c r="C117" t="str">
        <f t="shared" si="13"/>
        <v/>
      </c>
      <c r="D117" t="str">
        <f t="shared" si="19"/>
        <v/>
      </c>
      <c r="E117">
        <v>10</v>
      </c>
      <c r="G117" s="6">
        <v>17</v>
      </c>
      <c r="H117">
        <f t="shared" si="15"/>
        <v>1</v>
      </c>
      <c r="R117">
        <v>13</v>
      </c>
      <c r="S117">
        <v>1</v>
      </c>
      <c r="T117" t="str">
        <f t="shared" si="14"/>
        <v>e</v>
      </c>
      <c r="X117" t="s">
        <v>706</v>
      </c>
      <c r="AM117" t="str">
        <f t="shared" si="16"/>
        <v>Pass</v>
      </c>
      <c r="AN117" t="str">
        <f t="shared" si="17"/>
        <v>Pass_Completed</v>
      </c>
      <c r="AP117" t="str">
        <f t="shared" si="18"/>
        <v>Offensive</v>
      </c>
      <c r="BB117" s="23"/>
      <c r="BD117" s="21"/>
      <c r="BE117" s="21"/>
      <c r="BF117" s="21"/>
      <c r="BG117" s="21"/>
      <c r="BH117" s="21"/>
      <c r="BI117" s="21"/>
    </row>
    <row r="118" spans="1:61" x14ac:dyDescent="0.2">
      <c r="A118">
        <v>57</v>
      </c>
      <c r="B118" t="s">
        <v>887</v>
      </c>
      <c r="C118" t="str">
        <f t="shared" si="13"/>
        <v/>
      </c>
      <c r="D118" t="str">
        <f t="shared" si="19"/>
        <v/>
      </c>
      <c r="E118">
        <v>10</v>
      </c>
      <c r="G118" s="6">
        <v>17</v>
      </c>
      <c r="H118">
        <f t="shared" si="15"/>
        <v>1</v>
      </c>
      <c r="I118" s="5" t="s">
        <v>743</v>
      </c>
      <c r="J118" s="5" t="s">
        <v>640</v>
      </c>
      <c r="K118" s="5" t="s">
        <v>743</v>
      </c>
      <c r="L118" s="7" t="s">
        <v>672</v>
      </c>
      <c r="Q118" t="s">
        <v>619</v>
      </c>
      <c r="R118">
        <v>13</v>
      </c>
      <c r="S118">
        <v>1</v>
      </c>
      <c r="T118" t="str">
        <f t="shared" si="14"/>
        <v>e</v>
      </c>
      <c r="U118" t="s">
        <v>15</v>
      </c>
      <c r="AF118" t="s">
        <v>635</v>
      </c>
      <c r="AM118" t="str">
        <f t="shared" si="16"/>
        <v>Possession</v>
      </c>
      <c r="AN118" t="str">
        <f t="shared" si="17"/>
        <v/>
      </c>
      <c r="AP118" t="str">
        <f t="shared" si="18"/>
        <v>Offensive</v>
      </c>
      <c r="BB118" s="23"/>
      <c r="BD118" s="21"/>
      <c r="BE118" s="21"/>
      <c r="BF118" s="21"/>
      <c r="BG118" s="21"/>
      <c r="BH118" s="21"/>
      <c r="BI118" s="21"/>
    </row>
    <row r="119" spans="1:61" x14ac:dyDescent="0.2">
      <c r="A119">
        <v>58</v>
      </c>
      <c r="B119">
        <v>12</v>
      </c>
      <c r="C119">
        <f t="shared" si="13"/>
        <v>9012</v>
      </c>
      <c r="D119">
        <f t="shared" si="19"/>
        <v>9012</v>
      </c>
      <c r="E119">
        <v>10</v>
      </c>
      <c r="G119" s="6">
        <v>17</v>
      </c>
      <c r="H119">
        <f t="shared" si="15"/>
        <v>1</v>
      </c>
      <c r="I119" s="5" t="s">
        <v>743</v>
      </c>
      <c r="J119" s="5" t="s">
        <v>672</v>
      </c>
      <c r="Q119" t="s">
        <v>619</v>
      </c>
      <c r="R119">
        <v>13</v>
      </c>
      <c r="S119">
        <v>1</v>
      </c>
      <c r="T119" t="str">
        <f t="shared" si="14"/>
        <v>e</v>
      </c>
      <c r="U119" t="s">
        <v>8</v>
      </c>
      <c r="V119" t="s">
        <v>199</v>
      </c>
      <c r="W119" t="s">
        <v>480</v>
      </c>
      <c r="X119" t="s">
        <v>705</v>
      </c>
      <c r="Y119" t="s">
        <v>754</v>
      </c>
      <c r="AF119" t="s">
        <v>635</v>
      </c>
      <c r="AM119" t="str">
        <f t="shared" si="16"/>
        <v>Pass</v>
      </c>
      <c r="AN119" t="str">
        <f t="shared" si="17"/>
        <v>Pass_Missed</v>
      </c>
      <c r="AP119" t="str">
        <f t="shared" si="18"/>
        <v>Offensive</v>
      </c>
      <c r="BB119" s="23"/>
      <c r="BD119" s="21"/>
      <c r="BE119" s="21"/>
      <c r="BF119" s="21"/>
      <c r="BG119" s="21"/>
      <c r="BH119" s="21"/>
      <c r="BI119" s="21"/>
    </row>
    <row r="120" spans="1:61" x14ac:dyDescent="0.2">
      <c r="A120">
        <v>58</v>
      </c>
      <c r="B120">
        <v>12</v>
      </c>
      <c r="C120">
        <f t="shared" si="13"/>
        <v>9012</v>
      </c>
      <c r="D120">
        <f t="shared" si="19"/>
        <v>9012</v>
      </c>
      <c r="E120">
        <v>10</v>
      </c>
      <c r="G120" s="6">
        <v>17</v>
      </c>
      <c r="H120">
        <f t="shared" si="15"/>
        <v>1</v>
      </c>
      <c r="R120">
        <v>68</v>
      </c>
      <c r="S120">
        <v>1</v>
      </c>
      <c r="T120" t="str">
        <f t="shared" si="14"/>
        <v>e</v>
      </c>
      <c r="X120" t="s">
        <v>705</v>
      </c>
      <c r="AM120" t="str">
        <f t="shared" si="16"/>
        <v>Pass</v>
      </c>
      <c r="AN120" t="str">
        <f t="shared" si="17"/>
        <v>Pass_Missed</v>
      </c>
      <c r="AP120" t="str">
        <f t="shared" si="18"/>
        <v>Offensive</v>
      </c>
      <c r="BB120" s="23"/>
      <c r="BD120" s="21"/>
      <c r="BE120" s="21"/>
      <c r="BF120" s="21"/>
      <c r="BG120" s="21"/>
      <c r="BH120" s="21"/>
      <c r="BI120" s="21"/>
    </row>
    <row r="121" spans="1:61" x14ac:dyDescent="0.2">
      <c r="A121">
        <v>59</v>
      </c>
      <c r="B121">
        <v>12</v>
      </c>
      <c r="C121">
        <f t="shared" si="13"/>
        <v>9012</v>
      </c>
      <c r="D121">
        <f t="shared" si="19"/>
        <v>9012</v>
      </c>
      <c r="E121">
        <v>10</v>
      </c>
      <c r="F121">
        <v>12</v>
      </c>
      <c r="G121" s="6">
        <v>18</v>
      </c>
      <c r="H121">
        <f t="shared" si="15"/>
        <v>1</v>
      </c>
      <c r="I121" s="5" t="s">
        <v>743</v>
      </c>
      <c r="J121" s="5" t="s">
        <v>672</v>
      </c>
      <c r="Q121" t="s">
        <v>619</v>
      </c>
      <c r="R121">
        <v>13</v>
      </c>
      <c r="S121">
        <v>1</v>
      </c>
      <c r="T121" t="str">
        <f t="shared" si="14"/>
        <v>e</v>
      </c>
      <c r="U121" t="s">
        <v>257</v>
      </c>
      <c r="V121" t="s">
        <v>191</v>
      </c>
      <c r="W121" t="s">
        <v>423</v>
      </c>
      <c r="AF121" t="s">
        <v>401</v>
      </c>
      <c r="AM121" t="str">
        <f t="shared" si="16"/>
        <v>Zone_Entry_Exit</v>
      </c>
      <c r="AN121" t="str">
        <f t="shared" si="17"/>
        <v>Zone_Entry</v>
      </c>
      <c r="AP121" t="str">
        <f t="shared" si="18"/>
        <v>Offensive</v>
      </c>
      <c r="BB121" s="23"/>
      <c r="BD121" s="21"/>
      <c r="BE121" s="21"/>
      <c r="BF121" s="21"/>
      <c r="BG121" s="21"/>
      <c r="BH121" s="21"/>
      <c r="BI121" s="21"/>
    </row>
    <row r="122" spans="1:61" x14ac:dyDescent="0.2">
      <c r="A122">
        <v>59</v>
      </c>
      <c r="B122">
        <v>12</v>
      </c>
      <c r="C122">
        <f t="shared" si="13"/>
        <v>9012</v>
      </c>
      <c r="D122">
        <f t="shared" si="19"/>
        <v>9012</v>
      </c>
      <c r="E122">
        <v>10</v>
      </c>
      <c r="F122">
        <v>12</v>
      </c>
      <c r="G122" s="6">
        <v>18</v>
      </c>
      <c r="H122">
        <f t="shared" si="15"/>
        <v>1</v>
      </c>
      <c r="R122">
        <v>68</v>
      </c>
      <c r="S122">
        <v>1</v>
      </c>
      <c r="T122" t="str">
        <f t="shared" si="14"/>
        <v>e</v>
      </c>
      <c r="AM122" t="str">
        <f t="shared" si="16"/>
        <v>Zone_Entry_Exit</v>
      </c>
      <c r="AN122" t="str">
        <f t="shared" si="17"/>
        <v>Zone_Entry</v>
      </c>
      <c r="AP122" t="str">
        <f t="shared" si="18"/>
        <v>Offensive</v>
      </c>
      <c r="BB122" s="23"/>
      <c r="BD122" s="21"/>
      <c r="BE122" s="21"/>
      <c r="BF122" s="21"/>
      <c r="BG122" s="21"/>
      <c r="BH122" s="21"/>
      <c r="BI122" s="21"/>
    </row>
    <row r="123" spans="1:61" x14ac:dyDescent="0.2">
      <c r="A123">
        <v>60</v>
      </c>
      <c r="B123" t="s">
        <v>887</v>
      </c>
      <c r="C123" t="str">
        <f t="shared" si="13"/>
        <v/>
      </c>
      <c r="D123" t="str">
        <f t="shared" si="19"/>
        <v/>
      </c>
      <c r="E123">
        <v>10</v>
      </c>
      <c r="F123">
        <v>12</v>
      </c>
      <c r="G123" s="6">
        <v>18</v>
      </c>
      <c r="H123">
        <f t="shared" si="15"/>
        <v>1</v>
      </c>
      <c r="I123" s="5" t="s">
        <v>743</v>
      </c>
      <c r="J123" s="5" t="s">
        <v>755</v>
      </c>
      <c r="Q123" t="s">
        <v>619</v>
      </c>
      <c r="R123">
        <v>68</v>
      </c>
      <c r="S123">
        <v>1</v>
      </c>
      <c r="T123" t="str">
        <f t="shared" si="14"/>
        <v>e</v>
      </c>
      <c r="U123" t="s">
        <v>15</v>
      </c>
      <c r="V123" t="s">
        <v>698</v>
      </c>
      <c r="X123" t="s">
        <v>706</v>
      </c>
      <c r="Y123" t="s">
        <v>756</v>
      </c>
      <c r="AF123" t="s">
        <v>401</v>
      </c>
      <c r="AM123" t="str">
        <f t="shared" si="16"/>
        <v>Possession</v>
      </c>
      <c r="AN123" t="str">
        <f t="shared" si="17"/>
        <v>PuckRecovery</v>
      </c>
      <c r="AP123" t="str">
        <f t="shared" si="18"/>
        <v>Offensive</v>
      </c>
      <c r="BB123" s="23"/>
      <c r="BD123" s="21"/>
      <c r="BE123" s="21"/>
      <c r="BF123" s="21"/>
      <c r="BG123" s="21"/>
      <c r="BH123" s="21"/>
      <c r="BI123" s="21"/>
    </row>
    <row r="124" spans="1:61" x14ac:dyDescent="0.2">
      <c r="A124">
        <v>60</v>
      </c>
      <c r="B124" t="s">
        <v>887</v>
      </c>
      <c r="C124" t="str">
        <f t="shared" si="13"/>
        <v/>
      </c>
      <c r="D124" t="str">
        <f t="shared" si="19"/>
        <v/>
      </c>
      <c r="E124">
        <v>10</v>
      </c>
      <c r="F124">
        <v>12</v>
      </c>
      <c r="G124" s="6">
        <v>18</v>
      </c>
      <c r="H124">
        <f t="shared" si="15"/>
        <v>1</v>
      </c>
      <c r="R124">
        <v>91</v>
      </c>
      <c r="T124" t="str">
        <f t="shared" si="14"/>
        <v>o</v>
      </c>
      <c r="AM124" t="str">
        <f t="shared" si="16"/>
        <v>Possession</v>
      </c>
      <c r="AN124" t="str">
        <f t="shared" si="17"/>
        <v>PuckRecovery</v>
      </c>
      <c r="AP124" t="str">
        <f t="shared" si="18"/>
        <v>Defensive</v>
      </c>
      <c r="BB124" s="23"/>
      <c r="BD124" s="21"/>
      <c r="BE124" s="21"/>
      <c r="BF124" s="21"/>
      <c r="BG124" s="21"/>
      <c r="BH124" s="21"/>
      <c r="BI124" s="21"/>
    </row>
    <row r="125" spans="1:61" x14ac:dyDescent="0.2">
      <c r="A125">
        <v>61</v>
      </c>
      <c r="B125" t="s">
        <v>887</v>
      </c>
      <c r="C125" t="str">
        <f t="shared" si="13"/>
        <v/>
      </c>
      <c r="D125" t="str">
        <f t="shared" si="19"/>
        <v/>
      </c>
      <c r="E125">
        <v>10</v>
      </c>
      <c r="F125">
        <v>13</v>
      </c>
      <c r="G125" s="6">
        <v>18</v>
      </c>
      <c r="H125">
        <f t="shared" si="15"/>
        <v>1</v>
      </c>
      <c r="I125" s="5" t="s">
        <v>743</v>
      </c>
      <c r="J125" s="5" t="s">
        <v>682</v>
      </c>
      <c r="Q125" t="s">
        <v>619</v>
      </c>
      <c r="R125">
        <v>68</v>
      </c>
      <c r="S125">
        <v>1</v>
      </c>
      <c r="T125" t="str">
        <f t="shared" si="14"/>
        <v>e</v>
      </c>
      <c r="U125" t="s">
        <v>8</v>
      </c>
      <c r="V125" t="s">
        <v>189</v>
      </c>
      <c r="W125" t="s">
        <v>69</v>
      </c>
      <c r="X125" t="s">
        <v>706</v>
      </c>
      <c r="AF125" t="s">
        <v>401</v>
      </c>
      <c r="AJ125">
        <v>1</v>
      </c>
      <c r="AM125" t="str">
        <f t="shared" si="16"/>
        <v>Pass</v>
      </c>
      <c r="AN125" t="str">
        <f t="shared" si="17"/>
        <v>Pass_Completed</v>
      </c>
      <c r="AP125" t="str">
        <f t="shared" si="18"/>
        <v>Offensive</v>
      </c>
      <c r="BB125" s="23"/>
      <c r="BD125" s="21"/>
      <c r="BE125" s="21"/>
      <c r="BF125" s="21"/>
      <c r="BG125" s="21"/>
      <c r="BH125" s="21"/>
      <c r="BI125" s="21"/>
    </row>
    <row r="126" spans="1:61" x14ac:dyDescent="0.2">
      <c r="A126">
        <v>61</v>
      </c>
      <c r="B126" t="s">
        <v>887</v>
      </c>
      <c r="C126" t="str">
        <f t="shared" si="13"/>
        <v/>
      </c>
      <c r="D126" t="str">
        <f t="shared" si="19"/>
        <v/>
      </c>
      <c r="E126">
        <v>10</v>
      </c>
      <c r="F126">
        <v>13</v>
      </c>
      <c r="G126" s="6">
        <v>18</v>
      </c>
      <c r="H126">
        <f t="shared" si="15"/>
        <v>1</v>
      </c>
      <c r="R126">
        <v>13</v>
      </c>
      <c r="S126">
        <v>1</v>
      </c>
      <c r="T126" t="str">
        <f t="shared" si="14"/>
        <v>e</v>
      </c>
      <c r="X126" t="s">
        <v>706</v>
      </c>
      <c r="AM126" t="str">
        <f t="shared" si="16"/>
        <v>Pass</v>
      </c>
      <c r="AN126" t="str">
        <f t="shared" si="17"/>
        <v>Pass_Completed</v>
      </c>
      <c r="AP126" t="str">
        <f t="shared" si="18"/>
        <v>Offensive</v>
      </c>
      <c r="BB126" s="23"/>
      <c r="BD126" s="21"/>
      <c r="BE126" s="21"/>
      <c r="BF126" s="21"/>
      <c r="BG126" s="21"/>
      <c r="BH126" s="21"/>
      <c r="BI126" s="21"/>
    </row>
    <row r="127" spans="1:61" x14ac:dyDescent="0.2">
      <c r="A127">
        <v>61</v>
      </c>
      <c r="B127" t="s">
        <v>887</v>
      </c>
      <c r="C127" t="str">
        <f t="shared" si="13"/>
        <v/>
      </c>
      <c r="D127" t="str">
        <f t="shared" si="19"/>
        <v/>
      </c>
      <c r="E127">
        <v>10</v>
      </c>
      <c r="F127">
        <v>13</v>
      </c>
      <c r="G127" s="6">
        <v>18</v>
      </c>
      <c r="H127">
        <f t="shared" si="15"/>
        <v>1</v>
      </c>
      <c r="R127">
        <v>91</v>
      </c>
      <c r="T127" t="str">
        <f t="shared" si="14"/>
        <v>o</v>
      </c>
      <c r="X127" t="s">
        <v>706</v>
      </c>
      <c r="Y127" t="s">
        <v>722</v>
      </c>
      <c r="AJ127">
        <v>1</v>
      </c>
      <c r="AM127" t="str">
        <f t="shared" si="16"/>
        <v>Pass</v>
      </c>
      <c r="AN127" t="str">
        <f t="shared" si="17"/>
        <v>Pass_Completed</v>
      </c>
      <c r="AP127" t="str">
        <f t="shared" si="18"/>
        <v>Defensive</v>
      </c>
      <c r="BB127" s="23"/>
      <c r="BD127" s="21"/>
      <c r="BE127" s="21"/>
      <c r="BF127" s="21"/>
      <c r="BG127" s="21"/>
      <c r="BH127" s="21"/>
      <c r="BI127" s="21"/>
    </row>
    <row r="128" spans="1:61" x14ac:dyDescent="0.2">
      <c r="A128">
        <v>62</v>
      </c>
      <c r="B128" t="s">
        <v>887</v>
      </c>
      <c r="C128" t="str">
        <f t="shared" si="13"/>
        <v/>
      </c>
      <c r="D128" t="str">
        <f t="shared" si="19"/>
        <v/>
      </c>
      <c r="E128">
        <v>10</v>
      </c>
      <c r="F128">
        <v>13</v>
      </c>
      <c r="G128" s="6">
        <v>18</v>
      </c>
      <c r="H128">
        <f t="shared" si="15"/>
        <v>1</v>
      </c>
      <c r="I128" s="5" t="s">
        <v>743</v>
      </c>
      <c r="J128" s="5" t="s">
        <v>711</v>
      </c>
      <c r="K128" s="5" t="s">
        <v>743</v>
      </c>
      <c r="L128" s="7" t="s">
        <v>713</v>
      </c>
      <c r="Q128" t="s">
        <v>619</v>
      </c>
      <c r="R128">
        <v>13</v>
      </c>
      <c r="S128">
        <v>1</v>
      </c>
      <c r="T128" t="str">
        <f t="shared" si="14"/>
        <v>e</v>
      </c>
      <c r="U128" t="s">
        <v>15</v>
      </c>
      <c r="AF128" t="s">
        <v>401</v>
      </c>
      <c r="AM128" t="str">
        <f t="shared" si="16"/>
        <v>Possession</v>
      </c>
      <c r="AN128" t="str">
        <f t="shared" si="17"/>
        <v/>
      </c>
      <c r="AP128" t="str">
        <f t="shared" si="18"/>
        <v>Offensive</v>
      </c>
      <c r="BB128" s="23"/>
      <c r="BD128" s="21"/>
      <c r="BE128" s="21"/>
      <c r="BF128" s="21"/>
      <c r="BG128" s="21"/>
      <c r="BH128" s="21"/>
      <c r="BI128" s="21"/>
    </row>
    <row r="129" spans="1:61" x14ac:dyDescent="0.2">
      <c r="A129">
        <v>63</v>
      </c>
      <c r="B129" t="s">
        <v>887</v>
      </c>
      <c r="C129" t="str">
        <f t="shared" si="13"/>
        <v/>
      </c>
      <c r="D129" t="str">
        <f t="shared" si="19"/>
        <v/>
      </c>
      <c r="E129">
        <v>10</v>
      </c>
      <c r="F129">
        <v>13</v>
      </c>
      <c r="G129" s="6">
        <v>18</v>
      </c>
      <c r="H129">
        <f t="shared" si="15"/>
        <v>1</v>
      </c>
      <c r="I129" s="5" t="s">
        <v>743</v>
      </c>
      <c r="J129" s="5" t="s">
        <v>713</v>
      </c>
      <c r="Q129" t="s">
        <v>619</v>
      </c>
      <c r="R129">
        <v>13</v>
      </c>
      <c r="S129">
        <v>1</v>
      </c>
      <c r="T129" t="str">
        <f t="shared" si="14"/>
        <v>e</v>
      </c>
      <c r="U129" t="s">
        <v>8</v>
      </c>
      <c r="V129" t="s">
        <v>189</v>
      </c>
      <c r="W129" t="s">
        <v>70</v>
      </c>
      <c r="X129" t="s">
        <v>706</v>
      </c>
      <c r="AC129" t="s">
        <v>629</v>
      </c>
      <c r="AF129" t="s">
        <v>401</v>
      </c>
      <c r="AM129" t="str">
        <f t="shared" si="16"/>
        <v>Pass</v>
      </c>
      <c r="AN129" t="str">
        <f t="shared" si="17"/>
        <v>Pass_Completed</v>
      </c>
      <c r="AP129" t="str">
        <f t="shared" si="18"/>
        <v>Offensive</v>
      </c>
      <c r="BB129" s="23"/>
      <c r="BD129" s="21"/>
      <c r="BE129" s="21"/>
      <c r="BF129" s="21"/>
      <c r="BG129" s="21"/>
      <c r="BH129" s="21"/>
      <c r="BI129" s="21"/>
    </row>
    <row r="130" spans="1:61" x14ac:dyDescent="0.2">
      <c r="A130">
        <v>63</v>
      </c>
      <c r="B130" t="s">
        <v>887</v>
      </c>
      <c r="C130" t="str">
        <f t="shared" si="13"/>
        <v/>
      </c>
      <c r="D130" t="str">
        <f t="shared" si="19"/>
        <v/>
      </c>
      <c r="E130">
        <v>10</v>
      </c>
      <c r="F130">
        <v>13</v>
      </c>
      <c r="G130" s="6">
        <v>18</v>
      </c>
      <c r="H130">
        <f t="shared" si="15"/>
        <v>1</v>
      </c>
      <c r="R130">
        <v>3</v>
      </c>
      <c r="T130" t="str">
        <f t="shared" si="14"/>
        <v>o</v>
      </c>
      <c r="AM130" t="str">
        <f t="shared" si="16"/>
        <v>Pass</v>
      </c>
      <c r="AN130" t="str">
        <f t="shared" si="17"/>
        <v>Pass_Completed</v>
      </c>
      <c r="AP130" t="str">
        <f t="shared" si="18"/>
        <v>Defensive</v>
      </c>
      <c r="BB130" s="23"/>
      <c r="BD130" s="21"/>
      <c r="BE130" s="21"/>
      <c r="BF130" s="21"/>
      <c r="BG130" s="21"/>
      <c r="BH130" s="21"/>
      <c r="BI130" s="21"/>
    </row>
    <row r="131" spans="1:61" x14ac:dyDescent="0.2">
      <c r="A131">
        <v>63</v>
      </c>
      <c r="B131" t="s">
        <v>887</v>
      </c>
      <c r="C131" t="str">
        <f t="shared" ref="C131:C194" si="20">IF(B131&lt;&gt;"",9000+B131,"")</f>
        <v/>
      </c>
      <c r="D131" t="str">
        <f t="shared" si="19"/>
        <v/>
      </c>
      <c r="E131">
        <v>10</v>
      </c>
      <c r="F131">
        <v>13</v>
      </c>
      <c r="G131" s="6">
        <v>18</v>
      </c>
      <c r="H131">
        <f t="shared" si="15"/>
        <v>1</v>
      </c>
      <c r="R131">
        <v>22</v>
      </c>
      <c r="T131" t="str">
        <f t="shared" ref="T131:T194" si="21">IF(S131="x","",IF(S131=1,"e","o"))</f>
        <v>o</v>
      </c>
      <c r="AM131" t="str">
        <f t="shared" si="16"/>
        <v>Pass</v>
      </c>
      <c r="AN131" t="str">
        <f t="shared" si="17"/>
        <v>Pass_Completed</v>
      </c>
      <c r="AP131" t="str">
        <f t="shared" si="18"/>
        <v>Defensive</v>
      </c>
      <c r="BB131" s="23"/>
      <c r="BD131" s="21"/>
      <c r="BE131" s="21"/>
      <c r="BF131" s="21"/>
      <c r="BG131" s="21"/>
      <c r="BH131" s="21"/>
      <c r="BI131" s="21"/>
    </row>
    <row r="132" spans="1:61" x14ac:dyDescent="0.2">
      <c r="A132">
        <v>64</v>
      </c>
      <c r="B132">
        <v>13</v>
      </c>
      <c r="C132">
        <f t="shared" si="20"/>
        <v>9013</v>
      </c>
      <c r="D132">
        <f t="shared" si="19"/>
        <v>9013</v>
      </c>
      <c r="E132">
        <v>10</v>
      </c>
      <c r="F132">
        <v>13</v>
      </c>
      <c r="G132" s="6">
        <v>18</v>
      </c>
      <c r="H132">
        <f t="shared" ref="H132:H195" si="22">IF(U132="Intermission",H131+1,H131)</f>
        <v>1</v>
      </c>
      <c r="I132" s="5" t="s">
        <v>743</v>
      </c>
      <c r="J132" s="5" t="s">
        <v>716</v>
      </c>
      <c r="Q132" t="s">
        <v>619</v>
      </c>
      <c r="R132">
        <v>3</v>
      </c>
      <c r="S132">
        <v>1</v>
      </c>
      <c r="T132" t="str">
        <f t="shared" si="21"/>
        <v>e</v>
      </c>
      <c r="U132" t="s">
        <v>7</v>
      </c>
      <c r="V132" t="s">
        <v>222</v>
      </c>
      <c r="W132" t="s">
        <v>65</v>
      </c>
      <c r="X132" t="s">
        <v>706</v>
      </c>
      <c r="AC132" t="s">
        <v>629</v>
      </c>
      <c r="AE132">
        <v>1</v>
      </c>
      <c r="AF132" t="s">
        <v>401</v>
      </c>
      <c r="AM132" t="str">
        <f t="shared" si="16"/>
        <v>Shot</v>
      </c>
      <c r="AN132" t="str">
        <f t="shared" si="17"/>
        <v>Shot_OnNetSaved</v>
      </c>
      <c r="AP132" t="str">
        <f t="shared" si="18"/>
        <v>Offensive</v>
      </c>
      <c r="BB132" s="23"/>
      <c r="BD132" s="21"/>
      <c r="BE132" s="21"/>
      <c r="BF132" s="21"/>
      <c r="BG132" s="21"/>
      <c r="BH132" s="21"/>
      <c r="BI132" s="21"/>
    </row>
    <row r="133" spans="1:61" x14ac:dyDescent="0.2">
      <c r="A133">
        <v>64</v>
      </c>
      <c r="B133">
        <v>13</v>
      </c>
      <c r="C133">
        <f t="shared" si="20"/>
        <v>9013</v>
      </c>
      <c r="D133">
        <f t="shared" si="19"/>
        <v>9013</v>
      </c>
      <c r="E133">
        <v>10</v>
      </c>
      <c r="F133">
        <v>13</v>
      </c>
      <c r="G133" s="6">
        <v>18</v>
      </c>
      <c r="H133">
        <f t="shared" si="22"/>
        <v>1</v>
      </c>
      <c r="R133">
        <v>39</v>
      </c>
      <c r="T133" t="str">
        <f t="shared" si="21"/>
        <v>o</v>
      </c>
      <c r="AM133" t="str">
        <f t="shared" si="16"/>
        <v>Shot</v>
      </c>
      <c r="AN133" t="str">
        <f t="shared" si="17"/>
        <v>Shot_OnNetSaved</v>
      </c>
      <c r="AP133" t="str">
        <f t="shared" si="18"/>
        <v>Defensive</v>
      </c>
      <c r="BB133" s="23"/>
      <c r="BD133" s="21"/>
      <c r="BE133" s="21"/>
      <c r="BF133" s="21"/>
      <c r="BG133" s="21"/>
      <c r="BH133" s="21"/>
      <c r="BI133" s="21"/>
    </row>
    <row r="134" spans="1:61" x14ac:dyDescent="0.2">
      <c r="A134">
        <v>65</v>
      </c>
      <c r="B134">
        <v>13</v>
      </c>
      <c r="C134">
        <f t="shared" si="20"/>
        <v>9013</v>
      </c>
      <c r="D134">
        <f t="shared" si="19"/>
        <v>9013</v>
      </c>
      <c r="E134">
        <v>10</v>
      </c>
      <c r="F134">
        <v>13</v>
      </c>
      <c r="G134" s="6">
        <v>18</v>
      </c>
      <c r="H134">
        <f t="shared" si="22"/>
        <v>1</v>
      </c>
      <c r="I134" s="5" t="s">
        <v>743</v>
      </c>
      <c r="J134" s="5" t="s">
        <v>716</v>
      </c>
      <c r="Q134" t="s">
        <v>620</v>
      </c>
      <c r="R134">
        <v>3</v>
      </c>
      <c r="S134">
        <v>1</v>
      </c>
      <c r="T134" t="str">
        <f t="shared" si="21"/>
        <v>e</v>
      </c>
      <c r="U134" t="s">
        <v>17</v>
      </c>
      <c r="V134" t="s">
        <v>196</v>
      </c>
      <c r="W134" t="s">
        <v>98</v>
      </c>
      <c r="X134" t="s">
        <v>706</v>
      </c>
      <c r="AC134" t="s">
        <v>629</v>
      </c>
      <c r="AE134">
        <v>1</v>
      </c>
      <c r="AF134" t="s">
        <v>623</v>
      </c>
      <c r="AM134" t="str">
        <f t="shared" si="16"/>
        <v>Save</v>
      </c>
      <c r="AN134" t="str">
        <f t="shared" si="17"/>
        <v>Save_Rebound</v>
      </c>
      <c r="AP134" t="str">
        <f t="shared" ref="AP134:AP197" si="23">IF(AND(T134="e",OR(AM134="Save",AN134="Turnover_Takeaway",AN134="Play_Defensive")),"Defensive",IF(AND(T134="o",OR(AM134="Save",AN134="Turnover_Takeaway",AN134="Play_Defensive")),"Offensive",IF(OR(AM134="Deadice",AM134="Stoppage",AM134="Intermission"),"",IF(T134="e","Offensive",IF(T134="o","Defensive","")))))</f>
        <v>Defensive</v>
      </c>
      <c r="BB134" s="23"/>
      <c r="BD134" s="21"/>
      <c r="BE134" s="21"/>
      <c r="BF134" s="21"/>
      <c r="BG134" s="21"/>
      <c r="BH134" s="21"/>
      <c r="BI134" s="21"/>
    </row>
    <row r="135" spans="1:61" x14ac:dyDescent="0.2">
      <c r="A135">
        <v>65</v>
      </c>
      <c r="B135">
        <v>13</v>
      </c>
      <c r="C135">
        <f t="shared" si="20"/>
        <v>9013</v>
      </c>
      <c r="D135">
        <f t="shared" si="19"/>
        <v>9013</v>
      </c>
      <c r="E135">
        <v>10</v>
      </c>
      <c r="F135">
        <v>13</v>
      </c>
      <c r="G135" s="6">
        <v>18</v>
      </c>
      <c r="H135">
        <f t="shared" si="22"/>
        <v>1</v>
      </c>
      <c r="R135">
        <v>39</v>
      </c>
      <c r="T135" t="str">
        <f t="shared" si="21"/>
        <v>o</v>
      </c>
      <c r="AM135" t="str">
        <f t="shared" ref="AM135:AM198" si="24">IF(U135&lt;&gt;"",U135,IF($A135=$A134,AM134,""))</f>
        <v>Save</v>
      </c>
      <c r="AN135" t="str">
        <f t="shared" ref="AN135:AN198" si="25">IF(V135&lt;&gt;"",V135,IF($A135=$A134,AN134,""))</f>
        <v>Save_Rebound</v>
      </c>
      <c r="AP135" t="str">
        <f t="shared" si="23"/>
        <v>Offensive</v>
      </c>
      <c r="BB135" s="23"/>
      <c r="BD135" s="21"/>
      <c r="BE135" s="21"/>
      <c r="BF135" s="21"/>
      <c r="BG135" s="21"/>
      <c r="BH135" s="21"/>
      <c r="BI135" s="21"/>
    </row>
    <row r="136" spans="1:61" x14ac:dyDescent="0.2">
      <c r="A136">
        <v>66</v>
      </c>
      <c r="B136">
        <v>13</v>
      </c>
      <c r="C136">
        <f t="shared" si="20"/>
        <v>9013</v>
      </c>
      <c r="D136">
        <f t="shared" ref="D136:D199" si="26">IF(C136&lt;&gt;"",C136,B136)</f>
        <v>9013</v>
      </c>
      <c r="E136">
        <v>10</v>
      </c>
      <c r="F136">
        <v>13</v>
      </c>
      <c r="G136" s="6">
        <v>18</v>
      </c>
      <c r="H136">
        <f t="shared" si="22"/>
        <v>1</v>
      </c>
      <c r="I136" s="5" t="s">
        <v>743</v>
      </c>
      <c r="J136" s="5" t="s">
        <v>716</v>
      </c>
      <c r="Q136" t="s">
        <v>620</v>
      </c>
      <c r="R136">
        <v>39</v>
      </c>
      <c r="S136">
        <v>1</v>
      </c>
      <c r="T136" t="str">
        <f t="shared" si="21"/>
        <v>e</v>
      </c>
      <c r="U136" t="s">
        <v>250</v>
      </c>
      <c r="V136" t="s">
        <v>251</v>
      </c>
      <c r="AF136" t="s">
        <v>623</v>
      </c>
      <c r="AM136" t="str">
        <f t="shared" si="24"/>
        <v>Rebound</v>
      </c>
      <c r="AN136" t="str">
        <f t="shared" si="25"/>
        <v>Rebound_TeamRecovered</v>
      </c>
      <c r="AP136" t="str">
        <f t="shared" si="23"/>
        <v>Offensive</v>
      </c>
      <c r="BB136" s="23"/>
      <c r="BD136" s="21"/>
      <c r="BE136" s="21"/>
      <c r="BF136" s="21"/>
      <c r="BG136" s="21"/>
      <c r="BH136" s="21"/>
      <c r="BI136" s="21"/>
    </row>
    <row r="137" spans="1:61" x14ac:dyDescent="0.2">
      <c r="A137">
        <v>67</v>
      </c>
      <c r="B137" t="s">
        <v>887</v>
      </c>
      <c r="C137" t="str">
        <f t="shared" si="20"/>
        <v/>
      </c>
      <c r="D137" t="str">
        <f t="shared" si="26"/>
        <v/>
      </c>
      <c r="E137">
        <v>11</v>
      </c>
      <c r="G137" s="6">
        <v>18</v>
      </c>
      <c r="H137">
        <f t="shared" si="22"/>
        <v>1</v>
      </c>
      <c r="I137" s="5" t="s">
        <v>743</v>
      </c>
      <c r="J137" s="5" t="s">
        <v>717</v>
      </c>
      <c r="K137" s="5" t="s">
        <v>743</v>
      </c>
      <c r="L137" s="7" t="s">
        <v>724</v>
      </c>
      <c r="Q137" t="s">
        <v>620</v>
      </c>
      <c r="R137">
        <v>42</v>
      </c>
      <c r="S137">
        <v>1</v>
      </c>
      <c r="T137" t="str">
        <f t="shared" si="21"/>
        <v>e</v>
      </c>
      <c r="U137" t="s">
        <v>15</v>
      </c>
      <c r="V137" t="s">
        <v>697</v>
      </c>
      <c r="X137" t="s">
        <v>706</v>
      </c>
      <c r="Y137" t="s">
        <v>683</v>
      </c>
      <c r="AF137" t="s">
        <v>623</v>
      </c>
      <c r="AM137" t="str">
        <f t="shared" si="24"/>
        <v>Possession</v>
      </c>
      <c r="AN137" t="str">
        <f t="shared" si="25"/>
        <v>PuckRetrieval</v>
      </c>
      <c r="AP137" t="str">
        <f t="shared" si="23"/>
        <v>Offensive</v>
      </c>
      <c r="BB137" s="23"/>
      <c r="BD137" s="21"/>
      <c r="BE137" s="21"/>
      <c r="BF137" s="21"/>
      <c r="BG137" s="21"/>
      <c r="BH137" s="21"/>
      <c r="BI137" s="21"/>
    </row>
    <row r="138" spans="1:61" x14ac:dyDescent="0.2">
      <c r="A138">
        <v>67</v>
      </c>
      <c r="B138" t="s">
        <v>887</v>
      </c>
      <c r="C138" t="str">
        <f t="shared" si="20"/>
        <v/>
      </c>
      <c r="D138" t="str">
        <f t="shared" si="26"/>
        <v/>
      </c>
      <c r="E138">
        <v>11</v>
      </c>
      <c r="G138" s="6">
        <v>18</v>
      </c>
      <c r="H138">
        <f t="shared" si="22"/>
        <v>1</v>
      </c>
      <c r="R138">
        <v>3</v>
      </c>
      <c r="T138" t="str">
        <f t="shared" si="21"/>
        <v>o</v>
      </c>
      <c r="AM138" t="str">
        <f t="shared" si="24"/>
        <v>Possession</v>
      </c>
      <c r="AN138" t="str">
        <f t="shared" si="25"/>
        <v>PuckRetrieval</v>
      </c>
      <c r="AP138" t="str">
        <f t="shared" si="23"/>
        <v>Defensive</v>
      </c>
      <c r="BB138" s="23"/>
      <c r="BD138" s="21"/>
      <c r="BE138" s="21"/>
      <c r="BF138" s="21"/>
      <c r="BG138" s="21"/>
      <c r="BH138" s="21"/>
      <c r="BI138" s="21"/>
    </row>
    <row r="139" spans="1:61" x14ac:dyDescent="0.2">
      <c r="A139">
        <v>68</v>
      </c>
      <c r="B139">
        <v>14</v>
      </c>
      <c r="C139">
        <f t="shared" si="20"/>
        <v>9014</v>
      </c>
      <c r="D139">
        <f t="shared" si="26"/>
        <v>9014</v>
      </c>
      <c r="E139">
        <v>11</v>
      </c>
      <c r="G139" s="6">
        <v>18</v>
      </c>
      <c r="H139">
        <f t="shared" si="22"/>
        <v>1</v>
      </c>
      <c r="I139" s="5" t="s">
        <v>743</v>
      </c>
      <c r="J139" s="5" t="s">
        <v>717</v>
      </c>
      <c r="Q139" t="s">
        <v>620</v>
      </c>
      <c r="R139">
        <v>42</v>
      </c>
      <c r="S139">
        <v>1</v>
      </c>
      <c r="T139" t="str">
        <f t="shared" si="21"/>
        <v>e</v>
      </c>
      <c r="U139" t="s">
        <v>8</v>
      </c>
      <c r="V139" t="s">
        <v>209</v>
      </c>
      <c r="W139" t="s">
        <v>67</v>
      </c>
      <c r="X139" t="s">
        <v>705</v>
      </c>
      <c r="AF139" t="s">
        <v>623</v>
      </c>
      <c r="AM139" t="str">
        <f t="shared" si="24"/>
        <v>Pass</v>
      </c>
      <c r="AN139" t="str">
        <f t="shared" si="25"/>
        <v>Pass_Deflected</v>
      </c>
      <c r="AP139" t="str">
        <f t="shared" si="23"/>
        <v>Offensive</v>
      </c>
      <c r="BB139" s="23"/>
      <c r="BD139" s="21"/>
      <c r="BE139" s="21"/>
      <c r="BF139" s="21"/>
      <c r="BG139" s="21"/>
      <c r="BH139" s="21"/>
      <c r="BI139" s="21"/>
    </row>
    <row r="140" spans="1:61" x14ac:dyDescent="0.2">
      <c r="A140">
        <v>68</v>
      </c>
      <c r="B140">
        <v>14</v>
      </c>
      <c r="C140">
        <f t="shared" si="20"/>
        <v>9014</v>
      </c>
      <c r="D140">
        <f t="shared" si="26"/>
        <v>9014</v>
      </c>
      <c r="E140">
        <v>11</v>
      </c>
      <c r="G140" s="6">
        <v>18</v>
      </c>
      <c r="H140">
        <f t="shared" si="22"/>
        <v>1</v>
      </c>
      <c r="R140">
        <v>55</v>
      </c>
      <c r="S140">
        <v>1</v>
      </c>
      <c r="T140" t="str">
        <f t="shared" si="21"/>
        <v>e</v>
      </c>
      <c r="AM140" t="str">
        <f t="shared" si="24"/>
        <v>Pass</v>
      </c>
      <c r="AN140" t="str">
        <f t="shared" si="25"/>
        <v>Pass_Deflected</v>
      </c>
      <c r="AP140" t="str">
        <f t="shared" si="23"/>
        <v>Offensive</v>
      </c>
      <c r="BB140" s="23"/>
      <c r="BD140" s="21"/>
      <c r="BE140" s="21"/>
      <c r="BF140" s="21"/>
      <c r="BG140" s="21"/>
      <c r="BH140" s="21"/>
      <c r="BI140" s="21"/>
    </row>
    <row r="141" spans="1:61" x14ac:dyDescent="0.2">
      <c r="A141">
        <v>68</v>
      </c>
      <c r="B141">
        <v>14</v>
      </c>
      <c r="C141">
        <f t="shared" si="20"/>
        <v>9014</v>
      </c>
      <c r="D141">
        <f t="shared" si="26"/>
        <v>9014</v>
      </c>
      <c r="E141">
        <v>11</v>
      </c>
      <c r="G141" s="6">
        <v>18</v>
      </c>
      <c r="H141">
        <f t="shared" si="22"/>
        <v>1</v>
      </c>
      <c r="R141">
        <v>56</v>
      </c>
      <c r="T141" t="str">
        <f t="shared" si="21"/>
        <v>o</v>
      </c>
      <c r="Y141" t="s">
        <v>722</v>
      </c>
      <c r="AM141" t="str">
        <f t="shared" si="24"/>
        <v>Pass</v>
      </c>
      <c r="AN141" t="str">
        <f t="shared" si="25"/>
        <v>Pass_Deflected</v>
      </c>
      <c r="AP141" t="str">
        <f t="shared" si="23"/>
        <v>Defensive</v>
      </c>
      <c r="BB141" s="23"/>
      <c r="BD141" s="21"/>
      <c r="BE141" s="21"/>
      <c r="BF141" s="21"/>
      <c r="BG141" s="21"/>
      <c r="BH141" s="21"/>
      <c r="BI141" s="21"/>
    </row>
    <row r="142" spans="1:61" x14ac:dyDescent="0.2">
      <c r="A142">
        <v>69</v>
      </c>
      <c r="B142">
        <v>14</v>
      </c>
      <c r="C142">
        <f t="shared" si="20"/>
        <v>9014</v>
      </c>
      <c r="D142">
        <f t="shared" si="26"/>
        <v>9014</v>
      </c>
      <c r="E142">
        <v>11</v>
      </c>
      <c r="G142" s="6">
        <v>19</v>
      </c>
      <c r="H142">
        <f t="shared" si="22"/>
        <v>1</v>
      </c>
      <c r="I142" s="5" t="s">
        <v>743</v>
      </c>
      <c r="J142" s="5" t="s">
        <v>717</v>
      </c>
      <c r="Q142" t="s">
        <v>620</v>
      </c>
      <c r="R142">
        <v>42</v>
      </c>
      <c r="S142">
        <v>1</v>
      </c>
      <c r="T142" t="str">
        <f t="shared" si="21"/>
        <v>e</v>
      </c>
      <c r="U142" t="s">
        <v>257</v>
      </c>
      <c r="V142" t="s">
        <v>191</v>
      </c>
      <c r="W142" t="s">
        <v>423</v>
      </c>
      <c r="AF142" t="s">
        <v>623</v>
      </c>
      <c r="AM142" t="str">
        <f t="shared" si="24"/>
        <v>Zone_Entry_Exit</v>
      </c>
      <c r="AN142" t="str">
        <f t="shared" si="25"/>
        <v>Zone_Entry</v>
      </c>
      <c r="AP142" t="str">
        <f t="shared" si="23"/>
        <v>Offensive</v>
      </c>
      <c r="BB142" s="23"/>
      <c r="BD142" s="21"/>
      <c r="BE142" s="21"/>
      <c r="BF142" s="21"/>
      <c r="BG142" s="21"/>
      <c r="BH142" s="21"/>
      <c r="BI142" s="21"/>
    </row>
    <row r="143" spans="1:61" x14ac:dyDescent="0.2">
      <c r="A143">
        <v>69</v>
      </c>
      <c r="B143">
        <v>14</v>
      </c>
      <c r="C143">
        <f t="shared" si="20"/>
        <v>9014</v>
      </c>
      <c r="D143">
        <f t="shared" si="26"/>
        <v>9014</v>
      </c>
      <c r="E143">
        <v>11</v>
      </c>
      <c r="G143" s="6">
        <v>19</v>
      </c>
      <c r="H143">
        <f t="shared" si="22"/>
        <v>1</v>
      </c>
      <c r="R143">
        <v>55</v>
      </c>
      <c r="S143">
        <v>1</v>
      </c>
      <c r="T143" t="str">
        <f t="shared" si="21"/>
        <v>e</v>
      </c>
      <c r="AM143" t="str">
        <f t="shared" si="24"/>
        <v>Zone_Entry_Exit</v>
      </c>
      <c r="AN143" t="str">
        <f t="shared" si="25"/>
        <v>Zone_Entry</v>
      </c>
      <c r="AP143" t="str">
        <f t="shared" si="23"/>
        <v>Offensive</v>
      </c>
      <c r="BB143" s="23"/>
      <c r="BD143" s="21"/>
      <c r="BE143" s="21"/>
      <c r="BF143" s="21"/>
      <c r="BG143" s="21"/>
      <c r="BH143" s="21"/>
      <c r="BI143" s="21"/>
    </row>
    <row r="144" spans="1:61" x14ac:dyDescent="0.2">
      <c r="A144">
        <v>69</v>
      </c>
      <c r="B144">
        <v>14</v>
      </c>
      <c r="C144">
        <f t="shared" si="20"/>
        <v>9014</v>
      </c>
      <c r="D144">
        <f t="shared" si="26"/>
        <v>9014</v>
      </c>
      <c r="E144">
        <v>11</v>
      </c>
      <c r="G144" s="6">
        <v>19</v>
      </c>
      <c r="H144">
        <f t="shared" si="22"/>
        <v>1</v>
      </c>
      <c r="R144">
        <v>56</v>
      </c>
      <c r="T144" t="str">
        <f t="shared" si="21"/>
        <v>o</v>
      </c>
      <c r="AM144" t="str">
        <f t="shared" si="24"/>
        <v>Zone_Entry_Exit</v>
      </c>
      <c r="AN144" t="str">
        <f t="shared" si="25"/>
        <v>Zone_Entry</v>
      </c>
      <c r="AP144" t="str">
        <f t="shared" si="23"/>
        <v>Defensive</v>
      </c>
      <c r="BB144" s="23"/>
      <c r="BD144" s="21"/>
      <c r="BE144" s="21"/>
      <c r="BF144" s="21"/>
      <c r="BG144" s="21"/>
      <c r="BH144" s="21"/>
      <c r="BI144" s="21"/>
    </row>
    <row r="145" spans="1:61" x14ac:dyDescent="0.2">
      <c r="A145">
        <v>70</v>
      </c>
      <c r="B145" t="s">
        <v>887</v>
      </c>
      <c r="C145" t="str">
        <f t="shared" si="20"/>
        <v/>
      </c>
      <c r="D145" t="str">
        <f t="shared" si="26"/>
        <v/>
      </c>
      <c r="E145">
        <v>11</v>
      </c>
      <c r="G145" s="6">
        <v>19</v>
      </c>
      <c r="H145">
        <f t="shared" si="22"/>
        <v>1</v>
      </c>
      <c r="I145" s="5" t="s">
        <v>743</v>
      </c>
      <c r="J145" s="5" t="s">
        <v>724</v>
      </c>
      <c r="K145" s="5" t="s">
        <v>743</v>
      </c>
      <c r="L145" s="7" t="s">
        <v>726</v>
      </c>
      <c r="Q145" t="s">
        <v>620</v>
      </c>
      <c r="R145">
        <v>55</v>
      </c>
      <c r="S145">
        <v>1</v>
      </c>
      <c r="T145" t="str">
        <f t="shared" si="21"/>
        <v>e</v>
      </c>
      <c r="U145" t="s">
        <v>15</v>
      </c>
      <c r="AF145" t="s">
        <v>635</v>
      </c>
      <c r="AM145" t="str">
        <f t="shared" si="24"/>
        <v>Possession</v>
      </c>
      <c r="AN145" t="str">
        <f t="shared" si="25"/>
        <v/>
      </c>
      <c r="AP145" t="str">
        <f t="shared" si="23"/>
        <v>Offensive</v>
      </c>
      <c r="BB145" s="23"/>
      <c r="BD145" s="21"/>
      <c r="BE145" s="21"/>
      <c r="BF145" s="21"/>
      <c r="BG145" s="21"/>
      <c r="BH145" s="21"/>
      <c r="BI145" s="21"/>
    </row>
    <row r="146" spans="1:61" x14ac:dyDescent="0.2">
      <c r="A146">
        <v>70</v>
      </c>
      <c r="B146" t="s">
        <v>887</v>
      </c>
      <c r="C146" t="str">
        <f t="shared" si="20"/>
        <v/>
      </c>
      <c r="D146" t="str">
        <f t="shared" si="26"/>
        <v/>
      </c>
      <c r="E146">
        <v>11</v>
      </c>
      <c r="G146" s="6">
        <v>19</v>
      </c>
      <c r="H146">
        <f t="shared" si="22"/>
        <v>1</v>
      </c>
      <c r="R146">
        <v>44</v>
      </c>
      <c r="T146" t="str">
        <f t="shared" si="21"/>
        <v>o</v>
      </c>
      <c r="Y146" t="s">
        <v>714</v>
      </c>
      <c r="AA146" t="s">
        <v>705</v>
      </c>
      <c r="AM146" t="str">
        <f t="shared" si="24"/>
        <v>Possession</v>
      </c>
      <c r="AN146" t="str">
        <f t="shared" si="25"/>
        <v/>
      </c>
      <c r="AP146" t="str">
        <f t="shared" si="23"/>
        <v>Defensive</v>
      </c>
      <c r="BB146" s="23"/>
      <c r="BD146" s="21"/>
      <c r="BE146" s="21"/>
      <c r="BF146" s="21"/>
      <c r="BG146" s="21"/>
      <c r="BH146" s="21"/>
      <c r="BI146" s="21"/>
    </row>
    <row r="147" spans="1:61" x14ac:dyDescent="0.2">
      <c r="A147">
        <v>71</v>
      </c>
      <c r="B147">
        <v>15</v>
      </c>
      <c r="C147">
        <f t="shared" si="20"/>
        <v>9015</v>
      </c>
      <c r="D147">
        <f t="shared" si="26"/>
        <v>9015</v>
      </c>
      <c r="E147">
        <v>12</v>
      </c>
      <c r="G147" s="6">
        <v>20</v>
      </c>
      <c r="H147">
        <f t="shared" si="22"/>
        <v>1</v>
      </c>
      <c r="I147" s="5" t="s">
        <v>743</v>
      </c>
      <c r="J147" s="5" t="s">
        <v>726</v>
      </c>
      <c r="Q147" t="s">
        <v>620</v>
      </c>
      <c r="R147">
        <v>55</v>
      </c>
      <c r="S147">
        <v>1</v>
      </c>
      <c r="T147" t="str">
        <f t="shared" si="21"/>
        <v>e</v>
      </c>
      <c r="U147" t="s">
        <v>257</v>
      </c>
      <c r="V147" t="s">
        <v>191</v>
      </c>
      <c r="W147" t="s">
        <v>89</v>
      </c>
      <c r="Y147" t="s">
        <v>758</v>
      </c>
      <c r="AF147" t="s">
        <v>401</v>
      </c>
      <c r="AM147" t="str">
        <f t="shared" si="24"/>
        <v>Zone_Entry_Exit</v>
      </c>
      <c r="AN147" t="str">
        <f t="shared" si="25"/>
        <v>Zone_Entry</v>
      </c>
      <c r="AP147" t="str">
        <f t="shared" si="23"/>
        <v>Offensive</v>
      </c>
      <c r="BB147" s="23"/>
      <c r="BD147" s="21"/>
      <c r="BE147" s="21"/>
      <c r="BF147" s="21"/>
      <c r="BG147" s="21"/>
      <c r="BH147" s="21"/>
      <c r="BI147" s="21"/>
    </row>
    <row r="148" spans="1:61" x14ac:dyDescent="0.2">
      <c r="A148">
        <v>72</v>
      </c>
      <c r="B148">
        <v>15</v>
      </c>
      <c r="C148">
        <f t="shared" si="20"/>
        <v>9015</v>
      </c>
      <c r="D148">
        <f t="shared" si="26"/>
        <v>9015</v>
      </c>
      <c r="E148">
        <v>12</v>
      </c>
      <c r="G148" s="6">
        <v>20</v>
      </c>
      <c r="H148">
        <f t="shared" si="22"/>
        <v>1</v>
      </c>
      <c r="I148" s="5" t="s">
        <v>743</v>
      </c>
      <c r="J148" s="5" t="s">
        <v>759</v>
      </c>
      <c r="Q148" t="s">
        <v>620</v>
      </c>
      <c r="R148">
        <v>55</v>
      </c>
      <c r="S148">
        <v>1</v>
      </c>
      <c r="T148" t="str">
        <f t="shared" si="21"/>
        <v>e</v>
      </c>
      <c r="U148" t="s">
        <v>10</v>
      </c>
      <c r="V148" t="s">
        <v>190</v>
      </c>
      <c r="W148" t="s">
        <v>387</v>
      </c>
      <c r="AF148" t="s">
        <v>401</v>
      </c>
      <c r="AM148" t="str">
        <f t="shared" si="24"/>
        <v>Turnover</v>
      </c>
      <c r="AN148" t="str">
        <f t="shared" si="25"/>
        <v>Turnover_Giveaway</v>
      </c>
      <c r="AP148" t="str">
        <f t="shared" si="23"/>
        <v>Offensive</v>
      </c>
      <c r="BB148" s="23"/>
      <c r="BD148" s="21"/>
      <c r="BE148" s="21"/>
      <c r="BF148" s="21"/>
      <c r="BG148" s="21"/>
      <c r="BH148" s="21"/>
      <c r="BI148" s="21"/>
    </row>
    <row r="149" spans="1:61" x14ac:dyDescent="0.2">
      <c r="A149">
        <v>73</v>
      </c>
      <c r="B149">
        <v>15</v>
      </c>
      <c r="C149">
        <f t="shared" si="20"/>
        <v>9015</v>
      </c>
      <c r="D149">
        <f t="shared" si="26"/>
        <v>9015</v>
      </c>
      <c r="E149">
        <v>12</v>
      </c>
      <c r="G149" s="6">
        <v>20</v>
      </c>
      <c r="H149">
        <f t="shared" si="22"/>
        <v>1</v>
      </c>
      <c r="I149" s="5" t="s">
        <v>743</v>
      </c>
      <c r="J149" s="5" t="s">
        <v>730</v>
      </c>
      <c r="Q149" t="s">
        <v>619</v>
      </c>
      <c r="R149">
        <v>18</v>
      </c>
      <c r="S149">
        <v>1</v>
      </c>
      <c r="T149" t="str">
        <f t="shared" si="21"/>
        <v>e</v>
      </c>
      <c r="U149" t="s">
        <v>15</v>
      </c>
      <c r="V149" t="s">
        <v>697</v>
      </c>
      <c r="X149" t="s">
        <v>706</v>
      </c>
      <c r="Y149" t="s">
        <v>720</v>
      </c>
      <c r="AA149" t="s">
        <v>706</v>
      </c>
      <c r="AF149" t="s">
        <v>623</v>
      </c>
      <c r="AM149" t="str">
        <f t="shared" si="24"/>
        <v>Possession</v>
      </c>
      <c r="AN149" t="str">
        <f t="shared" si="25"/>
        <v>PuckRetrieval</v>
      </c>
      <c r="AP149" t="str">
        <f t="shared" si="23"/>
        <v>Offensive</v>
      </c>
      <c r="BB149" s="23"/>
      <c r="BD149" s="21"/>
      <c r="BE149" s="21"/>
      <c r="BF149" s="21"/>
      <c r="BG149" s="21"/>
      <c r="BH149" s="21"/>
      <c r="BI149" s="21"/>
    </row>
    <row r="150" spans="1:61" x14ac:dyDescent="0.2">
      <c r="A150">
        <v>74</v>
      </c>
      <c r="B150">
        <v>16</v>
      </c>
      <c r="C150">
        <f t="shared" si="20"/>
        <v>9016</v>
      </c>
      <c r="D150">
        <f t="shared" si="26"/>
        <v>9016</v>
      </c>
      <c r="E150">
        <v>12</v>
      </c>
      <c r="G150" s="6">
        <v>20</v>
      </c>
      <c r="H150">
        <f t="shared" si="22"/>
        <v>1</v>
      </c>
      <c r="I150" s="5" t="s">
        <v>743</v>
      </c>
      <c r="J150" s="5" t="s">
        <v>730</v>
      </c>
      <c r="Q150" t="s">
        <v>619</v>
      </c>
      <c r="R150">
        <v>18</v>
      </c>
      <c r="S150">
        <v>1</v>
      </c>
      <c r="T150" t="str">
        <f t="shared" si="21"/>
        <v>e</v>
      </c>
      <c r="U150" t="s">
        <v>8</v>
      </c>
      <c r="V150" t="s">
        <v>199</v>
      </c>
      <c r="W150" t="s">
        <v>68</v>
      </c>
      <c r="X150" t="s">
        <v>705</v>
      </c>
      <c r="AF150" t="s">
        <v>623</v>
      </c>
      <c r="AM150" t="str">
        <f t="shared" si="24"/>
        <v>Pass</v>
      </c>
      <c r="AN150" t="str">
        <f t="shared" si="25"/>
        <v>Pass_Missed</v>
      </c>
      <c r="AP150" t="str">
        <f t="shared" si="23"/>
        <v>Offensive</v>
      </c>
      <c r="BB150" s="23"/>
      <c r="BD150" s="21"/>
      <c r="BE150" s="21"/>
      <c r="BF150" s="21"/>
      <c r="BG150" s="21"/>
      <c r="BH150" s="21"/>
      <c r="BI150" s="21"/>
    </row>
    <row r="151" spans="1:61" x14ac:dyDescent="0.2">
      <c r="A151">
        <v>74</v>
      </c>
      <c r="B151">
        <v>16</v>
      </c>
      <c r="C151">
        <f t="shared" si="20"/>
        <v>9016</v>
      </c>
      <c r="D151">
        <f t="shared" si="26"/>
        <v>9016</v>
      </c>
      <c r="E151">
        <v>12</v>
      </c>
      <c r="G151" s="6">
        <v>20</v>
      </c>
      <c r="H151">
        <f t="shared" si="22"/>
        <v>1</v>
      </c>
      <c r="R151">
        <v>68</v>
      </c>
      <c r="S151">
        <v>1</v>
      </c>
      <c r="T151" t="str">
        <f t="shared" si="21"/>
        <v>e</v>
      </c>
      <c r="AM151" t="str">
        <f t="shared" si="24"/>
        <v>Pass</v>
      </c>
      <c r="AN151" t="str">
        <f t="shared" si="25"/>
        <v>Pass_Missed</v>
      </c>
      <c r="AP151" t="str">
        <f t="shared" si="23"/>
        <v>Offensive</v>
      </c>
      <c r="BB151" s="23"/>
      <c r="BD151" s="21"/>
      <c r="BE151" s="21"/>
      <c r="BF151" s="21"/>
      <c r="BG151" s="21"/>
      <c r="BH151" s="21"/>
      <c r="BI151" s="21"/>
    </row>
    <row r="152" spans="1:61" x14ac:dyDescent="0.2">
      <c r="A152">
        <v>75</v>
      </c>
      <c r="B152">
        <v>16</v>
      </c>
      <c r="C152">
        <f t="shared" si="20"/>
        <v>9016</v>
      </c>
      <c r="D152">
        <f t="shared" si="26"/>
        <v>9016</v>
      </c>
      <c r="E152">
        <v>12</v>
      </c>
      <c r="G152" s="6">
        <v>20</v>
      </c>
      <c r="H152">
        <f t="shared" si="22"/>
        <v>1</v>
      </c>
      <c r="I152" s="5" t="s">
        <v>743</v>
      </c>
      <c r="J152" s="5" t="s">
        <v>730</v>
      </c>
      <c r="Q152" t="s">
        <v>619</v>
      </c>
      <c r="R152">
        <v>18</v>
      </c>
      <c r="S152">
        <v>1</v>
      </c>
      <c r="T152" t="str">
        <f t="shared" si="21"/>
        <v>e</v>
      </c>
      <c r="U152" t="s">
        <v>10</v>
      </c>
      <c r="V152" t="s">
        <v>190</v>
      </c>
      <c r="W152" t="s">
        <v>76</v>
      </c>
      <c r="AF152" t="s">
        <v>623</v>
      </c>
      <c r="AM152" t="str">
        <f t="shared" si="24"/>
        <v>Turnover</v>
      </c>
      <c r="AN152" t="str">
        <f t="shared" si="25"/>
        <v>Turnover_Giveaway</v>
      </c>
      <c r="AP152" t="str">
        <f t="shared" si="23"/>
        <v>Offensive</v>
      </c>
      <c r="BB152" s="23"/>
      <c r="BD152" s="21"/>
      <c r="BE152" s="21"/>
      <c r="BF152" s="21"/>
      <c r="BG152" s="21"/>
      <c r="BH152" s="21"/>
      <c r="BI152" s="21"/>
    </row>
    <row r="153" spans="1:61" x14ac:dyDescent="0.2">
      <c r="A153">
        <v>75</v>
      </c>
      <c r="B153">
        <v>16</v>
      </c>
      <c r="C153">
        <f t="shared" si="20"/>
        <v>9016</v>
      </c>
      <c r="D153">
        <f t="shared" si="26"/>
        <v>9016</v>
      </c>
      <c r="E153">
        <v>12</v>
      </c>
      <c r="G153" s="6">
        <v>20</v>
      </c>
      <c r="H153">
        <f t="shared" si="22"/>
        <v>1</v>
      </c>
      <c r="R153">
        <v>68</v>
      </c>
      <c r="S153">
        <v>1</v>
      </c>
      <c r="T153" t="str">
        <f t="shared" si="21"/>
        <v>e</v>
      </c>
      <c r="AM153" t="str">
        <f t="shared" si="24"/>
        <v>Turnover</v>
      </c>
      <c r="AN153" t="str">
        <f t="shared" si="25"/>
        <v>Turnover_Giveaway</v>
      </c>
      <c r="AP153" t="str">
        <f t="shared" si="23"/>
        <v>Offensive</v>
      </c>
      <c r="BB153" s="23"/>
      <c r="BD153" s="21"/>
      <c r="BE153" s="21"/>
      <c r="BF153" s="21"/>
      <c r="BG153" s="21"/>
      <c r="BH153" s="21"/>
      <c r="BI153" s="21"/>
    </row>
    <row r="154" spans="1:61" x14ac:dyDescent="0.2">
      <c r="A154">
        <v>76</v>
      </c>
      <c r="B154">
        <v>17</v>
      </c>
      <c r="C154">
        <f t="shared" si="20"/>
        <v>9017</v>
      </c>
      <c r="D154">
        <f t="shared" si="26"/>
        <v>9017</v>
      </c>
      <c r="E154">
        <v>13</v>
      </c>
      <c r="F154">
        <v>14</v>
      </c>
      <c r="G154" s="6">
        <v>20</v>
      </c>
      <c r="H154">
        <f t="shared" si="22"/>
        <v>1</v>
      </c>
      <c r="I154" s="5" t="s">
        <v>743</v>
      </c>
      <c r="J154" s="5" t="s">
        <v>731</v>
      </c>
      <c r="Q154" t="s">
        <v>620</v>
      </c>
      <c r="R154">
        <v>84</v>
      </c>
      <c r="S154">
        <v>1</v>
      </c>
      <c r="T154" t="str">
        <f t="shared" si="21"/>
        <v>e</v>
      </c>
      <c r="U154" t="s">
        <v>257</v>
      </c>
      <c r="V154" t="s">
        <v>210</v>
      </c>
      <c r="W154" t="s">
        <v>93</v>
      </c>
      <c r="Y154" t="s">
        <v>725</v>
      </c>
      <c r="AF154" t="s">
        <v>401</v>
      </c>
      <c r="AM154" t="str">
        <f t="shared" si="24"/>
        <v>Zone_Entry_Exit</v>
      </c>
      <c r="AN154" t="str">
        <f t="shared" si="25"/>
        <v>Zone_Keepin</v>
      </c>
      <c r="AP154" t="str">
        <f t="shared" si="23"/>
        <v>Offensive</v>
      </c>
      <c r="BB154" s="23"/>
      <c r="BD154" s="21"/>
      <c r="BE154" s="21"/>
      <c r="BF154" s="21"/>
      <c r="BG154" s="21"/>
      <c r="BH154" s="21"/>
      <c r="BI154" s="21"/>
    </row>
    <row r="155" spans="1:61" x14ac:dyDescent="0.2">
      <c r="A155">
        <v>77</v>
      </c>
      <c r="B155">
        <v>17</v>
      </c>
      <c r="C155">
        <f t="shared" si="20"/>
        <v>9017</v>
      </c>
      <c r="D155">
        <f t="shared" si="26"/>
        <v>9017</v>
      </c>
      <c r="E155">
        <v>13</v>
      </c>
      <c r="F155">
        <v>14</v>
      </c>
      <c r="G155" s="6">
        <v>20</v>
      </c>
      <c r="H155">
        <f t="shared" si="22"/>
        <v>1</v>
      </c>
      <c r="I155" s="5" t="s">
        <v>743</v>
      </c>
      <c r="J155" s="5" t="s">
        <v>731</v>
      </c>
      <c r="K155" s="5" t="s">
        <v>743</v>
      </c>
      <c r="L155" s="7" t="s">
        <v>732</v>
      </c>
      <c r="Q155" t="s">
        <v>620</v>
      </c>
      <c r="R155">
        <v>84</v>
      </c>
      <c r="S155">
        <v>1</v>
      </c>
      <c r="T155" t="str">
        <f t="shared" si="21"/>
        <v>e</v>
      </c>
      <c r="U155" t="s">
        <v>15</v>
      </c>
      <c r="V155" t="s">
        <v>697</v>
      </c>
      <c r="X155" t="s">
        <v>706</v>
      </c>
      <c r="Y155" t="s">
        <v>677</v>
      </c>
      <c r="AA155" t="s">
        <v>706</v>
      </c>
      <c r="AF155" t="s">
        <v>401</v>
      </c>
      <c r="AJ155">
        <v>1</v>
      </c>
      <c r="AM155" t="str">
        <f t="shared" si="24"/>
        <v>Possession</v>
      </c>
      <c r="AN155" t="str">
        <f t="shared" si="25"/>
        <v>PuckRetrieval</v>
      </c>
      <c r="AP155" t="str">
        <f t="shared" si="23"/>
        <v>Offensive</v>
      </c>
      <c r="BB155" s="23"/>
      <c r="BD155" s="21"/>
      <c r="BE155" s="21"/>
      <c r="BF155" s="21"/>
      <c r="BG155" s="21"/>
      <c r="BH155" s="21"/>
      <c r="BI155" s="21"/>
    </row>
    <row r="156" spans="1:61" x14ac:dyDescent="0.2">
      <c r="A156">
        <v>77</v>
      </c>
      <c r="B156">
        <v>17</v>
      </c>
      <c r="C156">
        <f t="shared" si="20"/>
        <v>9017</v>
      </c>
      <c r="D156">
        <f t="shared" si="26"/>
        <v>9017</v>
      </c>
      <c r="E156">
        <v>13</v>
      </c>
      <c r="F156">
        <v>14</v>
      </c>
      <c r="G156" s="6">
        <v>20</v>
      </c>
      <c r="H156">
        <f t="shared" si="22"/>
        <v>1</v>
      </c>
      <c r="R156">
        <v>3</v>
      </c>
      <c r="T156" t="str">
        <f t="shared" si="21"/>
        <v>o</v>
      </c>
      <c r="AJ156">
        <v>1</v>
      </c>
      <c r="AM156" t="str">
        <f t="shared" si="24"/>
        <v>Possession</v>
      </c>
      <c r="AN156" t="str">
        <f t="shared" si="25"/>
        <v>PuckRetrieval</v>
      </c>
      <c r="AP156" t="str">
        <f t="shared" si="23"/>
        <v>Defensive</v>
      </c>
      <c r="BB156" s="23"/>
      <c r="BD156" s="21"/>
      <c r="BE156" s="21"/>
      <c r="BF156" s="21"/>
      <c r="BG156" s="21"/>
      <c r="BH156" s="21"/>
      <c r="BI156" s="21"/>
    </row>
    <row r="157" spans="1:61" x14ac:dyDescent="0.2">
      <c r="A157">
        <v>77</v>
      </c>
      <c r="B157">
        <v>17</v>
      </c>
      <c r="C157">
        <f t="shared" si="20"/>
        <v>9017</v>
      </c>
      <c r="D157">
        <f t="shared" si="26"/>
        <v>9017</v>
      </c>
      <c r="E157">
        <v>13</v>
      </c>
      <c r="F157">
        <v>14</v>
      </c>
      <c r="G157" s="6">
        <v>20</v>
      </c>
      <c r="H157">
        <f t="shared" si="22"/>
        <v>1</v>
      </c>
      <c r="R157">
        <v>44</v>
      </c>
      <c r="T157" t="str">
        <f t="shared" si="21"/>
        <v>o</v>
      </c>
      <c r="Y157" t="s">
        <v>714</v>
      </c>
      <c r="AA157" t="s">
        <v>705</v>
      </c>
      <c r="AM157" t="str">
        <f t="shared" si="24"/>
        <v>Possession</v>
      </c>
      <c r="AN157" t="str">
        <f t="shared" si="25"/>
        <v>PuckRetrieval</v>
      </c>
      <c r="AP157" t="str">
        <f t="shared" si="23"/>
        <v>Defensive</v>
      </c>
      <c r="BB157" s="23"/>
      <c r="BD157" s="21"/>
      <c r="BE157" s="21"/>
      <c r="BF157" s="21"/>
      <c r="BG157" s="21"/>
      <c r="BH157" s="21"/>
      <c r="BI157" s="21"/>
    </row>
    <row r="158" spans="1:61" x14ac:dyDescent="0.2">
      <c r="A158">
        <v>78</v>
      </c>
      <c r="B158">
        <v>18</v>
      </c>
      <c r="C158">
        <f t="shared" si="20"/>
        <v>9018</v>
      </c>
      <c r="D158">
        <f t="shared" si="26"/>
        <v>9018</v>
      </c>
      <c r="E158">
        <v>13</v>
      </c>
      <c r="F158">
        <v>14</v>
      </c>
      <c r="G158" s="6">
        <v>20</v>
      </c>
      <c r="H158">
        <f t="shared" si="22"/>
        <v>1</v>
      </c>
      <c r="I158" s="5" t="s">
        <v>743</v>
      </c>
      <c r="J158" s="5" t="s">
        <v>732</v>
      </c>
      <c r="Q158" t="s">
        <v>620</v>
      </c>
      <c r="R158">
        <v>84</v>
      </c>
      <c r="S158">
        <v>1</v>
      </c>
      <c r="T158" t="str">
        <f t="shared" si="21"/>
        <v>e</v>
      </c>
      <c r="U158" t="s">
        <v>7</v>
      </c>
      <c r="V158" t="s">
        <v>222</v>
      </c>
      <c r="W158" t="s">
        <v>53</v>
      </c>
      <c r="X158" t="s">
        <v>706</v>
      </c>
      <c r="AC158" t="s">
        <v>629</v>
      </c>
      <c r="AE158">
        <v>1</v>
      </c>
      <c r="AF158" t="s">
        <v>401</v>
      </c>
      <c r="AM158" t="str">
        <f t="shared" si="24"/>
        <v>Shot</v>
      </c>
      <c r="AN158" t="str">
        <f t="shared" si="25"/>
        <v>Shot_OnNetSaved</v>
      </c>
      <c r="AP158" t="str">
        <f t="shared" si="23"/>
        <v>Offensive</v>
      </c>
      <c r="BB158" s="23"/>
      <c r="BD158" s="21"/>
      <c r="BE158" s="21"/>
      <c r="BF158" s="21"/>
      <c r="BG158" s="21"/>
      <c r="BH158" s="21"/>
      <c r="BI158" s="21"/>
    </row>
    <row r="159" spans="1:61" x14ac:dyDescent="0.2">
      <c r="A159">
        <v>78</v>
      </c>
      <c r="B159">
        <v>18</v>
      </c>
      <c r="C159">
        <f t="shared" si="20"/>
        <v>9018</v>
      </c>
      <c r="D159">
        <f t="shared" si="26"/>
        <v>9018</v>
      </c>
      <c r="E159">
        <v>13</v>
      </c>
      <c r="F159">
        <v>14</v>
      </c>
      <c r="G159" s="6">
        <v>20</v>
      </c>
      <c r="H159">
        <f t="shared" si="22"/>
        <v>1</v>
      </c>
      <c r="R159">
        <v>30</v>
      </c>
      <c r="T159" t="str">
        <f t="shared" si="21"/>
        <v>o</v>
      </c>
      <c r="AM159" t="str">
        <f t="shared" si="24"/>
        <v>Shot</v>
      </c>
      <c r="AN159" t="str">
        <f t="shared" si="25"/>
        <v>Shot_OnNetSaved</v>
      </c>
      <c r="AP159" t="str">
        <f t="shared" si="23"/>
        <v>Defensive</v>
      </c>
      <c r="BB159" s="23"/>
      <c r="BD159" s="21"/>
      <c r="BE159" s="21"/>
      <c r="BF159" s="21"/>
      <c r="BG159" s="21"/>
      <c r="BH159" s="21"/>
      <c r="BI159" s="21"/>
    </row>
    <row r="160" spans="1:61" x14ac:dyDescent="0.2">
      <c r="A160">
        <v>79</v>
      </c>
      <c r="B160">
        <v>18</v>
      </c>
      <c r="C160">
        <f t="shared" si="20"/>
        <v>9018</v>
      </c>
      <c r="D160">
        <f t="shared" si="26"/>
        <v>9018</v>
      </c>
      <c r="E160">
        <v>13</v>
      </c>
      <c r="F160">
        <v>14</v>
      </c>
      <c r="G160" s="6">
        <v>20</v>
      </c>
      <c r="H160">
        <f t="shared" si="22"/>
        <v>1</v>
      </c>
      <c r="I160" s="5" t="s">
        <v>743</v>
      </c>
      <c r="J160" s="5" t="s">
        <v>732</v>
      </c>
      <c r="Q160" t="s">
        <v>619</v>
      </c>
      <c r="R160">
        <v>30</v>
      </c>
      <c r="S160">
        <v>1</v>
      </c>
      <c r="T160" t="str">
        <f t="shared" si="21"/>
        <v>e</v>
      </c>
      <c r="U160" t="s">
        <v>17</v>
      </c>
      <c r="V160" t="s">
        <v>196</v>
      </c>
      <c r="W160" t="s">
        <v>99</v>
      </c>
      <c r="X160" t="s">
        <v>706</v>
      </c>
      <c r="AC160" t="s">
        <v>629</v>
      </c>
      <c r="AE160">
        <v>1</v>
      </c>
      <c r="AF160" t="s">
        <v>623</v>
      </c>
      <c r="AM160" t="str">
        <f t="shared" si="24"/>
        <v>Save</v>
      </c>
      <c r="AN160" t="str">
        <f t="shared" si="25"/>
        <v>Save_Rebound</v>
      </c>
      <c r="AP160" t="str">
        <f t="shared" si="23"/>
        <v>Defensive</v>
      </c>
      <c r="BB160" s="23"/>
      <c r="BD160" s="21"/>
      <c r="BE160" s="21"/>
      <c r="BF160" s="21"/>
      <c r="BG160" s="21"/>
      <c r="BH160" s="21"/>
      <c r="BI160" s="21"/>
    </row>
    <row r="161" spans="1:61" x14ac:dyDescent="0.2">
      <c r="A161">
        <v>79</v>
      </c>
      <c r="B161">
        <v>18</v>
      </c>
      <c r="C161">
        <f t="shared" si="20"/>
        <v>9018</v>
      </c>
      <c r="D161">
        <f t="shared" si="26"/>
        <v>9018</v>
      </c>
      <c r="E161">
        <v>13</v>
      </c>
      <c r="F161">
        <v>14</v>
      </c>
      <c r="G161" s="6">
        <v>20</v>
      </c>
      <c r="H161">
        <f t="shared" si="22"/>
        <v>1</v>
      </c>
      <c r="R161">
        <v>84</v>
      </c>
      <c r="T161" t="str">
        <f t="shared" si="21"/>
        <v>o</v>
      </c>
      <c r="AM161" t="str">
        <f t="shared" si="24"/>
        <v>Save</v>
      </c>
      <c r="AN161" t="str">
        <f t="shared" si="25"/>
        <v>Save_Rebound</v>
      </c>
      <c r="AP161" t="str">
        <f t="shared" si="23"/>
        <v>Offensive</v>
      </c>
      <c r="BB161" s="23"/>
      <c r="BD161" s="21"/>
      <c r="BE161" s="21"/>
      <c r="BF161" s="21"/>
      <c r="BG161" s="21"/>
      <c r="BH161" s="21"/>
      <c r="BI161" s="21"/>
    </row>
    <row r="162" spans="1:61" x14ac:dyDescent="0.2">
      <c r="A162">
        <v>80</v>
      </c>
      <c r="B162" t="s">
        <v>887</v>
      </c>
      <c r="C162" t="str">
        <f t="shared" si="20"/>
        <v/>
      </c>
      <c r="D162" t="str">
        <f t="shared" si="26"/>
        <v/>
      </c>
      <c r="E162">
        <v>13</v>
      </c>
      <c r="F162">
        <v>14</v>
      </c>
      <c r="G162" s="6">
        <v>20</v>
      </c>
      <c r="H162">
        <f t="shared" si="22"/>
        <v>1</v>
      </c>
      <c r="I162" s="5" t="s">
        <v>743</v>
      </c>
      <c r="J162" s="5" t="s">
        <v>732</v>
      </c>
      <c r="Q162" t="s">
        <v>619</v>
      </c>
      <c r="R162">
        <v>30</v>
      </c>
      <c r="S162">
        <v>1</v>
      </c>
      <c r="T162" t="str">
        <f t="shared" si="21"/>
        <v>e</v>
      </c>
      <c r="U162" t="s">
        <v>250</v>
      </c>
      <c r="V162" t="s">
        <v>252</v>
      </c>
      <c r="AF162" t="s">
        <v>623</v>
      </c>
      <c r="AM162" t="str">
        <f t="shared" si="24"/>
        <v>Rebound</v>
      </c>
      <c r="AN162" t="str">
        <f t="shared" si="25"/>
        <v>Rebound_OppTeamRecovered</v>
      </c>
      <c r="AP162" t="str">
        <f t="shared" si="23"/>
        <v>Offensive</v>
      </c>
      <c r="BB162" s="23"/>
      <c r="BD162" s="21"/>
      <c r="BE162" s="21"/>
      <c r="BF162" s="21"/>
      <c r="BG162" s="21"/>
      <c r="BH162" s="21"/>
      <c r="BI162" s="21"/>
    </row>
    <row r="163" spans="1:61" x14ac:dyDescent="0.2">
      <c r="A163">
        <v>81</v>
      </c>
      <c r="B163" t="s">
        <v>887</v>
      </c>
      <c r="C163" t="str">
        <f t="shared" si="20"/>
        <v/>
      </c>
      <c r="D163" t="str">
        <f t="shared" si="26"/>
        <v/>
      </c>
      <c r="E163">
        <v>13</v>
      </c>
      <c r="G163" s="6">
        <v>20</v>
      </c>
      <c r="H163">
        <f t="shared" si="22"/>
        <v>1</v>
      </c>
      <c r="I163" s="5" t="s">
        <v>743</v>
      </c>
      <c r="J163" s="5" t="s">
        <v>448</v>
      </c>
      <c r="Q163" t="s">
        <v>620</v>
      </c>
      <c r="R163">
        <v>55</v>
      </c>
      <c r="S163">
        <v>1</v>
      </c>
      <c r="T163" t="str">
        <f t="shared" si="21"/>
        <v>e</v>
      </c>
      <c r="U163" t="s">
        <v>15</v>
      </c>
      <c r="V163" t="s">
        <v>698</v>
      </c>
      <c r="Y163" t="s">
        <v>739</v>
      </c>
      <c r="AA163" t="s">
        <v>706</v>
      </c>
      <c r="AF163" t="s">
        <v>401</v>
      </c>
      <c r="AM163" t="str">
        <f t="shared" si="24"/>
        <v>Possession</v>
      </c>
      <c r="AN163" t="str">
        <f t="shared" si="25"/>
        <v>PuckRecovery</v>
      </c>
      <c r="AP163" t="str">
        <f t="shared" si="23"/>
        <v>Offensive</v>
      </c>
      <c r="BB163" s="23"/>
      <c r="BD163" s="21"/>
      <c r="BE163" s="21"/>
      <c r="BF163" s="21"/>
      <c r="BG163" s="21"/>
      <c r="BH163" s="21"/>
      <c r="BI163" s="21"/>
    </row>
    <row r="164" spans="1:61" x14ac:dyDescent="0.2">
      <c r="A164">
        <v>81</v>
      </c>
      <c r="B164" t="s">
        <v>887</v>
      </c>
      <c r="C164" t="str">
        <f t="shared" si="20"/>
        <v/>
      </c>
      <c r="D164" t="str">
        <f t="shared" si="26"/>
        <v/>
      </c>
      <c r="E164">
        <v>13</v>
      </c>
      <c r="G164" s="6">
        <v>20</v>
      </c>
      <c r="H164">
        <f t="shared" si="22"/>
        <v>1</v>
      </c>
      <c r="R164">
        <v>10</v>
      </c>
      <c r="T164" t="str">
        <f t="shared" si="21"/>
        <v>o</v>
      </c>
      <c r="AM164" t="str">
        <f t="shared" si="24"/>
        <v>Possession</v>
      </c>
      <c r="AN164" t="str">
        <f t="shared" si="25"/>
        <v>PuckRecovery</v>
      </c>
      <c r="AP164" t="str">
        <f t="shared" si="23"/>
        <v>Defensive</v>
      </c>
      <c r="BB164" s="23"/>
      <c r="BD164" s="21"/>
      <c r="BE164" s="21"/>
      <c r="BF164" s="21"/>
      <c r="BG164" s="21"/>
      <c r="BH164" s="21"/>
      <c r="BI164" s="21"/>
    </row>
    <row r="165" spans="1:61" x14ac:dyDescent="0.2">
      <c r="A165">
        <v>82</v>
      </c>
      <c r="B165" t="s">
        <v>887</v>
      </c>
      <c r="C165" t="str">
        <f t="shared" si="20"/>
        <v/>
      </c>
      <c r="D165" t="str">
        <f t="shared" si="26"/>
        <v/>
      </c>
      <c r="E165">
        <v>13</v>
      </c>
      <c r="G165" s="6">
        <v>20</v>
      </c>
      <c r="H165">
        <f t="shared" si="22"/>
        <v>1</v>
      </c>
      <c r="I165" s="5" t="s">
        <v>743</v>
      </c>
      <c r="J165" s="5" t="s">
        <v>448</v>
      </c>
      <c r="Q165" t="s">
        <v>620</v>
      </c>
      <c r="R165">
        <v>55</v>
      </c>
      <c r="S165">
        <v>1</v>
      </c>
      <c r="T165" t="str">
        <f t="shared" si="21"/>
        <v>e</v>
      </c>
      <c r="U165" t="s">
        <v>7</v>
      </c>
      <c r="V165" t="s">
        <v>198</v>
      </c>
      <c r="W165" t="s">
        <v>53</v>
      </c>
      <c r="X165" t="s">
        <v>705</v>
      </c>
      <c r="AF165" t="s">
        <v>401</v>
      </c>
      <c r="AJ165">
        <v>1</v>
      </c>
      <c r="AM165" t="str">
        <f t="shared" si="24"/>
        <v>Shot</v>
      </c>
      <c r="AN165" t="str">
        <f t="shared" si="25"/>
        <v>Shot_Missed</v>
      </c>
      <c r="AP165" t="str">
        <f t="shared" si="23"/>
        <v>Offensive</v>
      </c>
      <c r="BB165" s="23"/>
      <c r="BD165" s="21"/>
      <c r="BE165" s="21"/>
      <c r="BF165" s="21"/>
      <c r="BG165" s="21"/>
      <c r="BH165" s="21"/>
      <c r="BI165" s="21"/>
    </row>
    <row r="166" spans="1:61" x14ac:dyDescent="0.2">
      <c r="A166">
        <v>82</v>
      </c>
      <c r="B166" t="s">
        <v>887</v>
      </c>
      <c r="C166" t="str">
        <f t="shared" si="20"/>
        <v/>
      </c>
      <c r="D166" t="str">
        <f t="shared" si="26"/>
        <v/>
      </c>
      <c r="E166">
        <v>13</v>
      </c>
      <c r="G166" s="6">
        <v>20</v>
      </c>
      <c r="H166">
        <f t="shared" si="22"/>
        <v>1</v>
      </c>
      <c r="R166">
        <v>10</v>
      </c>
      <c r="T166" t="str">
        <f t="shared" si="21"/>
        <v>o</v>
      </c>
      <c r="AJ166">
        <v>1</v>
      </c>
      <c r="AM166" t="str">
        <f t="shared" si="24"/>
        <v>Shot</v>
      </c>
      <c r="AN166" t="str">
        <f t="shared" si="25"/>
        <v>Shot_Missed</v>
      </c>
      <c r="AP166" t="str">
        <f t="shared" si="23"/>
        <v>Defensive</v>
      </c>
      <c r="BB166" s="23"/>
      <c r="BD166" s="21"/>
      <c r="BE166" s="21"/>
      <c r="BF166" s="21"/>
      <c r="BG166" s="21"/>
      <c r="BH166" s="21"/>
      <c r="BI166" s="21"/>
    </row>
    <row r="167" spans="1:61" x14ac:dyDescent="0.2">
      <c r="A167">
        <v>83</v>
      </c>
      <c r="B167" t="s">
        <v>887</v>
      </c>
      <c r="C167" t="str">
        <f t="shared" si="20"/>
        <v/>
      </c>
      <c r="D167" t="str">
        <f t="shared" si="26"/>
        <v/>
      </c>
      <c r="E167">
        <v>13</v>
      </c>
      <c r="G167" s="6">
        <v>20</v>
      </c>
      <c r="H167">
        <f t="shared" si="22"/>
        <v>1</v>
      </c>
      <c r="I167" s="5" t="s">
        <v>743</v>
      </c>
      <c r="J167" s="5" t="s">
        <v>742</v>
      </c>
      <c r="Q167" t="s">
        <v>620</v>
      </c>
      <c r="R167">
        <v>24</v>
      </c>
      <c r="S167">
        <v>1</v>
      </c>
      <c r="T167" t="str">
        <f t="shared" si="21"/>
        <v>e</v>
      </c>
      <c r="U167" t="s">
        <v>15</v>
      </c>
      <c r="V167" t="s">
        <v>698</v>
      </c>
      <c r="Y167" t="s">
        <v>739</v>
      </c>
      <c r="AA167" t="s">
        <v>706</v>
      </c>
      <c r="AF167" t="s">
        <v>401</v>
      </c>
      <c r="AM167" t="str">
        <f t="shared" si="24"/>
        <v>Possession</v>
      </c>
      <c r="AN167" t="str">
        <f t="shared" si="25"/>
        <v>PuckRecovery</v>
      </c>
      <c r="AP167" t="str">
        <f t="shared" si="23"/>
        <v>Offensive</v>
      </c>
      <c r="BB167" s="23"/>
      <c r="BD167" s="21"/>
      <c r="BE167" s="21"/>
      <c r="BF167" s="21"/>
      <c r="BG167" s="21"/>
      <c r="BH167" s="21"/>
      <c r="BI167" s="21"/>
    </row>
    <row r="168" spans="1:61" x14ac:dyDescent="0.2">
      <c r="A168">
        <v>84</v>
      </c>
      <c r="B168">
        <v>19</v>
      </c>
      <c r="C168">
        <f t="shared" si="20"/>
        <v>9019</v>
      </c>
      <c r="D168">
        <f t="shared" si="26"/>
        <v>9019</v>
      </c>
      <c r="E168">
        <v>14</v>
      </c>
      <c r="G168" s="6">
        <v>20</v>
      </c>
      <c r="H168">
        <f t="shared" si="22"/>
        <v>1</v>
      </c>
      <c r="I168" s="5" t="s">
        <v>743</v>
      </c>
      <c r="J168" s="5" t="s">
        <v>742</v>
      </c>
      <c r="Q168" t="s">
        <v>620</v>
      </c>
      <c r="R168">
        <v>24</v>
      </c>
      <c r="S168">
        <v>1</v>
      </c>
      <c r="T168" t="str">
        <f t="shared" si="21"/>
        <v>e</v>
      </c>
      <c r="U168" t="s">
        <v>7</v>
      </c>
      <c r="V168" t="s">
        <v>208</v>
      </c>
      <c r="W168" t="s">
        <v>53</v>
      </c>
      <c r="X168" t="s">
        <v>705</v>
      </c>
      <c r="AF168" t="s">
        <v>401</v>
      </c>
      <c r="AM168" t="str">
        <f t="shared" si="24"/>
        <v>Shot</v>
      </c>
      <c r="AN168" t="str">
        <f t="shared" si="25"/>
        <v>Shot_Blocked</v>
      </c>
      <c r="AP168" t="str">
        <f t="shared" si="23"/>
        <v>Offensive</v>
      </c>
      <c r="BB168" s="23"/>
      <c r="BD168" s="21"/>
      <c r="BE168" s="21"/>
      <c r="BF168" s="21"/>
      <c r="BG168" s="21"/>
      <c r="BH168" s="21"/>
      <c r="BI168" s="21"/>
    </row>
    <row r="169" spans="1:61" x14ac:dyDescent="0.2">
      <c r="A169">
        <v>84</v>
      </c>
      <c r="B169">
        <v>19</v>
      </c>
      <c r="C169">
        <f t="shared" si="20"/>
        <v>9019</v>
      </c>
      <c r="D169">
        <f t="shared" si="26"/>
        <v>9019</v>
      </c>
      <c r="E169">
        <v>14</v>
      </c>
      <c r="G169" s="6">
        <v>20</v>
      </c>
      <c r="H169">
        <f t="shared" si="22"/>
        <v>1</v>
      </c>
      <c r="R169">
        <v>44</v>
      </c>
      <c r="T169" t="str">
        <f t="shared" si="21"/>
        <v>o</v>
      </c>
      <c r="Y169" t="s">
        <v>681</v>
      </c>
      <c r="AA169" t="s">
        <v>706</v>
      </c>
      <c r="AM169" t="str">
        <f t="shared" si="24"/>
        <v>Shot</v>
      </c>
      <c r="AN169" t="str">
        <f t="shared" si="25"/>
        <v>Shot_Blocked</v>
      </c>
      <c r="AP169" t="str">
        <f t="shared" si="23"/>
        <v>Defensive</v>
      </c>
      <c r="BB169" s="23"/>
      <c r="BD169" s="21"/>
      <c r="BE169" s="21"/>
      <c r="BF169" s="21"/>
      <c r="BG169" s="21"/>
      <c r="BH169" s="21"/>
      <c r="BI169" s="21"/>
    </row>
    <row r="170" spans="1:61" x14ac:dyDescent="0.2">
      <c r="A170">
        <v>84</v>
      </c>
      <c r="B170">
        <v>19</v>
      </c>
      <c r="C170">
        <f t="shared" si="20"/>
        <v>9019</v>
      </c>
      <c r="D170">
        <f t="shared" si="26"/>
        <v>9019</v>
      </c>
      <c r="E170">
        <v>14</v>
      </c>
      <c r="G170" s="6">
        <v>20</v>
      </c>
      <c r="H170">
        <f t="shared" si="22"/>
        <v>1</v>
      </c>
      <c r="R170">
        <v>12</v>
      </c>
      <c r="T170" t="str">
        <f t="shared" si="21"/>
        <v>o</v>
      </c>
      <c r="Y170" t="s">
        <v>722</v>
      </c>
      <c r="AM170" t="str">
        <f t="shared" si="24"/>
        <v>Shot</v>
      </c>
      <c r="AN170" t="str">
        <f t="shared" si="25"/>
        <v>Shot_Blocked</v>
      </c>
      <c r="AP170" t="str">
        <f t="shared" si="23"/>
        <v>Defensive</v>
      </c>
      <c r="BB170" s="23"/>
      <c r="BD170" s="21"/>
      <c r="BE170" s="21"/>
      <c r="BF170" s="21"/>
      <c r="BG170" s="21"/>
      <c r="BH170" s="21"/>
      <c r="BI170" s="21"/>
    </row>
    <row r="171" spans="1:61" x14ac:dyDescent="0.2">
      <c r="A171">
        <v>85</v>
      </c>
      <c r="B171">
        <v>19</v>
      </c>
      <c r="C171">
        <f t="shared" si="20"/>
        <v>9019</v>
      </c>
      <c r="D171">
        <f t="shared" si="26"/>
        <v>9019</v>
      </c>
      <c r="E171">
        <v>14</v>
      </c>
      <c r="G171" s="6">
        <v>20</v>
      </c>
      <c r="H171">
        <f t="shared" si="22"/>
        <v>1</v>
      </c>
      <c r="I171" s="5" t="s">
        <v>743</v>
      </c>
      <c r="J171" s="5" t="s">
        <v>742</v>
      </c>
      <c r="Q171" t="s">
        <v>620</v>
      </c>
      <c r="R171">
        <v>24</v>
      </c>
      <c r="S171">
        <v>1</v>
      </c>
      <c r="T171" t="str">
        <f t="shared" si="21"/>
        <v>e</v>
      </c>
      <c r="U171" t="s">
        <v>10</v>
      </c>
      <c r="V171" t="s">
        <v>190</v>
      </c>
      <c r="W171" t="s">
        <v>78</v>
      </c>
      <c r="AF171" t="s">
        <v>401</v>
      </c>
      <c r="AM171" t="str">
        <f t="shared" si="24"/>
        <v>Turnover</v>
      </c>
      <c r="AN171" t="str">
        <f t="shared" si="25"/>
        <v>Turnover_Giveaway</v>
      </c>
      <c r="AP171" t="str">
        <f t="shared" si="23"/>
        <v>Offensive</v>
      </c>
      <c r="BB171" s="23"/>
      <c r="BD171" s="21"/>
      <c r="BE171" s="21"/>
      <c r="BF171" s="21"/>
      <c r="BG171" s="21"/>
      <c r="BH171" s="21"/>
      <c r="BI171" s="21"/>
    </row>
    <row r="172" spans="1:61" x14ac:dyDescent="0.2">
      <c r="A172">
        <v>85</v>
      </c>
      <c r="B172">
        <v>19</v>
      </c>
      <c r="C172">
        <f t="shared" si="20"/>
        <v>9019</v>
      </c>
      <c r="D172">
        <f t="shared" si="26"/>
        <v>9019</v>
      </c>
      <c r="E172">
        <v>14</v>
      </c>
      <c r="G172" s="6">
        <v>20</v>
      </c>
      <c r="H172">
        <f t="shared" si="22"/>
        <v>1</v>
      </c>
      <c r="R172">
        <v>44</v>
      </c>
      <c r="T172" t="str">
        <f t="shared" si="21"/>
        <v>o</v>
      </c>
      <c r="AM172" t="str">
        <f t="shared" si="24"/>
        <v>Turnover</v>
      </c>
      <c r="AN172" t="str">
        <f t="shared" si="25"/>
        <v>Turnover_Giveaway</v>
      </c>
      <c r="AP172" t="str">
        <f t="shared" si="23"/>
        <v>Defensive</v>
      </c>
      <c r="BB172" s="23"/>
      <c r="BD172" s="21"/>
      <c r="BE172" s="21"/>
      <c r="BF172" s="21"/>
      <c r="BG172" s="21"/>
      <c r="BH172" s="21"/>
      <c r="BI172" s="21"/>
    </row>
    <row r="173" spans="1:61" x14ac:dyDescent="0.2">
      <c r="A173">
        <v>85</v>
      </c>
      <c r="B173">
        <v>19</v>
      </c>
      <c r="C173">
        <f t="shared" si="20"/>
        <v>9019</v>
      </c>
      <c r="D173">
        <f t="shared" si="26"/>
        <v>9019</v>
      </c>
      <c r="E173">
        <v>14</v>
      </c>
      <c r="G173" s="6">
        <v>20</v>
      </c>
      <c r="H173">
        <f t="shared" si="22"/>
        <v>1</v>
      </c>
      <c r="R173">
        <v>12</v>
      </c>
      <c r="T173" t="str">
        <f t="shared" si="21"/>
        <v>o</v>
      </c>
      <c r="AM173" t="str">
        <f t="shared" si="24"/>
        <v>Turnover</v>
      </c>
      <c r="AN173" t="str">
        <f t="shared" si="25"/>
        <v>Turnover_Giveaway</v>
      </c>
      <c r="AP173" t="str">
        <f t="shared" si="23"/>
        <v>Defensive</v>
      </c>
      <c r="BB173" s="23"/>
      <c r="BD173" s="21"/>
      <c r="BE173" s="21"/>
      <c r="BF173" s="21"/>
      <c r="BG173" s="21"/>
      <c r="BH173" s="21"/>
      <c r="BI173" s="21"/>
    </row>
    <row r="174" spans="1:61" x14ac:dyDescent="0.2">
      <c r="A174">
        <v>86</v>
      </c>
      <c r="B174">
        <v>20</v>
      </c>
      <c r="C174">
        <f t="shared" si="20"/>
        <v>9020</v>
      </c>
      <c r="D174">
        <f t="shared" si="26"/>
        <v>9020</v>
      </c>
      <c r="E174">
        <v>14</v>
      </c>
      <c r="G174" s="6">
        <v>20</v>
      </c>
      <c r="H174">
        <f t="shared" si="22"/>
        <v>1</v>
      </c>
      <c r="I174" s="5" t="s">
        <v>743</v>
      </c>
      <c r="J174" s="5" t="s">
        <v>447</v>
      </c>
      <c r="Q174" t="s">
        <v>620</v>
      </c>
      <c r="R174">
        <v>22</v>
      </c>
      <c r="S174">
        <v>1</v>
      </c>
      <c r="T174" t="str">
        <f t="shared" si="21"/>
        <v>e</v>
      </c>
      <c r="U174" t="s">
        <v>15</v>
      </c>
      <c r="V174" t="s">
        <v>698</v>
      </c>
      <c r="X174" t="s">
        <v>705</v>
      </c>
      <c r="Y174" t="s">
        <v>739</v>
      </c>
      <c r="AA174" t="s">
        <v>705</v>
      </c>
      <c r="AF174" t="s">
        <v>401</v>
      </c>
      <c r="AM174" t="str">
        <f t="shared" si="24"/>
        <v>Possession</v>
      </c>
      <c r="AN174" t="str">
        <f t="shared" si="25"/>
        <v>PuckRecovery</v>
      </c>
      <c r="AP174" t="str">
        <f t="shared" si="23"/>
        <v>Offensive</v>
      </c>
      <c r="BB174" s="23"/>
      <c r="BD174" s="21"/>
      <c r="BE174" s="21"/>
      <c r="BF174" s="21"/>
      <c r="BG174" s="21"/>
      <c r="BH174" s="21"/>
      <c r="BI174" s="21"/>
    </row>
    <row r="175" spans="1:61" x14ac:dyDescent="0.2">
      <c r="A175">
        <v>87</v>
      </c>
      <c r="B175">
        <v>20</v>
      </c>
      <c r="C175">
        <f t="shared" si="20"/>
        <v>9020</v>
      </c>
      <c r="D175">
        <f t="shared" si="26"/>
        <v>9020</v>
      </c>
      <c r="E175">
        <v>14</v>
      </c>
      <c r="G175" s="6">
        <v>20</v>
      </c>
      <c r="H175">
        <f t="shared" si="22"/>
        <v>1</v>
      </c>
      <c r="I175" s="5" t="s">
        <v>743</v>
      </c>
      <c r="J175" s="5" t="s">
        <v>447</v>
      </c>
      <c r="Q175" t="s">
        <v>620</v>
      </c>
      <c r="R175">
        <v>22</v>
      </c>
      <c r="S175">
        <v>1</v>
      </c>
      <c r="T175" t="str">
        <f t="shared" si="21"/>
        <v>e</v>
      </c>
      <c r="U175" t="s">
        <v>10</v>
      </c>
      <c r="V175" t="s">
        <v>190</v>
      </c>
      <c r="W175" t="s">
        <v>73</v>
      </c>
      <c r="AF175" t="s">
        <v>401</v>
      </c>
      <c r="AM175" t="str">
        <f t="shared" si="24"/>
        <v>Turnover</v>
      </c>
      <c r="AN175" t="str">
        <f t="shared" si="25"/>
        <v>Turnover_Giveaway</v>
      </c>
      <c r="AP175" t="str">
        <f t="shared" si="23"/>
        <v>Offensive</v>
      </c>
      <c r="BB175" s="23"/>
      <c r="BD175" s="21"/>
      <c r="BE175" s="21"/>
      <c r="BF175" s="21"/>
      <c r="BG175" s="21"/>
      <c r="BH175" s="21"/>
      <c r="BI175" s="21"/>
    </row>
    <row r="176" spans="1:61" x14ac:dyDescent="0.2">
      <c r="A176">
        <v>88</v>
      </c>
      <c r="B176">
        <v>20</v>
      </c>
      <c r="C176">
        <f t="shared" si="20"/>
        <v>9020</v>
      </c>
      <c r="D176">
        <f t="shared" si="26"/>
        <v>9020</v>
      </c>
      <c r="E176">
        <v>14</v>
      </c>
      <c r="G176" s="6">
        <v>21</v>
      </c>
      <c r="H176">
        <f t="shared" si="22"/>
        <v>1</v>
      </c>
      <c r="I176" s="5" t="s">
        <v>743</v>
      </c>
      <c r="J176" s="5" t="s">
        <v>447</v>
      </c>
      <c r="Q176" t="s">
        <v>619</v>
      </c>
      <c r="S176">
        <v>1</v>
      </c>
      <c r="T176" t="str">
        <f t="shared" si="21"/>
        <v>e</v>
      </c>
      <c r="U176" t="s">
        <v>257</v>
      </c>
      <c r="V176" t="s">
        <v>201</v>
      </c>
      <c r="W176" t="s">
        <v>411</v>
      </c>
      <c r="AF176" t="s">
        <v>623</v>
      </c>
      <c r="AM176" t="str">
        <f t="shared" si="24"/>
        <v>Zone_Entry_Exit</v>
      </c>
      <c r="AN176" t="str">
        <f t="shared" si="25"/>
        <v>Zone_Exit</v>
      </c>
      <c r="AP176" t="str">
        <f t="shared" si="23"/>
        <v>Offensive</v>
      </c>
      <c r="BB176" s="23"/>
      <c r="BD176" s="21"/>
      <c r="BE176" s="21"/>
      <c r="BF176" s="21"/>
      <c r="BG176" s="21"/>
      <c r="BH176" s="21"/>
      <c r="BI176" s="21"/>
    </row>
    <row r="177" spans="1:61" x14ac:dyDescent="0.2">
      <c r="A177">
        <v>89</v>
      </c>
      <c r="B177">
        <v>21</v>
      </c>
      <c r="C177">
        <f t="shared" si="20"/>
        <v>9021</v>
      </c>
      <c r="D177">
        <f t="shared" si="26"/>
        <v>9021</v>
      </c>
      <c r="E177">
        <v>14</v>
      </c>
      <c r="G177" s="6">
        <v>22</v>
      </c>
      <c r="H177">
        <f t="shared" si="22"/>
        <v>1</v>
      </c>
      <c r="I177" s="5" t="s">
        <v>743</v>
      </c>
      <c r="J177" s="5" t="s">
        <v>738</v>
      </c>
      <c r="Q177" t="s">
        <v>619</v>
      </c>
      <c r="R177">
        <v>3</v>
      </c>
      <c r="S177">
        <v>1</v>
      </c>
      <c r="T177" t="str">
        <f t="shared" si="21"/>
        <v>e</v>
      </c>
      <c r="U177" t="s">
        <v>257</v>
      </c>
      <c r="V177" t="s">
        <v>191</v>
      </c>
      <c r="W177" t="s">
        <v>406</v>
      </c>
      <c r="X177" t="s">
        <v>706</v>
      </c>
      <c r="AF177" t="s">
        <v>635</v>
      </c>
      <c r="AM177" t="str">
        <f t="shared" si="24"/>
        <v>Zone_Entry_Exit</v>
      </c>
      <c r="AN177" t="str">
        <f t="shared" si="25"/>
        <v>Zone_Entry</v>
      </c>
      <c r="AP177" t="str">
        <f t="shared" si="23"/>
        <v>Offensive</v>
      </c>
      <c r="BB177" s="23"/>
      <c r="BD177" s="21"/>
      <c r="BE177" s="21"/>
      <c r="BF177" s="21"/>
      <c r="BG177" s="21"/>
      <c r="BH177" s="21"/>
      <c r="BI177" s="21"/>
    </row>
    <row r="178" spans="1:61" x14ac:dyDescent="0.2">
      <c r="A178">
        <v>90</v>
      </c>
      <c r="B178">
        <v>21</v>
      </c>
      <c r="C178">
        <f t="shared" si="20"/>
        <v>9021</v>
      </c>
      <c r="D178">
        <f t="shared" si="26"/>
        <v>9021</v>
      </c>
      <c r="E178">
        <v>14</v>
      </c>
      <c r="G178" s="6">
        <v>22</v>
      </c>
      <c r="H178">
        <f t="shared" si="22"/>
        <v>1</v>
      </c>
      <c r="I178" s="5" t="s">
        <v>743</v>
      </c>
      <c r="J178" s="5" t="s">
        <v>741</v>
      </c>
      <c r="Q178" t="s">
        <v>620</v>
      </c>
      <c r="R178">
        <v>84</v>
      </c>
      <c r="S178">
        <v>1</v>
      </c>
      <c r="T178" t="str">
        <f t="shared" si="21"/>
        <v>e</v>
      </c>
      <c r="U178" t="s">
        <v>15</v>
      </c>
      <c r="V178" t="s">
        <v>697</v>
      </c>
      <c r="X178" t="s">
        <v>705</v>
      </c>
      <c r="Y178" t="s">
        <v>720</v>
      </c>
      <c r="AA178" t="s">
        <v>705</v>
      </c>
      <c r="AF178" t="s">
        <v>623</v>
      </c>
      <c r="AJ178">
        <v>1</v>
      </c>
      <c r="AM178" t="str">
        <f t="shared" si="24"/>
        <v>Possession</v>
      </c>
      <c r="AN178" t="str">
        <f t="shared" si="25"/>
        <v>PuckRetrieval</v>
      </c>
      <c r="AP178" t="str">
        <f t="shared" si="23"/>
        <v>Offensive</v>
      </c>
      <c r="BB178" s="23"/>
      <c r="BD178" s="21"/>
      <c r="BE178" s="21"/>
      <c r="BF178" s="21"/>
      <c r="BG178" s="21"/>
      <c r="BH178" s="21"/>
      <c r="BI178" s="21"/>
    </row>
    <row r="179" spans="1:61" x14ac:dyDescent="0.2">
      <c r="A179">
        <v>90</v>
      </c>
      <c r="B179" t="s">
        <v>887</v>
      </c>
      <c r="C179" t="str">
        <f t="shared" si="20"/>
        <v/>
      </c>
      <c r="D179" t="str">
        <f t="shared" si="26"/>
        <v/>
      </c>
      <c r="E179">
        <v>14</v>
      </c>
      <c r="G179" s="6">
        <v>22</v>
      </c>
      <c r="H179">
        <f t="shared" si="22"/>
        <v>1</v>
      </c>
      <c r="R179">
        <v>12</v>
      </c>
      <c r="T179" t="str">
        <f t="shared" si="21"/>
        <v>o</v>
      </c>
      <c r="Y179" t="s">
        <v>761</v>
      </c>
      <c r="AA179" t="s">
        <v>706</v>
      </c>
      <c r="AJ179">
        <v>1</v>
      </c>
      <c r="AM179" t="str">
        <f t="shared" si="24"/>
        <v>Possession</v>
      </c>
      <c r="AN179" t="str">
        <f t="shared" si="25"/>
        <v>PuckRetrieval</v>
      </c>
      <c r="AP179" t="str">
        <f t="shared" si="23"/>
        <v>Defensive</v>
      </c>
      <c r="BB179" s="23"/>
      <c r="BD179" s="21"/>
      <c r="BE179" s="21"/>
      <c r="BF179" s="21"/>
      <c r="BG179" s="21"/>
      <c r="BH179" s="21"/>
      <c r="BI179" s="21"/>
    </row>
    <row r="180" spans="1:61" x14ac:dyDescent="0.2">
      <c r="A180">
        <v>91</v>
      </c>
      <c r="B180" t="s">
        <v>887</v>
      </c>
      <c r="C180" t="str">
        <f t="shared" si="20"/>
        <v/>
      </c>
      <c r="D180" t="str">
        <f t="shared" si="26"/>
        <v/>
      </c>
      <c r="E180">
        <v>14</v>
      </c>
      <c r="F180">
        <v>15</v>
      </c>
      <c r="G180" s="6">
        <v>22</v>
      </c>
      <c r="H180">
        <f t="shared" si="22"/>
        <v>1</v>
      </c>
      <c r="I180" s="5" t="s">
        <v>732</v>
      </c>
      <c r="J180" s="5" t="s">
        <v>622</v>
      </c>
      <c r="K180" s="5" t="s">
        <v>732</v>
      </c>
      <c r="L180" s="7" t="s">
        <v>762</v>
      </c>
      <c r="Q180" t="s">
        <v>619</v>
      </c>
      <c r="R180">
        <v>12</v>
      </c>
      <c r="S180">
        <v>1</v>
      </c>
      <c r="T180" t="str">
        <f t="shared" si="21"/>
        <v>e</v>
      </c>
      <c r="U180" t="s">
        <v>15</v>
      </c>
      <c r="V180" t="s">
        <v>698</v>
      </c>
      <c r="X180" t="s">
        <v>706</v>
      </c>
      <c r="AF180" t="s">
        <v>401</v>
      </c>
      <c r="AM180" t="str">
        <f t="shared" si="24"/>
        <v>Possession</v>
      </c>
      <c r="AN180" t="str">
        <f t="shared" si="25"/>
        <v>PuckRecovery</v>
      </c>
      <c r="AP180" t="str">
        <f t="shared" si="23"/>
        <v>Offensive</v>
      </c>
      <c r="BB180" s="23"/>
      <c r="BD180" s="21"/>
      <c r="BE180" s="21"/>
      <c r="BF180" s="21"/>
      <c r="BG180" s="21"/>
      <c r="BH180" s="21"/>
      <c r="BI180" s="21"/>
    </row>
    <row r="181" spans="1:61" x14ac:dyDescent="0.2">
      <c r="A181">
        <v>91</v>
      </c>
      <c r="B181" t="s">
        <v>887</v>
      </c>
      <c r="C181" t="str">
        <f t="shared" si="20"/>
        <v/>
      </c>
      <c r="D181" t="str">
        <f t="shared" si="26"/>
        <v/>
      </c>
      <c r="E181">
        <v>14</v>
      </c>
      <c r="F181">
        <v>15</v>
      </c>
      <c r="G181" s="6">
        <v>22</v>
      </c>
      <c r="H181">
        <f t="shared" si="22"/>
        <v>1</v>
      </c>
      <c r="R181">
        <v>61</v>
      </c>
      <c r="T181" t="str">
        <f t="shared" si="21"/>
        <v>o</v>
      </c>
      <c r="AM181" t="str">
        <f t="shared" si="24"/>
        <v>Possession</v>
      </c>
      <c r="AN181" t="str">
        <f t="shared" si="25"/>
        <v>PuckRecovery</v>
      </c>
      <c r="AP181" t="str">
        <f t="shared" si="23"/>
        <v>Defensive</v>
      </c>
      <c r="BB181" s="23"/>
      <c r="BD181" s="21"/>
      <c r="BE181" s="21"/>
      <c r="BF181" s="21"/>
      <c r="BG181" s="21"/>
      <c r="BH181" s="21"/>
      <c r="BI181" s="21"/>
    </row>
    <row r="182" spans="1:61" x14ac:dyDescent="0.2">
      <c r="A182">
        <v>92</v>
      </c>
      <c r="B182" t="s">
        <v>887</v>
      </c>
      <c r="C182" t="str">
        <f t="shared" si="20"/>
        <v/>
      </c>
      <c r="D182" t="str">
        <f t="shared" si="26"/>
        <v/>
      </c>
      <c r="E182">
        <v>14</v>
      </c>
      <c r="F182">
        <v>15</v>
      </c>
      <c r="G182" s="6">
        <v>22</v>
      </c>
      <c r="H182">
        <f t="shared" si="22"/>
        <v>1</v>
      </c>
      <c r="I182" s="5" t="s">
        <v>732</v>
      </c>
      <c r="J182" s="5" t="s">
        <v>762</v>
      </c>
      <c r="Q182" t="s">
        <v>619</v>
      </c>
      <c r="R182">
        <v>12</v>
      </c>
      <c r="S182">
        <v>1</v>
      </c>
      <c r="T182" t="str">
        <f t="shared" si="21"/>
        <v>e</v>
      </c>
      <c r="U182" t="s">
        <v>8</v>
      </c>
      <c r="V182" t="s">
        <v>189</v>
      </c>
      <c r="W182" t="s">
        <v>70</v>
      </c>
      <c r="X182" t="s">
        <v>706</v>
      </c>
      <c r="AF182" t="s">
        <v>401</v>
      </c>
      <c r="AJ182">
        <v>1</v>
      </c>
      <c r="AM182" t="str">
        <f t="shared" si="24"/>
        <v>Pass</v>
      </c>
      <c r="AN182" t="str">
        <f t="shared" si="25"/>
        <v>Pass_Completed</v>
      </c>
      <c r="AP182" t="str">
        <f t="shared" si="23"/>
        <v>Offensive</v>
      </c>
      <c r="BB182" s="23"/>
      <c r="BD182" s="21"/>
      <c r="BE182" s="21"/>
      <c r="BF182" s="21"/>
      <c r="BG182" s="21"/>
      <c r="BH182" s="21"/>
      <c r="BI182" s="21"/>
    </row>
    <row r="183" spans="1:61" x14ac:dyDescent="0.2">
      <c r="A183">
        <v>92</v>
      </c>
      <c r="B183" t="s">
        <v>887</v>
      </c>
      <c r="C183" t="str">
        <f t="shared" si="20"/>
        <v/>
      </c>
      <c r="D183" t="str">
        <f t="shared" si="26"/>
        <v/>
      </c>
      <c r="E183">
        <v>14</v>
      </c>
      <c r="F183">
        <v>15</v>
      </c>
      <c r="G183" s="6">
        <v>22</v>
      </c>
      <c r="H183">
        <f t="shared" si="22"/>
        <v>1</v>
      </c>
      <c r="R183">
        <v>44</v>
      </c>
      <c r="S183">
        <v>1</v>
      </c>
      <c r="T183" t="str">
        <f t="shared" si="21"/>
        <v>e</v>
      </c>
      <c r="AM183" t="str">
        <f t="shared" si="24"/>
        <v>Pass</v>
      </c>
      <c r="AN183" t="str">
        <f t="shared" si="25"/>
        <v>Pass_Completed</v>
      </c>
      <c r="AP183" t="str">
        <f t="shared" si="23"/>
        <v>Offensive</v>
      </c>
      <c r="BB183" s="23"/>
      <c r="BD183" s="21"/>
      <c r="BE183" s="21"/>
      <c r="BF183" s="21"/>
      <c r="BG183" s="21"/>
      <c r="BH183" s="21"/>
      <c r="BI183" s="21"/>
    </row>
    <row r="184" spans="1:61" x14ac:dyDescent="0.2">
      <c r="A184">
        <v>92</v>
      </c>
      <c r="B184" t="s">
        <v>887</v>
      </c>
      <c r="C184" t="str">
        <f t="shared" si="20"/>
        <v/>
      </c>
      <c r="D184" t="str">
        <f t="shared" si="26"/>
        <v/>
      </c>
      <c r="E184">
        <v>14</v>
      </c>
      <c r="F184">
        <v>15</v>
      </c>
      <c r="G184" s="6">
        <v>22</v>
      </c>
      <c r="H184">
        <f t="shared" si="22"/>
        <v>1</v>
      </c>
      <c r="R184">
        <v>61</v>
      </c>
      <c r="T184" t="str">
        <f t="shared" si="21"/>
        <v>o</v>
      </c>
      <c r="AJ184">
        <v>1</v>
      </c>
      <c r="AM184" t="str">
        <f t="shared" si="24"/>
        <v>Pass</v>
      </c>
      <c r="AN184" t="str">
        <f t="shared" si="25"/>
        <v>Pass_Completed</v>
      </c>
      <c r="AP184" t="str">
        <f t="shared" si="23"/>
        <v>Defensive</v>
      </c>
      <c r="BB184" s="23"/>
      <c r="BD184" s="21"/>
      <c r="BE184" s="21"/>
      <c r="BF184" s="21"/>
      <c r="BG184" s="21"/>
      <c r="BH184" s="21"/>
      <c r="BI184" s="21"/>
    </row>
    <row r="185" spans="1:61" x14ac:dyDescent="0.2">
      <c r="A185">
        <v>93</v>
      </c>
      <c r="B185" t="s">
        <v>887</v>
      </c>
      <c r="C185" t="str">
        <f t="shared" si="20"/>
        <v/>
      </c>
      <c r="D185" t="str">
        <f t="shared" si="26"/>
        <v/>
      </c>
      <c r="E185">
        <v>14</v>
      </c>
      <c r="F185">
        <v>15</v>
      </c>
      <c r="G185" s="6">
        <v>22</v>
      </c>
      <c r="H185">
        <f t="shared" si="22"/>
        <v>1</v>
      </c>
      <c r="I185" s="5" t="s">
        <v>732</v>
      </c>
      <c r="J185" s="5" t="s">
        <v>751</v>
      </c>
      <c r="K185" s="5" t="s">
        <v>732</v>
      </c>
      <c r="L185" s="7" t="s">
        <v>639</v>
      </c>
      <c r="Q185" t="s">
        <v>619</v>
      </c>
      <c r="R185">
        <v>44</v>
      </c>
      <c r="S185">
        <v>1</v>
      </c>
      <c r="T185" t="str">
        <f t="shared" si="21"/>
        <v>e</v>
      </c>
      <c r="U185" t="s">
        <v>15</v>
      </c>
      <c r="X185" t="s">
        <v>706</v>
      </c>
      <c r="Y185" t="s">
        <v>763</v>
      </c>
      <c r="Z185" t="s">
        <v>758</v>
      </c>
      <c r="AA185" t="s">
        <v>706</v>
      </c>
      <c r="AF185" t="s">
        <v>401</v>
      </c>
      <c r="AM185" t="str">
        <f t="shared" si="24"/>
        <v>Possession</v>
      </c>
      <c r="AN185" t="str">
        <f t="shared" si="25"/>
        <v/>
      </c>
      <c r="AP185" t="str">
        <f t="shared" si="23"/>
        <v>Offensive</v>
      </c>
      <c r="BB185" s="23"/>
      <c r="BD185" s="21"/>
      <c r="BE185" s="21"/>
      <c r="BF185" s="21"/>
      <c r="BG185" s="21"/>
      <c r="BH185" s="21"/>
      <c r="BI185" s="21"/>
    </row>
    <row r="186" spans="1:61" x14ac:dyDescent="0.2">
      <c r="A186">
        <v>93</v>
      </c>
      <c r="B186" t="s">
        <v>887</v>
      </c>
      <c r="C186" t="str">
        <f t="shared" si="20"/>
        <v/>
      </c>
      <c r="D186" t="str">
        <f t="shared" si="26"/>
        <v/>
      </c>
      <c r="E186">
        <v>14</v>
      </c>
      <c r="F186">
        <v>15</v>
      </c>
      <c r="G186" s="6">
        <v>22</v>
      </c>
      <c r="H186">
        <f t="shared" si="22"/>
        <v>1</v>
      </c>
      <c r="R186">
        <v>55</v>
      </c>
      <c r="T186" t="str">
        <f t="shared" si="21"/>
        <v>o</v>
      </c>
      <c r="Y186" t="s">
        <v>764</v>
      </c>
      <c r="AM186" t="str">
        <f t="shared" si="24"/>
        <v>Possession</v>
      </c>
      <c r="AN186" t="str">
        <f t="shared" si="25"/>
        <v/>
      </c>
      <c r="AP186" t="str">
        <f t="shared" si="23"/>
        <v>Defensive</v>
      </c>
      <c r="BB186" s="23"/>
      <c r="BD186" s="21"/>
      <c r="BE186" s="21"/>
      <c r="BF186" s="21"/>
      <c r="BG186" s="21"/>
      <c r="BH186" s="21"/>
      <c r="BI186" s="21"/>
    </row>
    <row r="187" spans="1:61" x14ac:dyDescent="0.2">
      <c r="A187">
        <v>94</v>
      </c>
      <c r="B187">
        <v>22</v>
      </c>
      <c r="C187">
        <f t="shared" si="20"/>
        <v>9022</v>
      </c>
      <c r="D187">
        <f t="shared" si="26"/>
        <v>9022</v>
      </c>
      <c r="E187">
        <v>14</v>
      </c>
      <c r="F187">
        <v>15</v>
      </c>
      <c r="G187" s="6">
        <v>22</v>
      </c>
      <c r="H187">
        <f t="shared" si="22"/>
        <v>1</v>
      </c>
      <c r="I187" s="5" t="s">
        <v>732</v>
      </c>
      <c r="J187" s="5" t="s">
        <v>639</v>
      </c>
      <c r="Q187" t="s">
        <v>619</v>
      </c>
      <c r="R187">
        <v>44</v>
      </c>
      <c r="S187">
        <v>1</v>
      </c>
      <c r="T187" t="str">
        <f t="shared" si="21"/>
        <v>e</v>
      </c>
      <c r="U187" t="s">
        <v>7</v>
      </c>
      <c r="V187" t="s">
        <v>222</v>
      </c>
      <c r="W187" t="s">
        <v>53</v>
      </c>
      <c r="X187" t="s">
        <v>706</v>
      </c>
      <c r="AF187" t="s">
        <v>401</v>
      </c>
      <c r="AM187" t="str">
        <f t="shared" si="24"/>
        <v>Shot</v>
      </c>
      <c r="AN187" t="str">
        <f t="shared" si="25"/>
        <v>Shot_OnNetSaved</v>
      </c>
      <c r="AP187" t="str">
        <f t="shared" si="23"/>
        <v>Offensive</v>
      </c>
      <c r="BB187" s="23"/>
      <c r="BD187" s="21"/>
      <c r="BE187" s="21"/>
      <c r="BF187" s="21"/>
      <c r="BG187" s="21"/>
      <c r="BH187" s="21"/>
      <c r="BI187" s="21"/>
    </row>
    <row r="188" spans="1:61" x14ac:dyDescent="0.2">
      <c r="A188">
        <v>94</v>
      </c>
      <c r="B188">
        <v>22</v>
      </c>
      <c r="C188">
        <f t="shared" si="20"/>
        <v>9022</v>
      </c>
      <c r="D188">
        <f t="shared" si="26"/>
        <v>9022</v>
      </c>
      <c r="E188">
        <v>14</v>
      </c>
      <c r="F188">
        <v>15</v>
      </c>
      <c r="G188" s="6">
        <v>22</v>
      </c>
      <c r="H188">
        <f t="shared" si="22"/>
        <v>1</v>
      </c>
      <c r="R188">
        <v>39</v>
      </c>
      <c r="T188" t="str">
        <f t="shared" si="21"/>
        <v>o</v>
      </c>
      <c r="AM188" t="str">
        <f t="shared" si="24"/>
        <v>Shot</v>
      </c>
      <c r="AN188" t="str">
        <f t="shared" si="25"/>
        <v>Shot_OnNetSaved</v>
      </c>
      <c r="AP188" t="str">
        <f t="shared" si="23"/>
        <v>Defensive</v>
      </c>
      <c r="BB188" s="23"/>
      <c r="BD188" s="21"/>
      <c r="BE188" s="21"/>
      <c r="BF188" s="21"/>
      <c r="BG188" s="21"/>
      <c r="BH188" s="21"/>
      <c r="BI188" s="21"/>
    </row>
    <row r="189" spans="1:61" x14ac:dyDescent="0.2">
      <c r="A189">
        <v>94</v>
      </c>
      <c r="B189">
        <v>22</v>
      </c>
      <c r="C189">
        <f t="shared" si="20"/>
        <v>9022</v>
      </c>
      <c r="D189">
        <f t="shared" si="26"/>
        <v>9022</v>
      </c>
      <c r="E189">
        <v>14</v>
      </c>
      <c r="F189">
        <v>15</v>
      </c>
      <c r="G189" s="6">
        <v>22</v>
      </c>
      <c r="H189">
        <f t="shared" si="22"/>
        <v>1</v>
      </c>
      <c r="R189">
        <v>22</v>
      </c>
      <c r="T189" t="str">
        <f t="shared" si="21"/>
        <v>o</v>
      </c>
      <c r="Y189" t="s">
        <v>722</v>
      </c>
      <c r="AA189" t="s">
        <v>705</v>
      </c>
      <c r="AM189" t="str">
        <f t="shared" si="24"/>
        <v>Shot</v>
      </c>
      <c r="AN189" t="str">
        <f t="shared" si="25"/>
        <v>Shot_OnNetSaved</v>
      </c>
      <c r="AP189" t="str">
        <f t="shared" si="23"/>
        <v>Defensive</v>
      </c>
      <c r="BB189" s="23"/>
      <c r="BD189" s="21"/>
      <c r="BE189" s="21"/>
      <c r="BF189" s="21"/>
      <c r="BG189" s="21"/>
      <c r="BH189" s="21"/>
      <c r="BI189" s="21"/>
    </row>
    <row r="190" spans="1:61" x14ac:dyDescent="0.2">
      <c r="A190">
        <v>95</v>
      </c>
      <c r="B190">
        <v>22</v>
      </c>
      <c r="C190">
        <f t="shared" si="20"/>
        <v>9022</v>
      </c>
      <c r="D190">
        <f t="shared" si="26"/>
        <v>9022</v>
      </c>
      <c r="E190">
        <v>14</v>
      </c>
      <c r="F190">
        <v>15</v>
      </c>
      <c r="G190" s="6">
        <v>22</v>
      </c>
      <c r="H190">
        <f t="shared" si="22"/>
        <v>1</v>
      </c>
      <c r="I190" s="5" t="s">
        <v>732</v>
      </c>
      <c r="J190" s="5" t="s">
        <v>639</v>
      </c>
      <c r="Q190" t="s">
        <v>620</v>
      </c>
      <c r="R190">
        <v>39</v>
      </c>
      <c r="S190">
        <v>1</v>
      </c>
      <c r="T190" t="str">
        <f t="shared" si="21"/>
        <v>e</v>
      </c>
      <c r="U190" t="s">
        <v>17</v>
      </c>
      <c r="V190" t="s">
        <v>206</v>
      </c>
      <c r="W190" t="s">
        <v>96</v>
      </c>
      <c r="AF190" t="s">
        <v>623</v>
      </c>
      <c r="AM190" t="str">
        <f t="shared" si="24"/>
        <v>Save</v>
      </c>
      <c r="AN190" t="str">
        <f t="shared" si="25"/>
        <v>Save_Freeze</v>
      </c>
      <c r="AP190" t="str">
        <f t="shared" si="23"/>
        <v>Defensive</v>
      </c>
      <c r="BB190" s="23"/>
      <c r="BD190" s="21"/>
      <c r="BE190" s="21"/>
      <c r="BF190" s="21"/>
      <c r="BG190" s="21"/>
      <c r="BH190" s="21"/>
      <c r="BI190" s="21"/>
    </row>
    <row r="191" spans="1:61" x14ac:dyDescent="0.2">
      <c r="A191">
        <v>95</v>
      </c>
      <c r="B191">
        <v>22</v>
      </c>
      <c r="C191">
        <f t="shared" si="20"/>
        <v>9022</v>
      </c>
      <c r="D191">
        <f t="shared" si="26"/>
        <v>9022</v>
      </c>
      <c r="E191">
        <v>14</v>
      </c>
      <c r="F191">
        <v>15</v>
      </c>
      <c r="G191" s="6">
        <v>22</v>
      </c>
      <c r="H191">
        <f t="shared" si="22"/>
        <v>1</v>
      </c>
      <c r="R191">
        <v>22</v>
      </c>
      <c r="S191">
        <v>1</v>
      </c>
      <c r="T191" t="str">
        <f t="shared" si="21"/>
        <v>e</v>
      </c>
      <c r="AM191" t="str">
        <f t="shared" si="24"/>
        <v>Save</v>
      </c>
      <c r="AN191" t="str">
        <f t="shared" si="25"/>
        <v>Save_Freeze</v>
      </c>
      <c r="AP191" t="str">
        <f t="shared" si="23"/>
        <v>Defensive</v>
      </c>
      <c r="BB191" s="23"/>
      <c r="BD191" s="21"/>
      <c r="BE191" s="21"/>
      <c r="BF191" s="21"/>
      <c r="BG191" s="21"/>
      <c r="BH191" s="21"/>
      <c r="BI191" s="21"/>
    </row>
    <row r="192" spans="1:61" x14ac:dyDescent="0.2">
      <c r="A192">
        <v>95</v>
      </c>
      <c r="B192">
        <v>22</v>
      </c>
      <c r="C192">
        <f t="shared" si="20"/>
        <v>9022</v>
      </c>
      <c r="D192">
        <f t="shared" si="26"/>
        <v>9022</v>
      </c>
      <c r="E192">
        <v>14</v>
      </c>
      <c r="F192">
        <v>15</v>
      </c>
      <c r="G192" s="6">
        <v>22</v>
      </c>
      <c r="H192">
        <f t="shared" si="22"/>
        <v>1</v>
      </c>
      <c r="R192">
        <v>44</v>
      </c>
      <c r="T192" t="str">
        <f t="shared" si="21"/>
        <v>o</v>
      </c>
      <c r="AM192" t="str">
        <f t="shared" si="24"/>
        <v>Save</v>
      </c>
      <c r="AN192" t="str">
        <f t="shared" si="25"/>
        <v>Save_Freeze</v>
      </c>
      <c r="AP192" t="str">
        <f t="shared" si="23"/>
        <v>Offensive</v>
      </c>
      <c r="BB192" s="23"/>
      <c r="BD192" s="21"/>
      <c r="BE192" s="21"/>
      <c r="BF192" s="21"/>
      <c r="BG192" s="21"/>
      <c r="BH192" s="21"/>
      <c r="BI192" s="21"/>
    </row>
    <row r="193" spans="1:61" x14ac:dyDescent="0.2">
      <c r="A193">
        <v>96</v>
      </c>
      <c r="B193">
        <v>22</v>
      </c>
      <c r="C193">
        <f t="shared" si="20"/>
        <v>9022</v>
      </c>
      <c r="D193">
        <f t="shared" si="26"/>
        <v>9022</v>
      </c>
      <c r="E193">
        <v>14</v>
      </c>
      <c r="F193">
        <v>15</v>
      </c>
      <c r="G193" s="6">
        <v>22</v>
      </c>
      <c r="H193">
        <f t="shared" si="22"/>
        <v>1</v>
      </c>
      <c r="I193" s="5" t="s">
        <v>732</v>
      </c>
      <c r="J193" s="5" t="s">
        <v>753</v>
      </c>
      <c r="Q193" t="s">
        <v>620</v>
      </c>
      <c r="R193">
        <v>39</v>
      </c>
      <c r="S193">
        <v>1</v>
      </c>
      <c r="T193" t="str">
        <f t="shared" si="21"/>
        <v>e</v>
      </c>
      <c r="U193" t="s">
        <v>13</v>
      </c>
      <c r="V193" t="s">
        <v>204</v>
      </c>
      <c r="W193" t="s">
        <v>110</v>
      </c>
      <c r="AF193" t="s">
        <v>623</v>
      </c>
      <c r="AM193" t="str">
        <f t="shared" si="24"/>
        <v>Stoppage</v>
      </c>
      <c r="AN193" t="str">
        <f t="shared" si="25"/>
        <v>Stoppage_Play</v>
      </c>
      <c r="AP193" t="str">
        <f t="shared" si="23"/>
        <v/>
      </c>
      <c r="BB193" s="23"/>
      <c r="BD193" s="21"/>
      <c r="BE193" s="21"/>
      <c r="BF193" s="21"/>
      <c r="BG193" s="21"/>
      <c r="BH193" s="21"/>
      <c r="BI193" s="21"/>
    </row>
    <row r="194" spans="1:61" x14ac:dyDescent="0.2">
      <c r="A194">
        <v>97</v>
      </c>
      <c r="B194" t="s">
        <v>887</v>
      </c>
      <c r="C194" t="str">
        <f t="shared" si="20"/>
        <v/>
      </c>
      <c r="D194" t="str">
        <f t="shared" si="26"/>
        <v/>
      </c>
      <c r="G194" s="6">
        <v>22</v>
      </c>
      <c r="H194">
        <f t="shared" si="22"/>
        <v>1</v>
      </c>
      <c r="I194" s="5" t="s">
        <v>732</v>
      </c>
      <c r="J194" s="5" t="s">
        <v>753</v>
      </c>
      <c r="K194" s="5" t="s">
        <v>732</v>
      </c>
      <c r="L194" s="7" t="s">
        <v>721</v>
      </c>
      <c r="Q194" t="s">
        <v>620</v>
      </c>
      <c r="R194">
        <v>39</v>
      </c>
      <c r="S194">
        <v>1</v>
      </c>
      <c r="T194" t="str">
        <f t="shared" si="21"/>
        <v>e</v>
      </c>
      <c r="U194" t="s">
        <v>262</v>
      </c>
      <c r="AF194" t="s">
        <v>623</v>
      </c>
      <c r="AM194" t="str">
        <f t="shared" si="24"/>
        <v>DeadIce</v>
      </c>
      <c r="AN194" t="str">
        <f t="shared" si="25"/>
        <v/>
      </c>
      <c r="AP194" t="str">
        <f t="shared" si="23"/>
        <v/>
      </c>
      <c r="BB194" s="23"/>
      <c r="BD194" s="21"/>
      <c r="BE194" s="21"/>
      <c r="BF194" s="21"/>
      <c r="BG194" s="21"/>
      <c r="BH194" s="21"/>
      <c r="BI194" s="21"/>
    </row>
    <row r="195" spans="1:61" x14ac:dyDescent="0.2">
      <c r="A195">
        <v>98</v>
      </c>
      <c r="B195">
        <v>23</v>
      </c>
      <c r="C195">
        <f t="shared" ref="C195:C258" si="27">IF(B195&lt;&gt;"",9000+B195,"")</f>
        <v>9023</v>
      </c>
      <c r="D195">
        <f t="shared" si="26"/>
        <v>9023</v>
      </c>
      <c r="G195" s="6">
        <v>22</v>
      </c>
      <c r="H195">
        <f t="shared" si="22"/>
        <v>1</v>
      </c>
      <c r="I195" s="5" t="s">
        <v>732</v>
      </c>
      <c r="J195" s="5" t="s">
        <v>721</v>
      </c>
      <c r="Q195" t="s">
        <v>619</v>
      </c>
      <c r="R195">
        <v>91</v>
      </c>
      <c r="S195">
        <v>1</v>
      </c>
      <c r="T195" t="str">
        <f t="shared" ref="T195:T258" si="28">IF(S195="x","",IF(S195=1,"e","o"))</f>
        <v>e</v>
      </c>
      <c r="U195" t="s">
        <v>6</v>
      </c>
      <c r="V195" t="s">
        <v>255</v>
      </c>
      <c r="AF195" t="s">
        <v>401</v>
      </c>
      <c r="AM195" t="str">
        <f t="shared" si="24"/>
        <v>Faceoff</v>
      </c>
      <c r="AN195" t="str">
        <f t="shared" si="25"/>
        <v>Faceoff_AfterStoppage</v>
      </c>
      <c r="AP195" t="str">
        <f t="shared" si="23"/>
        <v>Offensive</v>
      </c>
      <c r="BB195" s="23"/>
      <c r="BD195" s="21"/>
      <c r="BE195" s="21"/>
      <c r="BF195" s="21"/>
      <c r="BG195" s="21"/>
      <c r="BH195" s="21"/>
      <c r="BI195" s="21"/>
    </row>
    <row r="196" spans="1:61" x14ac:dyDescent="0.2">
      <c r="A196">
        <v>98</v>
      </c>
      <c r="B196">
        <v>23</v>
      </c>
      <c r="C196">
        <f t="shared" si="27"/>
        <v>9023</v>
      </c>
      <c r="D196">
        <f t="shared" si="26"/>
        <v>9023</v>
      </c>
      <c r="G196" s="6">
        <v>22</v>
      </c>
      <c r="H196">
        <f t="shared" ref="H196:H259" si="29">IF(U196="Intermission",H195+1,H195)</f>
        <v>1</v>
      </c>
      <c r="R196">
        <v>44</v>
      </c>
      <c r="S196">
        <v>1</v>
      </c>
      <c r="T196" t="str">
        <f t="shared" si="28"/>
        <v>e</v>
      </c>
      <c r="AM196" t="str">
        <f t="shared" si="24"/>
        <v>Faceoff</v>
      </c>
      <c r="AN196" t="str">
        <f t="shared" si="25"/>
        <v>Faceoff_AfterStoppage</v>
      </c>
      <c r="AP196" t="str">
        <f t="shared" si="23"/>
        <v>Offensive</v>
      </c>
      <c r="BB196" s="23"/>
      <c r="BD196" s="21"/>
      <c r="BE196" s="21"/>
      <c r="BF196" s="21"/>
      <c r="BG196" s="21"/>
      <c r="BH196" s="21"/>
      <c r="BI196" s="21"/>
    </row>
    <row r="197" spans="1:61" x14ac:dyDescent="0.2">
      <c r="A197">
        <v>98</v>
      </c>
      <c r="B197">
        <v>23</v>
      </c>
      <c r="C197">
        <f t="shared" si="27"/>
        <v>9023</v>
      </c>
      <c r="D197">
        <f t="shared" si="26"/>
        <v>9023</v>
      </c>
      <c r="G197" s="6">
        <v>22</v>
      </c>
      <c r="H197">
        <f t="shared" si="29"/>
        <v>1</v>
      </c>
      <c r="R197">
        <v>42</v>
      </c>
      <c r="T197" t="str">
        <f t="shared" si="28"/>
        <v>o</v>
      </c>
      <c r="AM197" t="str">
        <f t="shared" si="24"/>
        <v>Faceoff</v>
      </c>
      <c r="AN197" t="str">
        <f t="shared" si="25"/>
        <v>Faceoff_AfterStoppage</v>
      </c>
      <c r="AP197" t="str">
        <f t="shared" si="23"/>
        <v>Defensive</v>
      </c>
      <c r="BB197" s="23"/>
      <c r="BD197" s="21"/>
      <c r="BE197" s="21"/>
      <c r="BF197" s="21"/>
      <c r="BG197" s="21"/>
      <c r="BH197" s="21"/>
      <c r="BI197" s="21"/>
    </row>
    <row r="198" spans="1:61" x14ac:dyDescent="0.2">
      <c r="A198">
        <v>99</v>
      </c>
      <c r="B198">
        <v>23</v>
      </c>
      <c r="C198">
        <f t="shared" si="27"/>
        <v>9023</v>
      </c>
      <c r="D198">
        <f t="shared" si="26"/>
        <v>9023</v>
      </c>
      <c r="G198" s="6">
        <v>23</v>
      </c>
      <c r="H198">
        <f t="shared" si="29"/>
        <v>1</v>
      </c>
      <c r="I198" s="5" t="s">
        <v>732</v>
      </c>
      <c r="J198" s="5" t="s">
        <v>726</v>
      </c>
      <c r="Q198" t="s">
        <v>620</v>
      </c>
      <c r="S198">
        <v>1</v>
      </c>
      <c r="T198" t="str">
        <f t="shared" si="28"/>
        <v>e</v>
      </c>
      <c r="U198" t="s">
        <v>257</v>
      </c>
      <c r="V198" t="s">
        <v>201</v>
      </c>
      <c r="W198" t="s">
        <v>411</v>
      </c>
      <c r="AF198" t="s">
        <v>623</v>
      </c>
      <c r="AM198" t="str">
        <f t="shared" si="24"/>
        <v>Zone_Entry_Exit</v>
      </c>
      <c r="AN198" t="str">
        <f t="shared" si="25"/>
        <v>Zone_Exit</v>
      </c>
      <c r="AP198" t="str">
        <f t="shared" ref="AP198:AP261" si="30">IF(AND(T198="e",OR(AM198="Save",AN198="Turnover_Takeaway",AN198="Play_Defensive")),"Defensive",IF(AND(T198="o",OR(AM198="Save",AN198="Turnover_Takeaway",AN198="Play_Defensive")),"Offensive",IF(OR(AM198="Deadice",AM198="Stoppage",AM198="Intermission"),"",IF(T198="e","Offensive",IF(T198="o","Defensive","")))))</f>
        <v>Offensive</v>
      </c>
      <c r="BB198" s="23"/>
      <c r="BD198" s="21"/>
      <c r="BE198" s="21"/>
      <c r="BF198" s="21"/>
      <c r="BG198" s="21"/>
      <c r="BH198" s="21"/>
      <c r="BI198" s="21"/>
    </row>
    <row r="199" spans="1:61" x14ac:dyDescent="0.2">
      <c r="A199">
        <v>100</v>
      </c>
      <c r="B199" t="s">
        <v>887</v>
      </c>
      <c r="C199" t="str">
        <f t="shared" si="27"/>
        <v/>
      </c>
      <c r="D199" t="str">
        <f t="shared" si="26"/>
        <v/>
      </c>
      <c r="G199" s="6">
        <v>23</v>
      </c>
      <c r="H199">
        <f t="shared" si="29"/>
        <v>1</v>
      </c>
      <c r="I199" s="5" t="s">
        <v>732</v>
      </c>
      <c r="J199" s="5" t="s">
        <v>766</v>
      </c>
      <c r="K199" s="5" t="s">
        <v>732</v>
      </c>
      <c r="L199" s="7" t="s">
        <v>760</v>
      </c>
      <c r="Q199" t="s">
        <v>619</v>
      </c>
      <c r="R199">
        <v>44</v>
      </c>
      <c r="S199">
        <v>1</v>
      </c>
      <c r="T199" t="str">
        <f t="shared" si="28"/>
        <v>e</v>
      </c>
      <c r="U199" t="s">
        <v>15</v>
      </c>
      <c r="V199" t="s">
        <v>698</v>
      </c>
      <c r="X199" t="s">
        <v>706</v>
      </c>
      <c r="Y199" t="s">
        <v>756</v>
      </c>
      <c r="AA199" t="s">
        <v>706</v>
      </c>
      <c r="AF199" t="s">
        <v>635</v>
      </c>
      <c r="AM199" t="str">
        <f t="shared" ref="AM199:AM262" si="31">IF(U199&lt;&gt;"",U199,IF($A199=$A198,AM198,""))</f>
        <v>Possession</v>
      </c>
      <c r="AN199" t="str">
        <f t="shared" ref="AN199:AN262" si="32">IF(V199&lt;&gt;"",V199,IF($A199=$A198,AN198,""))</f>
        <v>PuckRecovery</v>
      </c>
      <c r="AP199" t="str">
        <f t="shared" si="30"/>
        <v>Offensive</v>
      </c>
      <c r="BB199" s="23"/>
      <c r="BD199" s="21"/>
      <c r="BE199" s="21"/>
      <c r="BF199" s="21"/>
      <c r="BG199" s="21"/>
      <c r="BH199" s="21"/>
      <c r="BI199" s="21"/>
    </row>
    <row r="200" spans="1:61" x14ac:dyDescent="0.2">
      <c r="A200">
        <v>101</v>
      </c>
      <c r="B200" t="s">
        <v>887</v>
      </c>
      <c r="C200" t="str">
        <f t="shared" si="27"/>
        <v/>
      </c>
      <c r="D200" t="str">
        <f t="shared" ref="D200:D263" si="33">IF(C200&lt;&gt;"",C200,B200)</f>
        <v/>
      </c>
      <c r="E200">
        <v>15</v>
      </c>
      <c r="G200" s="6">
        <v>23</v>
      </c>
      <c r="H200">
        <f t="shared" si="29"/>
        <v>1</v>
      </c>
      <c r="I200" s="5" t="s">
        <v>732</v>
      </c>
      <c r="J200" s="5" t="s">
        <v>760</v>
      </c>
      <c r="Q200" t="s">
        <v>619</v>
      </c>
      <c r="R200">
        <v>44</v>
      </c>
      <c r="S200">
        <v>1</v>
      </c>
      <c r="T200" t="str">
        <f t="shared" si="28"/>
        <v>e</v>
      </c>
      <c r="U200" t="s">
        <v>8</v>
      </c>
      <c r="V200" t="s">
        <v>189</v>
      </c>
      <c r="W200" t="s">
        <v>70</v>
      </c>
      <c r="X200" t="s">
        <v>706</v>
      </c>
      <c r="AF200" t="s">
        <v>635</v>
      </c>
      <c r="AM200" t="str">
        <f t="shared" si="31"/>
        <v>Pass</v>
      </c>
      <c r="AN200" t="str">
        <f t="shared" si="32"/>
        <v>Pass_Completed</v>
      </c>
      <c r="AP200" t="str">
        <f t="shared" si="30"/>
        <v>Offensive</v>
      </c>
      <c r="BB200" s="23"/>
      <c r="BD200" s="21"/>
      <c r="BE200" s="21"/>
      <c r="BF200" s="21"/>
      <c r="BG200" s="21"/>
      <c r="BH200" s="21"/>
      <c r="BI200" s="21"/>
    </row>
    <row r="201" spans="1:61" x14ac:dyDescent="0.2">
      <c r="A201">
        <v>101</v>
      </c>
      <c r="B201" t="s">
        <v>887</v>
      </c>
      <c r="C201" t="str">
        <f t="shared" si="27"/>
        <v/>
      </c>
      <c r="D201" t="str">
        <f t="shared" si="33"/>
        <v/>
      </c>
      <c r="E201">
        <v>15</v>
      </c>
      <c r="G201" s="6">
        <v>23</v>
      </c>
      <c r="H201">
        <f t="shared" si="29"/>
        <v>1</v>
      </c>
      <c r="R201">
        <v>12</v>
      </c>
      <c r="S201">
        <v>1</v>
      </c>
      <c r="T201" t="str">
        <f t="shared" si="28"/>
        <v>e</v>
      </c>
      <c r="AM201" t="str">
        <f t="shared" si="31"/>
        <v>Pass</v>
      </c>
      <c r="AN201" t="str">
        <f t="shared" si="32"/>
        <v>Pass_Completed</v>
      </c>
      <c r="AP201" t="str">
        <f t="shared" si="30"/>
        <v>Offensive</v>
      </c>
      <c r="BB201" s="23"/>
      <c r="BD201" s="21"/>
      <c r="BE201" s="21"/>
      <c r="BF201" s="21"/>
      <c r="BG201" s="21"/>
      <c r="BH201" s="21"/>
      <c r="BI201" s="21"/>
    </row>
    <row r="202" spans="1:61" x14ac:dyDescent="0.2">
      <c r="A202">
        <v>102</v>
      </c>
      <c r="B202" t="s">
        <v>887</v>
      </c>
      <c r="C202" t="str">
        <f t="shared" si="27"/>
        <v/>
      </c>
      <c r="D202" t="str">
        <f t="shared" si="33"/>
        <v/>
      </c>
      <c r="E202">
        <v>15</v>
      </c>
      <c r="G202" s="6">
        <v>23</v>
      </c>
      <c r="H202">
        <f t="shared" si="29"/>
        <v>1</v>
      </c>
      <c r="I202" s="5" t="s">
        <v>732</v>
      </c>
      <c r="J202" s="5" t="s">
        <v>731</v>
      </c>
      <c r="K202" s="5" t="s">
        <v>732</v>
      </c>
      <c r="L202" s="7" t="s">
        <v>621</v>
      </c>
      <c r="Q202" t="s">
        <v>619</v>
      </c>
      <c r="R202">
        <v>12</v>
      </c>
      <c r="S202">
        <v>1</v>
      </c>
      <c r="T202" t="str">
        <f t="shared" si="28"/>
        <v>e</v>
      </c>
      <c r="U202" t="s">
        <v>15</v>
      </c>
      <c r="AF202" t="s">
        <v>635</v>
      </c>
      <c r="AM202" t="str">
        <f t="shared" si="31"/>
        <v>Possession</v>
      </c>
      <c r="AN202" t="str">
        <f t="shared" si="32"/>
        <v/>
      </c>
      <c r="AP202" t="str">
        <f t="shared" si="30"/>
        <v>Offensive</v>
      </c>
      <c r="BB202" s="23"/>
      <c r="BD202" s="21"/>
      <c r="BE202" s="21"/>
      <c r="BF202" s="21"/>
      <c r="BG202" s="21"/>
      <c r="BH202" s="21"/>
      <c r="BI202" s="21"/>
    </row>
    <row r="203" spans="1:61" x14ac:dyDescent="0.2">
      <c r="A203">
        <v>103</v>
      </c>
      <c r="B203" t="s">
        <v>887</v>
      </c>
      <c r="C203" t="str">
        <f t="shared" si="27"/>
        <v/>
      </c>
      <c r="D203" t="str">
        <f t="shared" si="33"/>
        <v/>
      </c>
      <c r="E203">
        <v>15</v>
      </c>
      <c r="F203">
        <v>16</v>
      </c>
      <c r="G203" s="6">
        <v>24</v>
      </c>
      <c r="H203">
        <f t="shared" si="29"/>
        <v>1</v>
      </c>
      <c r="I203" s="5" t="s">
        <v>732</v>
      </c>
      <c r="J203" s="5" t="s">
        <v>621</v>
      </c>
      <c r="K203" s="5" t="s">
        <v>732</v>
      </c>
      <c r="L203" s="7" t="s">
        <v>732</v>
      </c>
      <c r="Q203" t="s">
        <v>619</v>
      </c>
      <c r="R203">
        <v>12</v>
      </c>
      <c r="S203">
        <v>1</v>
      </c>
      <c r="T203" t="str">
        <f t="shared" si="28"/>
        <v>e</v>
      </c>
      <c r="U203" t="s">
        <v>257</v>
      </c>
      <c r="V203" t="s">
        <v>191</v>
      </c>
      <c r="W203" t="s">
        <v>87</v>
      </c>
      <c r="X203" t="s">
        <v>706</v>
      </c>
      <c r="Y203" t="s">
        <v>677</v>
      </c>
      <c r="Z203" t="s">
        <v>767</v>
      </c>
      <c r="AA203" t="s">
        <v>706</v>
      </c>
      <c r="AF203" t="s">
        <v>401</v>
      </c>
      <c r="AJ203">
        <v>1</v>
      </c>
      <c r="AM203" t="str">
        <f t="shared" si="31"/>
        <v>Zone_Entry_Exit</v>
      </c>
      <c r="AN203" t="str">
        <f t="shared" si="32"/>
        <v>Zone_Entry</v>
      </c>
      <c r="AP203" t="str">
        <f t="shared" si="30"/>
        <v>Offensive</v>
      </c>
      <c r="BB203" s="23"/>
      <c r="BD203" s="21"/>
      <c r="BE203" s="21"/>
      <c r="BF203" s="21"/>
      <c r="BG203" s="21"/>
      <c r="BH203" s="21"/>
      <c r="BI203" s="21"/>
    </row>
    <row r="204" spans="1:61" x14ac:dyDescent="0.2">
      <c r="A204">
        <v>103</v>
      </c>
      <c r="B204" t="s">
        <v>887</v>
      </c>
      <c r="C204" t="str">
        <f t="shared" si="27"/>
        <v/>
      </c>
      <c r="D204" t="str">
        <f t="shared" si="33"/>
        <v/>
      </c>
      <c r="E204">
        <v>15</v>
      </c>
      <c r="F204">
        <v>16</v>
      </c>
      <c r="G204" s="6">
        <v>24</v>
      </c>
      <c r="H204">
        <f t="shared" si="29"/>
        <v>1</v>
      </c>
      <c r="R204">
        <v>44</v>
      </c>
      <c r="S204">
        <v>1</v>
      </c>
      <c r="T204" t="str">
        <f t="shared" si="28"/>
        <v>e</v>
      </c>
      <c r="AM204" t="str">
        <f t="shared" si="31"/>
        <v>Zone_Entry_Exit</v>
      </c>
      <c r="AN204" t="str">
        <f t="shared" si="32"/>
        <v>Zone_Entry</v>
      </c>
      <c r="AP204" t="str">
        <f t="shared" si="30"/>
        <v>Offensive</v>
      </c>
      <c r="BB204" s="23"/>
      <c r="BD204" s="21"/>
      <c r="BE204" s="21"/>
      <c r="BF204" s="21"/>
      <c r="BG204" s="21"/>
      <c r="BH204" s="21"/>
      <c r="BI204" s="21"/>
    </row>
    <row r="205" spans="1:61" x14ac:dyDescent="0.2">
      <c r="A205">
        <v>103</v>
      </c>
      <c r="B205" t="s">
        <v>887</v>
      </c>
      <c r="C205" t="str">
        <f t="shared" si="27"/>
        <v/>
      </c>
      <c r="D205" t="str">
        <f t="shared" si="33"/>
        <v/>
      </c>
      <c r="E205">
        <v>15</v>
      </c>
      <c r="F205">
        <v>16</v>
      </c>
      <c r="G205" s="6">
        <v>24</v>
      </c>
      <c r="H205">
        <f t="shared" si="29"/>
        <v>1</v>
      </c>
      <c r="R205">
        <v>56</v>
      </c>
      <c r="S205">
        <v>1</v>
      </c>
      <c r="T205" t="str">
        <f t="shared" si="28"/>
        <v>e</v>
      </c>
      <c r="AM205" t="str">
        <f t="shared" si="31"/>
        <v>Zone_Entry_Exit</v>
      </c>
      <c r="AN205" t="str">
        <f t="shared" si="32"/>
        <v>Zone_Entry</v>
      </c>
      <c r="AP205" t="str">
        <f t="shared" si="30"/>
        <v>Offensive</v>
      </c>
      <c r="BB205" s="23"/>
      <c r="BD205" s="21"/>
      <c r="BE205" s="21"/>
      <c r="BF205" s="21"/>
      <c r="BG205" s="21"/>
      <c r="BH205" s="21"/>
      <c r="BI205" s="21"/>
    </row>
    <row r="206" spans="1:61" x14ac:dyDescent="0.2">
      <c r="A206">
        <v>103</v>
      </c>
      <c r="B206" t="s">
        <v>887</v>
      </c>
      <c r="C206" t="str">
        <f t="shared" si="27"/>
        <v/>
      </c>
      <c r="D206" t="str">
        <f t="shared" si="33"/>
        <v/>
      </c>
      <c r="E206">
        <v>15</v>
      </c>
      <c r="F206">
        <v>16</v>
      </c>
      <c r="G206" s="6">
        <v>24</v>
      </c>
      <c r="H206">
        <f t="shared" si="29"/>
        <v>1</v>
      </c>
      <c r="R206">
        <v>91</v>
      </c>
      <c r="S206">
        <v>1</v>
      </c>
      <c r="T206" t="str">
        <f t="shared" si="28"/>
        <v>e</v>
      </c>
      <c r="AM206" t="str">
        <f t="shared" si="31"/>
        <v>Zone_Entry_Exit</v>
      </c>
      <c r="AN206" t="str">
        <f t="shared" si="32"/>
        <v>Zone_Entry</v>
      </c>
      <c r="AP206" t="str">
        <f t="shared" si="30"/>
        <v>Offensive</v>
      </c>
      <c r="BB206" s="23"/>
      <c r="BD206" s="21"/>
      <c r="BE206" s="21"/>
      <c r="BF206" s="21"/>
      <c r="BG206" s="21"/>
      <c r="BH206" s="21"/>
      <c r="BI206" s="21"/>
    </row>
    <row r="207" spans="1:61" x14ac:dyDescent="0.2">
      <c r="A207">
        <v>103</v>
      </c>
      <c r="B207" t="s">
        <v>887</v>
      </c>
      <c r="C207" t="str">
        <f t="shared" si="27"/>
        <v/>
      </c>
      <c r="D207" t="str">
        <f t="shared" si="33"/>
        <v/>
      </c>
      <c r="E207">
        <v>15</v>
      </c>
      <c r="F207">
        <v>16</v>
      </c>
      <c r="G207" s="6">
        <v>24</v>
      </c>
      <c r="H207">
        <f t="shared" si="29"/>
        <v>1</v>
      </c>
      <c r="R207">
        <v>84</v>
      </c>
      <c r="T207" t="str">
        <f t="shared" si="28"/>
        <v>o</v>
      </c>
      <c r="Y207" t="s">
        <v>714</v>
      </c>
      <c r="AA207" t="s">
        <v>705</v>
      </c>
      <c r="AJ207">
        <v>1</v>
      </c>
      <c r="AM207" t="str">
        <f t="shared" si="31"/>
        <v>Zone_Entry_Exit</v>
      </c>
      <c r="AN207" t="str">
        <f t="shared" si="32"/>
        <v>Zone_Entry</v>
      </c>
      <c r="AP207" t="str">
        <f t="shared" si="30"/>
        <v>Defensive</v>
      </c>
      <c r="BB207" s="23"/>
      <c r="BD207" s="21"/>
      <c r="BE207" s="21"/>
      <c r="BF207" s="21"/>
      <c r="BG207" s="21"/>
      <c r="BH207" s="21"/>
      <c r="BI207" s="21"/>
    </row>
    <row r="208" spans="1:61" x14ac:dyDescent="0.2">
      <c r="A208">
        <v>103</v>
      </c>
      <c r="B208" t="s">
        <v>887</v>
      </c>
      <c r="C208" t="str">
        <f t="shared" si="27"/>
        <v/>
      </c>
      <c r="D208" t="str">
        <f t="shared" si="33"/>
        <v/>
      </c>
      <c r="E208">
        <v>15</v>
      </c>
      <c r="F208">
        <v>16</v>
      </c>
      <c r="G208" s="6">
        <v>24</v>
      </c>
      <c r="H208">
        <f t="shared" si="29"/>
        <v>1</v>
      </c>
      <c r="R208">
        <v>55</v>
      </c>
      <c r="T208" t="str">
        <f t="shared" si="28"/>
        <v>o</v>
      </c>
      <c r="Y208" t="s">
        <v>715</v>
      </c>
      <c r="AA208" t="s">
        <v>705</v>
      </c>
      <c r="AM208" t="str">
        <f t="shared" si="31"/>
        <v>Zone_Entry_Exit</v>
      </c>
      <c r="AN208" t="str">
        <f t="shared" si="32"/>
        <v>Zone_Entry</v>
      </c>
      <c r="AP208" t="str">
        <f t="shared" si="30"/>
        <v>Defensive</v>
      </c>
      <c r="BB208" s="23"/>
      <c r="BD208" s="21"/>
      <c r="BE208" s="21"/>
      <c r="BF208" s="21"/>
      <c r="BG208" s="21"/>
      <c r="BH208" s="21"/>
      <c r="BI208" s="21"/>
    </row>
    <row r="209" spans="1:61" x14ac:dyDescent="0.2">
      <c r="A209">
        <v>103</v>
      </c>
      <c r="B209" t="s">
        <v>887</v>
      </c>
      <c r="C209" t="str">
        <f t="shared" si="27"/>
        <v/>
      </c>
      <c r="D209" t="str">
        <f t="shared" si="33"/>
        <v/>
      </c>
      <c r="E209">
        <v>15</v>
      </c>
      <c r="F209">
        <v>16</v>
      </c>
      <c r="G209" s="6">
        <v>24</v>
      </c>
      <c r="H209">
        <f t="shared" si="29"/>
        <v>1</v>
      </c>
      <c r="R209">
        <v>22</v>
      </c>
      <c r="T209" t="str">
        <f t="shared" si="28"/>
        <v>o</v>
      </c>
      <c r="AM209" t="str">
        <f t="shared" si="31"/>
        <v>Zone_Entry_Exit</v>
      </c>
      <c r="AN209" t="str">
        <f t="shared" si="32"/>
        <v>Zone_Entry</v>
      </c>
      <c r="AP209" t="str">
        <f t="shared" si="30"/>
        <v>Defensive</v>
      </c>
      <c r="BB209" s="23"/>
      <c r="BD209" s="21"/>
      <c r="BE209" s="21"/>
      <c r="BF209" s="21"/>
      <c r="BG209" s="21"/>
      <c r="BH209" s="21"/>
      <c r="BI209" s="21"/>
    </row>
    <row r="210" spans="1:61" x14ac:dyDescent="0.2">
      <c r="A210">
        <v>104</v>
      </c>
      <c r="B210" t="s">
        <v>887</v>
      </c>
      <c r="C210" t="str">
        <f t="shared" si="27"/>
        <v/>
      </c>
      <c r="D210" t="str">
        <f t="shared" si="33"/>
        <v/>
      </c>
      <c r="E210">
        <v>15</v>
      </c>
      <c r="F210">
        <v>16</v>
      </c>
      <c r="G210" s="6">
        <v>24</v>
      </c>
      <c r="H210">
        <f t="shared" si="29"/>
        <v>1</v>
      </c>
      <c r="I210" s="5" t="s">
        <v>732</v>
      </c>
      <c r="J210" s="5" t="s">
        <v>732</v>
      </c>
      <c r="Q210" t="s">
        <v>619</v>
      </c>
      <c r="R210">
        <v>12</v>
      </c>
      <c r="S210">
        <v>1</v>
      </c>
      <c r="T210" t="str">
        <f t="shared" si="28"/>
        <v>e</v>
      </c>
      <c r="U210" t="s">
        <v>7</v>
      </c>
      <c r="V210" t="s">
        <v>208</v>
      </c>
      <c r="W210" t="s">
        <v>53</v>
      </c>
      <c r="X210" t="s">
        <v>705</v>
      </c>
      <c r="AC210" t="s">
        <v>629</v>
      </c>
      <c r="AE210">
        <v>1</v>
      </c>
      <c r="AF210" t="s">
        <v>401</v>
      </c>
      <c r="AJ210">
        <v>1</v>
      </c>
      <c r="AM210" t="str">
        <f t="shared" si="31"/>
        <v>Shot</v>
      </c>
      <c r="AN210" t="str">
        <f t="shared" si="32"/>
        <v>Shot_Blocked</v>
      </c>
      <c r="AP210" t="str">
        <f t="shared" si="30"/>
        <v>Offensive</v>
      </c>
      <c r="BB210" s="23"/>
      <c r="BD210" s="21"/>
      <c r="BE210" s="21"/>
      <c r="BF210" s="21"/>
      <c r="BG210" s="21"/>
      <c r="BH210" s="21"/>
      <c r="BI210" s="21"/>
    </row>
    <row r="211" spans="1:61" x14ac:dyDescent="0.2">
      <c r="A211">
        <v>104</v>
      </c>
      <c r="B211" t="s">
        <v>887</v>
      </c>
      <c r="C211" t="str">
        <f t="shared" si="27"/>
        <v/>
      </c>
      <c r="D211" t="str">
        <f t="shared" si="33"/>
        <v/>
      </c>
      <c r="E211">
        <v>15</v>
      </c>
      <c r="F211">
        <v>16</v>
      </c>
      <c r="G211" s="6">
        <v>24</v>
      </c>
      <c r="H211">
        <f t="shared" si="29"/>
        <v>1</v>
      </c>
      <c r="R211">
        <v>84</v>
      </c>
      <c r="T211" t="str">
        <f t="shared" si="28"/>
        <v>o</v>
      </c>
      <c r="Y211" t="s">
        <v>681</v>
      </c>
      <c r="AA211" t="s">
        <v>706</v>
      </c>
      <c r="AJ211">
        <v>1</v>
      </c>
      <c r="AM211" t="str">
        <f t="shared" si="31"/>
        <v>Shot</v>
      </c>
      <c r="AN211" t="str">
        <f t="shared" si="32"/>
        <v>Shot_Blocked</v>
      </c>
      <c r="AP211" t="str">
        <f t="shared" si="30"/>
        <v>Defensive</v>
      </c>
      <c r="BB211" s="23"/>
      <c r="BD211" s="21"/>
      <c r="BE211" s="21"/>
      <c r="BF211" s="21"/>
      <c r="BG211" s="21"/>
      <c r="BH211" s="21"/>
      <c r="BI211" s="21"/>
    </row>
    <row r="212" spans="1:61" x14ac:dyDescent="0.2">
      <c r="A212">
        <v>105</v>
      </c>
      <c r="B212" t="s">
        <v>887</v>
      </c>
      <c r="C212" t="str">
        <f t="shared" si="27"/>
        <v/>
      </c>
      <c r="D212" t="str">
        <f t="shared" si="33"/>
        <v/>
      </c>
      <c r="E212">
        <v>15</v>
      </c>
      <c r="F212">
        <v>16</v>
      </c>
      <c r="G212" s="6">
        <v>24</v>
      </c>
      <c r="H212">
        <f t="shared" si="29"/>
        <v>1</v>
      </c>
      <c r="I212" s="5" t="s">
        <v>732</v>
      </c>
      <c r="J212" s="5" t="s">
        <v>448</v>
      </c>
      <c r="Q212" t="s">
        <v>619</v>
      </c>
      <c r="R212">
        <v>44</v>
      </c>
      <c r="S212">
        <v>1</v>
      </c>
      <c r="T212" t="str">
        <f t="shared" si="28"/>
        <v>e</v>
      </c>
      <c r="U212" t="s">
        <v>15</v>
      </c>
      <c r="V212" t="s">
        <v>698</v>
      </c>
      <c r="X212" t="s">
        <v>706</v>
      </c>
      <c r="Y212" t="s">
        <v>683</v>
      </c>
      <c r="AA212" t="s">
        <v>706</v>
      </c>
      <c r="AF212" t="s">
        <v>401</v>
      </c>
      <c r="AM212" t="str">
        <f t="shared" si="31"/>
        <v>Possession</v>
      </c>
      <c r="AN212" t="str">
        <f t="shared" si="32"/>
        <v>PuckRecovery</v>
      </c>
      <c r="AP212" t="str">
        <f t="shared" si="30"/>
        <v>Offensive</v>
      </c>
      <c r="BB212" s="23"/>
      <c r="BD212" s="21"/>
      <c r="BE212" s="21"/>
      <c r="BF212" s="21"/>
      <c r="BG212" s="21"/>
      <c r="BH212" s="21"/>
      <c r="BI212" s="21"/>
    </row>
    <row r="213" spans="1:61" x14ac:dyDescent="0.2">
      <c r="A213">
        <v>106</v>
      </c>
      <c r="B213">
        <v>24</v>
      </c>
      <c r="C213">
        <f t="shared" si="27"/>
        <v>9024</v>
      </c>
      <c r="D213">
        <f t="shared" si="33"/>
        <v>9024</v>
      </c>
      <c r="E213">
        <v>15</v>
      </c>
      <c r="F213">
        <v>16</v>
      </c>
      <c r="G213" s="6">
        <v>24</v>
      </c>
      <c r="H213">
        <f t="shared" si="29"/>
        <v>1</v>
      </c>
      <c r="I213" s="5" t="s">
        <v>732</v>
      </c>
      <c r="J213" s="5" t="s">
        <v>448</v>
      </c>
      <c r="Q213" t="s">
        <v>619</v>
      </c>
      <c r="R213">
        <v>44</v>
      </c>
      <c r="S213">
        <v>1</v>
      </c>
      <c r="T213" t="str">
        <f t="shared" si="28"/>
        <v>e</v>
      </c>
      <c r="U213" t="s">
        <v>7</v>
      </c>
      <c r="V213" t="s">
        <v>222</v>
      </c>
      <c r="W213" t="s">
        <v>53</v>
      </c>
      <c r="X213" t="s">
        <v>706</v>
      </c>
      <c r="Y213" t="s">
        <v>771</v>
      </c>
      <c r="AC213" t="s">
        <v>629</v>
      </c>
      <c r="AE213">
        <v>1</v>
      </c>
      <c r="AF213" t="s">
        <v>401</v>
      </c>
      <c r="AM213" t="str">
        <f t="shared" si="31"/>
        <v>Shot</v>
      </c>
      <c r="AN213" t="str">
        <f t="shared" si="32"/>
        <v>Shot_OnNetSaved</v>
      </c>
      <c r="AP213" t="str">
        <f t="shared" si="30"/>
        <v>Offensive</v>
      </c>
      <c r="BB213" s="23"/>
      <c r="BD213" s="21"/>
      <c r="BE213" s="21"/>
      <c r="BF213" s="21"/>
      <c r="BG213" s="21"/>
      <c r="BH213" s="21"/>
      <c r="BI213" s="21"/>
    </row>
    <row r="214" spans="1:61" x14ac:dyDescent="0.2">
      <c r="A214">
        <v>106</v>
      </c>
      <c r="B214">
        <v>24</v>
      </c>
      <c r="C214">
        <f t="shared" si="27"/>
        <v>9024</v>
      </c>
      <c r="D214">
        <f t="shared" si="33"/>
        <v>9024</v>
      </c>
      <c r="E214">
        <v>15</v>
      </c>
      <c r="F214">
        <v>16</v>
      </c>
      <c r="G214" s="6">
        <v>24</v>
      </c>
      <c r="H214">
        <f t="shared" si="29"/>
        <v>1</v>
      </c>
      <c r="R214">
        <v>39</v>
      </c>
      <c r="T214" t="str">
        <f t="shared" si="28"/>
        <v>o</v>
      </c>
      <c r="AM214" t="str">
        <f t="shared" si="31"/>
        <v>Shot</v>
      </c>
      <c r="AN214" t="str">
        <f t="shared" si="32"/>
        <v>Shot_OnNetSaved</v>
      </c>
      <c r="AP214" t="str">
        <f t="shared" si="30"/>
        <v>Defensive</v>
      </c>
      <c r="BB214" s="23"/>
      <c r="BD214" s="21"/>
      <c r="BE214" s="21"/>
      <c r="BF214" s="21"/>
      <c r="BG214" s="21"/>
      <c r="BH214" s="21"/>
      <c r="BI214" s="21"/>
    </row>
    <row r="215" spans="1:61" x14ac:dyDescent="0.2">
      <c r="A215">
        <v>107</v>
      </c>
      <c r="B215">
        <v>24</v>
      </c>
      <c r="C215">
        <f t="shared" si="27"/>
        <v>9024</v>
      </c>
      <c r="D215">
        <f t="shared" si="33"/>
        <v>9024</v>
      </c>
      <c r="E215">
        <v>15</v>
      </c>
      <c r="F215">
        <v>16</v>
      </c>
      <c r="G215" s="6">
        <v>24</v>
      </c>
      <c r="H215">
        <f t="shared" si="29"/>
        <v>1</v>
      </c>
      <c r="I215" s="5" t="s">
        <v>732</v>
      </c>
      <c r="J215" s="5" t="s">
        <v>768</v>
      </c>
      <c r="Q215" t="s">
        <v>620</v>
      </c>
      <c r="R215">
        <v>39</v>
      </c>
      <c r="S215">
        <v>1</v>
      </c>
      <c r="T215" t="str">
        <f t="shared" si="28"/>
        <v>e</v>
      </c>
      <c r="U215" t="s">
        <v>17</v>
      </c>
      <c r="V215" t="s">
        <v>196</v>
      </c>
      <c r="W215" t="s">
        <v>102</v>
      </c>
      <c r="AF215" t="s">
        <v>623</v>
      </c>
      <c r="AM215" t="str">
        <f t="shared" si="31"/>
        <v>Save</v>
      </c>
      <c r="AN215" t="str">
        <f t="shared" si="32"/>
        <v>Save_Rebound</v>
      </c>
      <c r="AP215" t="str">
        <f t="shared" si="30"/>
        <v>Defensive</v>
      </c>
      <c r="BB215" s="23"/>
      <c r="BD215" s="21"/>
      <c r="BE215" s="21"/>
      <c r="BF215" s="21"/>
      <c r="BG215" s="21"/>
      <c r="BH215" s="21"/>
      <c r="BI215" s="21"/>
    </row>
    <row r="216" spans="1:61" x14ac:dyDescent="0.2">
      <c r="A216">
        <v>107</v>
      </c>
      <c r="B216">
        <v>24</v>
      </c>
      <c r="C216">
        <f t="shared" si="27"/>
        <v>9024</v>
      </c>
      <c r="D216">
        <f t="shared" si="33"/>
        <v>9024</v>
      </c>
      <c r="E216">
        <v>15</v>
      </c>
      <c r="F216">
        <v>16</v>
      </c>
      <c r="G216" s="6">
        <v>24</v>
      </c>
      <c r="H216">
        <f t="shared" si="29"/>
        <v>1</v>
      </c>
      <c r="R216">
        <v>44</v>
      </c>
      <c r="T216" t="str">
        <f t="shared" si="28"/>
        <v>o</v>
      </c>
      <c r="Y216" t="s">
        <v>771</v>
      </c>
      <c r="AM216" t="str">
        <f t="shared" si="31"/>
        <v>Save</v>
      </c>
      <c r="AN216" t="str">
        <f t="shared" si="32"/>
        <v>Save_Rebound</v>
      </c>
      <c r="AP216" t="str">
        <f t="shared" si="30"/>
        <v>Offensive</v>
      </c>
      <c r="BB216" s="23"/>
      <c r="BD216" s="21"/>
      <c r="BE216" s="21"/>
      <c r="BF216" s="21"/>
      <c r="BG216" s="21"/>
      <c r="BH216" s="21"/>
      <c r="BI216" s="21"/>
    </row>
    <row r="217" spans="1:61" x14ac:dyDescent="0.2">
      <c r="A217">
        <v>108</v>
      </c>
      <c r="B217">
        <v>24</v>
      </c>
      <c r="C217">
        <f t="shared" si="27"/>
        <v>9024</v>
      </c>
      <c r="D217">
        <f t="shared" si="33"/>
        <v>9024</v>
      </c>
      <c r="E217">
        <v>15</v>
      </c>
      <c r="F217">
        <v>16</v>
      </c>
      <c r="G217" s="6">
        <v>24</v>
      </c>
      <c r="H217">
        <f t="shared" si="29"/>
        <v>1</v>
      </c>
      <c r="I217" s="5" t="s">
        <v>732</v>
      </c>
      <c r="J217" s="5" t="s">
        <v>768</v>
      </c>
      <c r="Q217" t="s">
        <v>620</v>
      </c>
      <c r="R217">
        <v>39</v>
      </c>
      <c r="S217">
        <v>1</v>
      </c>
      <c r="T217" t="str">
        <f t="shared" si="28"/>
        <v>e</v>
      </c>
      <c r="U217" t="s">
        <v>250</v>
      </c>
      <c r="V217" t="s">
        <v>254</v>
      </c>
      <c r="AC217" t="s">
        <v>629</v>
      </c>
      <c r="AE217">
        <v>1</v>
      </c>
      <c r="AF217" t="s">
        <v>623</v>
      </c>
      <c r="AM217" t="str">
        <f t="shared" si="31"/>
        <v>Rebound</v>
      </c>
      <c r="AN217" t="str">
        <f t="shared" si="32"/>
        <v>Rebound_FlurryGenerated</v>
      </c>
      <c r="AP217" t="str">
        <f t="shared" si="30"/>
        <v>Offensive</v>
      </c>
      <c r="BB217" s="23"/>
      <c r="BD217" s="21"/>
      <c r="BE217" s="21"/>
      <c r="BF217" s="21"/>
      <c r="BG217" s="21"/>
      <c r="BH217" s="21"/>
      <c r="BI217" s="21"/>
    </row>
    <row r="218" spans="1:61" x14ac:dyDescent="0.2">
      <c r="A218">
        <v>109</v>
      </c>
      <c r="B218" t="s">
        <v>887</v>
      </c>
      <c r="C218" t="str">
        <f t="shared" si="27"/>
        <v/>
      </c>
      <c r="D218" t="str">
        <f t="shared" si="33"/>
        <v/>
      </c>
      <c r="E218">
        <v>15</v>
      </c>
      <c r="F218">
        <v>16</v>
      </c>
      <c r="G218" s="6">
        <v>24</v>
      </c>
      <c r="H218">
        <f t="shared" si="29"/>
        <v>1</v>
      </c>
      <c r="I218" s="5" t="s">
        <v>732</v>
      </c>
      <c r="J218" s="5" t="s">
        <v>768</v>
      </c>
      <c r="Q218" t="s">
        <v>619</v>
      </c>
      <c r="R218">
        <v>12</v>
      </c>
      <c r="S218">
        <v>1</v>
      </c>
      <c r="T218" t="str">
        <f t="shared" si="28"/>
        <v>e</v>
      </c>
      <c r="U218" t="s">
        <v>15</v>
      </c>
      <c r="V218" t="s">
        <v>698</v>
      </c>
      <c r="X218" t="s">
        <v>706</v>
      </c>
      <c r="Y218" t="s">
        <v>683</v>
      </c>
      <c r="AA218" t="s">
        <v>706</v>
      </c>
      <c r="AC218" t="s">
        <v>629</v>
      </c>
      <c r="AE218">
        <v>1</v>
      </c>
      <c r="AF218" t="s">
        <v>401</v>
      </c>
      <c r="AM218" t="str">
        <f t="shared" si="31"/>
        <v>Possession</v>
      </c>
      <c r="AN218" t="str">
        <f t="shared" si="32"/>
        <v>PuckRecovery</v>
      </c>
      <c r="AP218" t="str">
        <f t="shared" si="30"/>
        <v>Offensive</v>
      </c>
      <c r="BB218" s="23"/>
      <c r="BD218" s="21"/>
      <c r="BE218" s="21"/>
      <c r="BF218" s="21"/>
      <c r="BG218" s="21"/>
      <c r="BH218" s="21"/>
      <c r="BI218" s="21"/>
    </row>
    <row r="219" spans="1:61" x14ac:dyDescent="0.2">
      <c r="A219">
        <v>110</v>
      </c>
      <c r="B219">
        <v>25</v>
      </c>
      <c r="C219">
        <f t="shared" si="27"/>
        <v>9025</v>
      </c>
      <c r="D219">
        <f t="shared" si="33"/>
        <v>9025</v>
      </c>
      <c r="E219">
        <v>15</v>
      </c>
      <c r="F219">
        <v>16</v>
      </c>
      <c r="G219" s="6">
        <v>24</v>
      </c>
      <c r="H219">
        <f t="shared" si="29"/>
        <v>1</v>
      </c>
      <c r="I219" s="5" t="s">
        <v>732</v>
      </c>
      <c r="J219" s="5" t="s">
        <v>768</v>
      </c>
      <c r="Q219" t="s">
        <v>619</v>
      </c>
      <c r="R219">
        <v>12</v>
      </c>
      <c r="S219">
        <v>1</v>
      </c>
      <c r="T219" t="str">
        <f t="shared" si="28"/>
        <v>e</v>
      </c>
      <c r="U219" t="s">
        <v>7</v>
      </c>
      <c r="V219" t="s">
        <v>222</v>
      </c>
      <c r="W219" t="s">
        <v>59</v>
      </c>
      <c r="X219" t="s">
        <v>706</v>
      </c>
      <c r="Y219" t="s">
        <v>770</v>
      </c>
      <c r="AC219" t="s">
        <v>629</v>
      </c>
      <c r="AE219">
        <v>1</v>
      </c>
      <c r="AF219" t="s">
        <v>401</v>
      </c>
      <c r="AM219" t="str">
        <f t="shared" si="31"/>
        <v>Shot</v>
      </c>
      <c r="AN219" t="str">
        <f t="shared" si="32"/>
        <v>Shot_OnNetSaved</v>
      </c>
      <c r="AP219" t="str">
        <f t="shared" si="30"/>
        <v>Offensive</v>
      </c>
      <c r="BB219" s="23"/>
      <c r="BD219" s="21"/>
      <c r="BE219" s="21"/>
      <c r="BF219" s="21"/>
      <c r="BG219" s="21"/>
      <c r="BH219" s="21"/>
      <c r="BI219" s="21"/>
    </row>
    <row r="220" spans="1:61" x14ac:dyDescent="0.2">
      <c r="A220">
        <v>110</v>
      </c>
      <c r="B220">
        <v>25</v>
      </c>
      <c r="C220">
        <f t="shared" si="27"/>
        <v>9025</v>
      </c>
      <c r="D220">
        <f t="shared" si="33"/>
        <v>9025</v>
      </c>
      <c r="E220">
        <v>15</v>
      </c>
      <c r="F220">
        <v>16</v>
      </c>
      <c r="G220" s="6">
        <v>24</v>
      </c>
      <c r="H220">
        <f t="shared" si="29"/>
        <v>1</v>
      </c>
      <c r="R220">
        <v>39</v>
      </c>
      <c r="T220" t="str">
        <f t="shared" si="28"/>
        <v>o</v>
      </c>
      <c r="AM220" t="str">
        <f t="shared" si="31"/>
        <v>Shot</v>
      </c>
      <c r="AN220" t="str">
        <f t="shared" si="32"/>
        <v>Shot_OnNetSaved</v>
      </c>
      <c r="AP220" t="str">
        <f t="shared" si="30"/>
        <v>Defensive</v>
      </c>
      <c r="BB220" s="23"/>
      <c r="BD220" s="21"/>
      <c r="BE220" s="21"/>
      <c r="BF220" s="21"/>
      <c r="BG220" s="21"/>
      <c r="BH220" s="21"/>
      <c r="BI220" s="21"/>
    </row>
    <row r="221" spans="1:61" x14ac:dyDescent="0.2">
      <c r="A221">
        <v>111</v>
      </c>
      <c r="B221">
        <v>25</v>
      </c>
      <c r="C221">
        <f t="shared" si="27"/>
        <v>9025</v>
      </c>
      <c r="D221">
        <f t="shared" si="33"/>
        <v>9025</v>
      </c>
      <c r="E221">
        <v>15</v>
      </c>
      <c r="F221">
        <v>16</v>
      </c>
      <c r="G221" s="6">
        <v>24</v>
      </c>
      <c r="H221">
        <f t="shared" si="29"/>
        <v>1</v>
      </c>
      <c r="I221" s="5" t="s">
        <v>732</v>
      </c>
      <c r="J221" s="5" t="s">
        <v>768</v>
      </c>
      <c r="Q221" t="s">
        <v>620</v>
      </c>
      <c r="R221">
        <v>39</v>
      </c>
      <c r="S221">
        <v>1</v>
      </c>
      <c r="T221" t="str">
        <f t="shared" si="28"/>
        <v>e</v>
      </c>
      <c r="U221" t="s">
        <v>17</v>
      </c>
      <c r="V221" t="s">
        <v>196</v>
      </c>
      <c r="W221" t="s">
        <v>101</v>
      </c>
      <c r="AC221" t="s">
        <v>629</v>
      </c>
      <c r="AE221">
        <v>1</v>
      </c>
      <c r="AF221" t="s">
        <v>623</v>
      </c>
      <c r="AM221" t="str">
        <f t="shared" si="31"/>
        <v>Save</v>
      </c>
      <c r="AN221" t="str">
        <f t="shared" si="32"/>
        <v>Save_Rebound</v>
      </c>
      <c r="AP221" t="str">
        <f t="shared" si="30"/>
        <v>Defensive</v>
      </c>
      <c r="BB221" s="23"/>
      <c r="BD221" s="21"/>
      <c r="BE221" s="21"/>
      <c r="BF221" s="21"/>
      <c r="BG221" s="21"/>
      <c r="BH221" s="21"/>
      <c r="BI221" s="21"/>
    </row>
    <row r="222" spans="1:61" x14ac:dyDescent="0.2">
      <c r="A222">
        <v>111</v>
      </c>
      <c r="B222">
        <v>25</v>
      </c>
      <c r="C222">
        <f t="shared" si="27"/>
        <v>9025</v>
      </c>
      <c r="D222">
        <f t="shared" si="33"/>
        <v>9025</v>
      </c>
      <c r="E222">
        <v>15</v>
      </c>
      <c r="F222">
        <v>16</v>
      </c>
      <c r="G222" s="6">
        <v>24</v>
      </c>
      <c r="H222">
        <f t="shared" si="29"/>
        <v>1</v>
      </c>
      <c r="R222">
        <v>12</v>
      </c>
      <c r="T222" t="str">
        <f t="shared" si="28"/>
        <v>o</v>
      </c>
      <c r="Y222" t="s">
        <v>770</v>
      </c>
      <c r="AM222" t="str">
        <f t="shared" si="31"/>
        <v>Save</v>
      </c>
      <c r="AN222" t="str">
        <f t="shared" si="32"/>
        <v>Save_Rebound</v>
      </c>
      <c r="AP222" t="str">
        <f t="shared" si="30"/>
        <v>Offensive</v>
      </c>
      <c r="BB222" s="23"/>
      <c r="BD222" s="21"/>
      <c r="BE222" s="21"/>
      <c r="BF222" s="21"/>
      <c r="BG222" s="21"/>
      <c r="BH222" s="21"/>
      <c r="BI222" s="21"/>
    </row>
    <row r="223" spans="1:61" x14ac:dyDescent="0.2">
      <c r="A223">
        <v>112</v>
      </c>
      <c r="B223">
        <v>25</v>
      </c>
      <c r="C223">
        <f t="shared" si="27"/>
        <v>9025</v>
      </c>
      <c r="D223">
        <f t="shared" si="33"/>
        <v>9025</v>
      </c>
      <c r="E223">
        <v>15</v>
      </c>
      <c r="F223">
        <v>16</v>
      </c>
      <c r="G223" s="6">
        <v>24</v>
      </c>
      <c r="H223">
        <f t="shared" si="29"/>
        <v>1</v>
      </c>
      <c r="I223" s="5" t="s">
        <v>732</v>
      </c>
      <c r="J223" s="5" t="s">
        <v>768</v>
      </c>
      <c r="Q223" t="s">
        <v>620</v>
      </c>
      <c r="R223">
        <v>39</v>
      </c>
      <c r="S223">
        <v>1</v>
      </c>
      <c r="T223" t="str">
        <f t="shared" si="28"/>
        <v>e</v>
      </c>
      <c r="U223" t="s">
        <v>250</v>
      </c>
      <c r="V223" t="s">
        <v>254</v>
      </c>
      <c r="AC223" t="s">
        <v>629</v>
      </c>
      <c r="AE223">
        <v>1</v>
      </c>
      <c r="AF223" t="s">
        <v>623</v>
      </c>
      <c r="AM223" t="str">
        <f t="shared" si="31"/>
        <v>Rebound</v>
      </c>
      <c r="AN223" t="str">
        <f t="shared" si="32"/>
        <v>Rebound_FlurryGenerated</v>
      </c>
      <c r="AP223" t="str">
        <f t="shared" si="30"/>
        <v>Offensive</v>
      </c>
      <c r="BB223" s="23"/>
      <c r="BD223" s="21"/>
      <c r="BE223" s="21"/>
      <c r="BF223" s="21"/>
      <c r="BG223" s="21"/>
      <c r="BH223" s="21"/>
      <c r="BI223" s="21"/>
    </row>
    <row r="224" spans="1:61" x14ac:dyDescent="0.2">
      <c r="A224">
        <v>113</v>
      </c>
      <c r="B224" t="s">
        <v>887</v>
      </c>
      <c r="C224" t="str">
        <f t="shared" si="27"/>
        <v/>
      </c>
      <c r="D224" t="str">
        <f t="shared" si="33"/>
        <v/>
      </c>
      <c r="E224">
        <v>15</v>
      </c>
      <c r="F224">
        <v>16</v>
      </c>
      <c r="G224" s="6">
        <v>24</v>
      </c>
      <c r="H224">
        <f t="shared" si="29"/>
        <v>1</v>
      </c>
      <c r="I224" s="5" t="s">
        <v>732</v>
      </c>
      <c r="J224" s="5" t="s">
        <v>733</v>
      </c>
      <c r="Q224" t="s">
        <v>619</v>
      </c>
      <c r="R224">
        <v>44</v>
      </c>
      <c r="S224">
        <v>1</v>
      </c>
      <c r="T224" t="str">
        <f t="shared" si="28"/>
        <v>e</v>
      </c>
      <c r="U224" t="s">
        <v>15</v>
      </c>
      <c r="V224" t="s">
        <v>698</v>
      </c>
      <c r="X224" t="s">
        <v>706</v>
      </c>
      <c r="Y224" t="s">
        <v>683</v>
      </c>
      <c r="AA224" t="s">
        <v>706</v>
      </c>
      <c r="AC224" t="s">
        <v>629</v>
      </c>
      <c r="AE224">
        <v>1</v>
      </c>
      <c r="AF224" t="s">
        <v>401</v>
      </c>
      <c r="AM224" t="str">
        <f t="shared" si="31"/>
        <v>Possession</v>
      </c>
      <c r="AN224" t="str">
        <f t="shared" si="32"/>
        <v>PuckRecovery</v>
      </c>
      <c r="AP224" t="str">
        <f t="shared" si="30"/>
        <v>Offensive</v>
      </c>
      <c r="BB224" s="23"/>
      <c r="BD224" s="21"/>
      <c r="BE224" s="21"/>
      <c r="BF224" s="21"/>
      <c r="BG224" s="21"/>
      <c r="BH224" s="21"/>
      <c r="BI224" s="21"/>
    </row>
    <row r="225" spans="1:61" x14ac:dyDescent="0.2">
      <c r="A225">
        <v>113</v>
      </c>
      <c r="B225" t="s">
        <v>887</v>
      </c>
      <c r="C225" t="str">
        <f t="shared" si="27"/>
        <v/>
      </c>
      <c r="D225" t="str">
        <f t="shared" si="33"/>
        <v/>
      </c>
      <c r="E225">
        <v>15</v>
      </c>
      <c r="F225">
        <v>16</v>
      </c>
      <c r="G225" s="6">
        <v>24</v>
      </c>
      <c r="H225">
        <f t="shared" si="29"/>
        <v>1</v>
      </c>
      <c r="R225">
        <v>22</v>
      </c>
      <c r="T225" t="str">
        <f t="shared" si="28"/>
        <v>o</v>
      </c>
      <c r="Y225" t="s">
        <v>769</v>
      </c>
      <c r="AM225" t="str">
        <f t="shared" si="31"/>
        <v>Possession</v>
      </c>
      <c r="AN225" t="str">
        <f t="shared" si="32"/>
        <v>PuckRecovery</v>
      </c>
      <c r="AP225" t="str">
        <f t="shared" si="30"/>
        <v>Defensive</v>
      </c>
      <c r="BB225" s="23"/>
      <c r="BD225" s="21"/>
      <c r="BE225" s="21"/>
      <c r="BF225" s="21"/>
      <c r="BG225" s="21"/>
      <c r="BH225" s="21"/>
      <c r="BI225" s="21"/>
    </row>
    <row r="226" spans="1:61" x14ac:dyDescent="0.2">
      <c r="A226">
        <v>114</v>
      </c>
      <c r="B226">
        <v>26</v>
      </c>
      <c r="C226">
        <f t="shared" si="27"/>
        <v>9026</v>
      </c>
      <c r="D226">
        <f t="shared" si="33"/>
        <v>9026</v>
      </c>
      <c r="E226">
        <v>15</v>
      </c>
      <c r="F226">
        <v>16</v>
      </c>
      <c r="G226" s="6">
        <v>24</v>
      </c>
      <c r="H226">
        <f t="shared" si="29"/>
        <v>1</v>
      </c>
      <c r="I226" s="5" t="s">
        <v>732</v>
      </c>
      <c r="J226" s="5" t="s">
        <v>733</v>
      </c>
      <c r="Q226" t="s">
        <v>619</v>
      </c>
      <c r="R226">
        <v>44</v>
      </c>
      <c r="S226">
        <v>1</v>
      </c>
      <c r="T226" t="str">
        <f t="shared" si="28"/>
        <v>e</v>
      </c>
      <c r="U226" t="s">
        <v>7</v>
      </c>
      <c r="V226" t="s">
        <v>222</v>
      </c>
      <c r="W226" t="s">
        <v>59</v>
      </c>
      <c r="X226" t="s">
        <v>706</v>
      </c>
      <c r="Y226" t="s">
        <v>770</v>
      </c>
      <c r="AC226" t="s">
        <v>629</v>
      </c>
      <c r="AE226">
        <v>1</v>
      </c>
      <c r="AF226" t="s">
        <v>401</v>
      </c>
      <c r="AM226" t="str">
        <f t="shared" si="31"/>
        <v>Shot</v>
      </c>
      <c r="AN226" t="str">
        <f t="shared" si="32"/>
        <v>Shot_OnNetSaved</v>
      </c>
      <c r="AP226" t="str">
        <f t="shared" si="30"/>
        <v>Offensive</v>
      </c>
      <c r="BB226" s="23"/>
      <c r="BD226" s="21"/>
      <c r="BE226" s="21"/>
      <c r="BF226" s="21"/>
      <c r="BG226" s="21"/>
      <c r="BH226" s="21"/>
      <c r="BI226" s="21"/>
    </row>
    <row r="227" spans="1:61" x14ac:dyDescent="0.2">
      <c r="A227">
        <v>114</v>
      </c>
      <c r="B227">
        <v>26</v>
      </c>
      <c r="C227">
        <f t="shared" si="27"/>
        <v>9026</v>
      </c>
      <c r="D227">
        <f t="shared" si="33"/>
        <v>9026</v>
      </c>
      <c r="E227">
        <v>15</v>
      </c>
      <c r="F227">
        <v>16</v>
      </c>
      <c r="G227" s="6">
        <v>24</v>
      </c>
      <c r="H227">
        <f t="shared" si="29"/>
        <v>1</v>
      </c>
      <c r="R227">
        <v>39</v>
      </c>
      <c r="T227" t="str">
        <f t="shared" si="28"/>
        <v>o</v>
      </c>
      <c r="AM227" t="str">
        <f t="shared" si="31"/>
        <v>Shot</v>
      </c>
      <c r="AN227" t="str">
        <f t="shared" si="32"/>
        <v>Shot_OnNetSaved</v>
      </c>
      <c r="AP227" t="str">
        <f t="shared" si="30"/>
        <v>Defensive</v>
      </c>
      <c r="BB227" s="23"/>
      <c r="BD227" s="21"/>
      <c r="BE227" s="21"/>
      <c r="BF227" s="21"/>
      <c r="BG227" s="21"/>
      <c r="BH227" s="21"/>
      <c r="BI227" s="21"/>
    </row>
    <row r="228" spans="1:61" x14ac:dyDescent="0.2">
      <c r="A228">
        <v>115</v>
      </c>
      <c r="B228">
        <v>26</v>
      </c>
      <c r="C228">
        <f t="shared" si="27"/>
        <v>9026</v>
      </c>
      <c r="D228">
        <f t="shared" si="33"/>
        <v>9026</v>
      </c>
      <c r="E228">
        <v>15</v>
      </c>
      <c r="F228">
        <v>16</v>
      </c>
      <c r="G228" s="6">
        <v>24</v>
      </c>
      <c r="H228">
        <f t="shared" si="29"/>
        <v>1</v>
      </c>
      <c r="I228" s="5" t="s">
        <v>732</v>
      </c>
      <c r="J228" s="5" t="s">
        <v>733</v>
      </c>
      <c r="Q228" t="s">
        <v>620</v>
      </c>
      <c r="R228">
        <v>39</v>
      </c>
      <c r="S228">
        <v>1</v>
      </c>
      <c r="T228" t="str">
        <f t="shared" si="28"/>
        <v>e</v>
      </c>
      <c r="U228" t="s">
        <v>17</v>
      </c>
      <c r="V228" t="s">
        <v>196</v>
      </c>
      <c r="W228" t="s">
        <v>101</v>
      </c>
      <c r="AC228" t="s">
        <v>629</v>
      </c>
      <c r="AE228">
        <v>1</v>
      </c>
      <c r="AF228" t="s">
        <v>623</v>
      </c>
      <c r="AM228" t="str">
        <f t="shared" si="31"/>
        <v>Save</v>
      </c>
      <c r="AN228" t="str">
        <f t="shared" si="32"/>
        <v>Save_Rebound</v>
      </c>
      <c r="AP228" t="str">
        <f t="shared" si="30"/>
        <v>Defensive</v>
      </c>
      <c r="BB228" s="23"/>
      <c r="BD228" s="21"/>
      <c r="BE228" s="21"/>
      <c r="BF228" s="21"/>
      <c r="BG228" s="21"/>
      <c r="BH228" s="21"/>
      <c r="BI228" s="21"/>
    </row>
    <row r="229" spans="1:61" x14ac:dyDescent="0.2">
      <c r="A229">
        <v>115</v>
      </c>
      <c r="B229">
        <v>26</v>
      </c>
      <c r="C229">
        <f t="shared" si="27"/>
        <v>9026</v>
      </c>
      <c r="D229">
        <f t="shared" si="33"/>
        <v>9026</v>
      </c>
      <c r="E229">
        <v>15</v>
      </c>
      <c r="F229">
        <v>16</v>
      </c>
      <c r="G229" s="6">
        <v>24</v>
      </c>
      <c r="H229">
        <f t="shared" si="29"/>
        <v>1</v>
      </c>
      <c r="R229">
        <v>44</v>
      </c>
      <c r="T229" t="str">
        <f t="shared" si="28"/>
        <v>o</v>
      </c>
      <c r="Y229" t="s">
        <v>770</v>
      </c>
      <c r="AM229" t="str">
        <f t="shared" si="31"/>
        <v>Save</v>
      </c>
      <c r="AN229" t="str">
        <f t="shared" si="32"/>
        <v>Save_Rebound</v>
      </c>
      <c r="AP229" t="str">
        <f t="shared" si="30"/>
        <v>Offensive</v>
      </c>
      <c r="BB229" s="23"/>
      <c r="BD229" s="21"/>
      <c r="BE229" s="21"/>
      <c r="BF229" s="21"/>
      <c r="BG229" s="21"/>
      <c r="BH229" s="21"/>
      <c r="BI229" s="21"/>
    </row>
    <row r="230" spans="1:61" x14ac:dyDescent="0.2">
      <c r="A230">
        <v>116</v>
      </c>
      <c r="B230">
        <v>26</v>
      </c>
      <c r="C230">
        <f t="shared" si="27"/>
        <v>9026</v>
      </c>
      <c r="D230">
        <f t="shared" si="33"/>
        <v>9026</v>
      </c>
      <c r="E230">
        <v>15</v>
      </c>
      <c r="F230">
        <v>16</v>
      </c>
      <c r="G230" s="6">
        <v>24</v>
      </c>
      <c r="H230">
        <f t="shared" si="29"/>
        <v>1</v>
      </c>
      <c r="I230" s="5" t="s">
        <v>732</v>
      </c>
      <c r="J230" s="5" t="s">
        <v>733</v>
      </c>
      <c r="Q230" t="s">
        <v>620</v>
      </c>
      <c r="R230">
        <v>39</v>
      </c>
      <c r="S230">
        <v>1</v>
      </c>
      <c r="T230" t="str">
        <f t="shared" si="28"/>
        <v>e</v>
      </c>
      <c r="U230" t="s">
        <v>250</v>
      </c>
      <c r="V230" t="s">
        <v>251</v>
      </c>
      <c r="AF230" t="s">
        <v>623</v>
      </c>
      <c r="AM230" t="str">
        <f t="shared" si="31"/>
        <v>Rebound</v>
      </c>
      <c r="AN230" t="str">
        <f t="shared" si="32"/>
        <v>Rebound_TeamRecovered</v>
      </c>
      <c r="AP230" t="str">
        <f t="shared" si="30"/>
        <v>Offensive</v>
      </c>
      <c r="BB230" s="23"/>
      <c r="BD230" s="21"/>
      <c r="BE230" s="21"/>
      <c r="BF230" s="21"/>
      <c r="BG230" s="21"/>
      <c r="BH230" s="21"/>
      <c r="BI230" s="21"/>
    </row>
    <row r="231" spans="1:61" x14ac:dyDescent="0.2">
      <c r="A231">
        <v>117</v>
      </c>
      <c r="B231" t="s">
        <v>887</v>
      </c>
      <c r="C231" t="str">
        <f t="shared" si="27"/>
        <v/>
      </c>
      <c r="D231" t="str">
        <f t="shared" si="33"/>
        <v/>
      </c>
      <c r="E231">
        <v>16</v>
      </c>
      <c r="G231" s="6">
        <v>24</v>
      </c>
      <c r="H231">
        <f t="shared" si="29"/>
        <v>1</v>
      </c>
      <c r="I231" s="5" t="s">
        <v>732</v>
      </c>
      <c r="J231" s="5" t="s">
        <v>447</v>
      </c>
      <c r="K231" s="5" t="s">
        <v>732</v>
      </c>
      <c r="L231" s="7" t="s">
        <v>738</v>
      </c>
      <c r="Q231" t="s">
        <v>620</v>
      </c>
      <c r="R231">
        <v>42</v>
      </c>
      <c r="S231">
        <v>1</v>
      </c>
      <c r="T231" t="str">
        <f t="shared" si="28"/>
        <v>e</v>
      </c>
      <c r="U231" t="s">
        <v>15</v>
      </c>
      <c r="V231" t="s">
        <v>697</v>
      </c>
      <c r="X231" t="s">
        <v>706</v>
      </c>
      <c r="Y231" t="s">
        <v>683</v>
      </c>
      <c r="AA231" t="s">
        <v>706</v>
      </c>
      <c r="AF231" t="s">
        <v>623</v>
      </c>
      <c r="AM231" t="str">
        <f t="shared" si="31"/>
        <v>Possession</v>
      </c>
      <c r="AN231" t="str">
        <f t="shared" si="32"/>
        <v>PuckRetrieval</v>
      </c>
      <c r="AP231" t="str">
        <f t="shared" si="30"/>
        <v>Offensive</v>
      </c>
      <c r="BB231" s="23"/>
      <c r="BD231" s="21"/>
      <c r="BE231" s="21"/>
      <c r="BF231" s="21"/>
      <c r="BG231" s="21"/>
      <c r="BH231" s="21"/>
      <c r="BI231" s="21"/>
    </row>
    <row r="232" spans="1:61" x14ac:dyDescent="0.2">
      <c r="A232">
        <v>117</v>
      </c>
      <c r="B232" t="s">
        <v>887</v>
      </c>
      <c r="C232" t="str">
        <f t="shared" si="27"/>
        <v/>
      </c>
      <c r="D232" t="str">
        <f t="shared" si="33"/>
        <v/>
      </c>
      <c r="E232">
        <v>16</v>
      </c>
      <c r="G232" s="6">
        <v>24</v>
      </c>
      <c r="H232">
        <f t="shared" si="29"/>
        <v>1</v>
      </c>
      <c r="R232">
        <v>84</v>
      </c>
      <c r="S232">
        <v>1</v>
      </c>
      <c r="T232" t="str">
        <f t="shared" si="28"/>
        <v>e</v>
      </c>
      <c r="AJ232">
        <v>1</v>
      </c>
      <c r="AM232" t="str">
        <f t="shared" si="31"/>
        <v>Possession</v>
      </c>
      <c r="AN232" t="str">
        <f t="shared" si="32"/>
        <v>PuckRetrieval</v>
      </c>
      <c r="AP232" t="str">
        <f t="shared" si="30"/>
        <v>Offensive</v>
      </c>
      <c r="BB232" s="23"/>
      <c r="BD232" s="21"/>
      <c r="BE232" s="21"/>
      <c r="BF232" s="21"/>
      <c r="BG232" s="21"/>
      <c r="BH232" s="21"/>
      <c r="BI232" s="21"/>
    </row>
    <row r="233" spans="1:61" x14ac:dyDescent="0.2">
      <c r="A233">
        <v>117</v>
      </c>
      <c r="B233" t="s">
        <v>887</v>
      </c>
      <c r="C233" t="str">
        <f t="shared" si="27"/>
        <v/>
      </c>
      <c r="D233" t="str">
        <f t="shared" si="33"/>
        <v/>
      </c>
      <c r="E233">
        <v>16</v>
      </c>
      <c r="G233" s="6">
        <v>24</v>
      </c>
      <c r="H233">
        <f t="shared" si="29"/>
        <v>1</v>
      </c>
      <c r="R233">
        <v>12</v>
      </c>
      <c r="T233" t="str">
        <f t="shared" si="28"/>
        <v>o</v>
      </c>
      <c r="AJ233">
        <v>1</v>
      </c>
      <c r="AM233" t="str">
        <f t="shared" si="31"/>
        <v>Possession</v>
      </c>
      <c r="AN233" t="str">
        <f t="shared" si="32"/>
        <v>PuckRetrieval</v>
      </c>
      <c r="AP233" t="str">
        <f t="shared" si="30"/>
        <v>Defensive</v>
      </c>
      <c r="BB233" s="23"/>
      <c r="BD233" s="21"/>
      <c r="BE233" s="21"/>
      <c r="BF233" s="21"/>
      <c r="BG233" s="21"/>
      <c r="BH233" s="21"/>
      <c r="BI233" s="21"/>
    </row>
    <row r="234" spans="1:61" x14ac:dyDescent="0.2">
      <c r="A234">
        <v>118</v>
      </c>
      <c r="B234" t="s">
        <v>887</v>
      </c>
      <c r="C234" t="str">
        <f t="shared" si="27"/>
        <v/>
      </c>
      <c r="D234" t="str">
        <f t="shared" si="33"/>
        <v/>
      </c>
      <c r="E234">
        <v>16</v>
      </c>
      <c r="G234" s="6">
        <v>24</v>
      </c>
      <c r="H234">
        <f t="shared" si="29"/>
        <v>1</v>
      </c>
      <c r="I234" s="5" t="s">
        <v>732</v>
      </c>
      <c r="J234" s="5" t="s">
        <v>738</v>
      </c>
      <c r="K234" s="5" t="s">
        <v>732</v>
      </c>
      <c r="L234" s="7" t="s">
        <v>740</v>
      </c>
      <c r="Q234" t="s">
        <v>620</v>
      </c>
      <c r="R234">
        <v>42</v>
      </c>
      <c r="S234">
        <v>1</v>
      </c>
      <c r="T234" t="str">
        <f t="shared" si="28"/>
        <v>e</v>
      </c>
      <c r="U234" t="s">
        <v>15</v>
      </c>
      <c r="Y234" t="s">
        <v>763</v>
      </c>
      <c r="AA234" t="s">
        <v>706</v>
      </c>
      <c r="AF234" t="s">
        <v>623</v>
      </c>
      <c r="AJ234">
        <v>1</v>
      </c>
      <c r="AM234" t="str">
        <f t="shared" si="31"/>
        <v>Possession</v>
      </c>
      <c r="AN234" t="str">
        <f t="shared" si="32"/>
        <v/>
      </c>
      <c r="AP234" t="str">
        <f t="shared" si="30"/>
        <v>Offensive</v>
      </c>
      <c r="BB234" s="23"/>
      <c r="BD234" s="21"/>
      <c r="BE234" s="21"/>
      <c r="BF234" s="21"/>
      <c r="BG234" s="21"/>
      <c r="BH234" s="21"/>
      <c r="BI234" s="21"/>
    </row>
    <row r="235" spans="1:61" x14ac:dyDescent="0.2">
      <c r="A235">
        <v>118</v>
      </c>
      <c r="B235" t="s">
        <v>887</v>
      </c>
      <c r="C235" t="str">
        <f t="shared" si="27"/>
        <v/>
      </c>
      <c r="D235" t="str">
        <f t="shared" si="33"/>
        <v/>
      </c>
      <c r="E235">
        <v>16</v>
      </c>
      <c r="G235" s="6">
        <v>24</v>
      </c>
      <c r="H235">
        <f t="shared" si="29"/>
        <v>1</v>
      </c>
      <c r="R235">
        <v>91</v>
      </c>
      <c r="T235" t="str">
        <f t="shared" si="28"/>
        <v>o</v>
      </c>
      <c r="Y235" t="s">
        <v>715</v>
      </c>
      <c r="AA235" t="s">
        <v>705</v>
      </c>
      <c r="AJ235">
        <v>1</v>
      </c>
      <c r="AM235" t="str">
        <f t="shared" si="31"/>
        <v>Possession</v>
      </c>
      <c r="AN235" t="str">
        <f t="shared" si="32"/>
        <v/>
      </c>
      <c r="AP235" t="str">
        <f t="shared" si="30"/>
        <v>Defensive</v>
      </c>
      <c r="BB235" s="23"/>
      <c r="BD235" s="21"/>
      <c r="BE235" s="21"/>
      <c r="BF235" s="21"/>
      <c r="BG235" s="21"/>
      <c r="BH235" s="21"/>
      <c r="BI235" s="21"/>
    </row>
    <row r="236" spans="1:61" x14ac:dyDescent="0.2">
      <c r="A236">
        <v>118</v>
      </c>
      <c r="B236" t="s">
        <v>887</v>
      </c>
      <c r="C236" t="str">
        <f t="shared" si="27"/>
        <v/>
      </c>
      <c r="D236" t="str">
        <f t="shared" si="33"/>
        <v/>
      </c>
      <c r="E236">
        <v>16</v>
      </c>
      <c r="G236" s="6">
        <v>24</v>
      </c>
      <c r="H236">
        <f t="shared" si="29"/>
        <v>1</v>
      </c>
      <c r="R236">
        <v>18</v>
      </c>
      <c r="T236" t="str">
        <f t="shared" si="28"/>
        <v>o</v>
      </c>
      <c r="Y236" t="s">
        <v>764</v>
      </c>
      <c r="Z236" t="s">
        <v>737</v>
      </c>
      <c r="AA236" t="s">
        <v>772</v>
      </c>
      <c r="AJ236">
        <v>1</v>
      </c>
      <c r="AM236" t="str">
        <f t="shared" si="31"/>
        <v>Possession</v>
      </c>
      <c r="AN236" t="str">
        <f t="shared" si="32"/>
        <v/>
      </c>
      <c r="AP236" t="str">
        <f t="shared" si="30"/>
        <v>Defensive</v>
      </c>
      <c r="BB236" s="23"/>
      <c r="BD236" s="21"/>
      <c r="BE236" s="21"/>
      <c r="BF236" s="21"/>
      <c r="BG236" s="21"/>
      <c r="BH236" s="21"/>
      <c r="BI236" s="21"/>
    </row>
    <row r="237" spans="1:61" x14ac:dyDescent="0.2">
      <c r="A237">
        <v>119</v>
      </c>
      <c r="B237">
        <v>27</v>
      </c>
      <c r="C237">
        <f t="shared" si="27"/>
        <v>9027</v>
      </c>
      <c r="D237">
        <f t="shared" si="33"/>
        <v>9027</v>
      </c>
      <c r="E237">
        <v>16</v>
      </c>
      <c r="G237" s="6">
        <v>24</v>
      </c>
      <c r="H237">
        <f t="shared" si="29"/>
        <v>1</v>
      </c>
      <c r="I237" s="5" t="s">
        <v>732</v>
      </c>
      <c r="J237" s="5" t="s">
        <v>740</v>
      </c>
      <c r="Q237" t="s">
        <v>620</v>
      </c>
      <c r="R237">
        <v>42</v>
      </c>
      <c r="S237">
        <v>1</v>
      </c>
      <c r="T237" t="str">
        <f t="shared" si="28"/>
        <v>e</v>
      </c>
      <c r="U237" t="s">
        <v>8</v>
      </c>
      <c r="V237" t="s">
        <v>199</v>
      </c>
      <c r="W237" t="s">
        <v>480</v>
      </c>
      <c r="X237" t="s">
        <v>705</v>
      </c>
      <c r="AF237" t="s">
        <v>623</v>
      </c>
      <c r="AJ237">
        <v>1</v>
      </c>
      <c r="AM237" t="str">
        <f t="shared" si="31"/>
        <v>Pass</v>
      </c>
      <c r="AN237" t="str">
        <f t="shared" si="32"/>
        <v>Pass_Missed</v>
      </c>
      <c r="AP237" t="str">
        <f t="shared" si="30"/>
        <v>Offensive</v>
      </c>
      <c r="BB237" s="23"/>
      <c r="BD237" s="21"/>
      <c r="BE237" s="21"/>
      <c r="BF237" s="21"/>
      <c r="BG237" s="21"/>
      <c r="BH237" s="21"/>
      <c r="BI237" s="21"/>
    </row>
    <row r="238" spans="1:61" x14ac:dyDescent="0.2">
      <c r="A238">
        <v>119</v>
      </c>
      <c r="B238">
        <v>27</v>
      </c>
      <c r="C238">
        <f t="shared" si="27"/>
        <v>9027</v>
      </c>
      <c r="D238">
        <f t="shared" si="33"/>
        <v>9027</v>
      </c>
      <c r="E238">
        <v>16</v>
      </c>
      <c r="G238" s="6">
        <v>24</v>
      </c>
      <c r="H238">
        <f t="shared" si="29"/>
        <v>1</v>
      </c>
      <c r="R238">
        <v>24</v>
      </c>
      <c r="S238">
        <v>1</v>
      </c>
      <c r="T238" t="str">
        <f t="shared" si="28"/>
        <v>e</v>
      </c>
      <c r="Y238" t="s">
        <v>754</v>
      </c>
      <c r="AM238" t="str">
        <f t="shared" si="31"/>
        <v>Pass</v>
      </c>
      <c r="AN238" t="str">
        <f t="shared" si="32"/>
        <v>Pass_Missed</v>
      </c>
      <c r="AP238" t="str">
        <f t="shared" si="30"/>
        <v>Offensive</v>
      </c>
      <c r="BB238" s="23"/>
      <c r="BD238" s="21"/>
      <c r="BE238" s="21"/>
      <c r="BF238" s="21"/>
      <c r="BG238" s="21"/>
      <c r="BH238" s="21"/>
      <c r="BI238" s="21"/>
    </row>
    <row r="239" spans="1:61" x14ac:dyDescent="0.2">
      <c r="A239">
        <v>119</v>
      </c>
      <c r="B239">
        <v>27</v>
      </c>
      <c r="C239">
        <f t="shared" si="27"/>
        <v>9027</v>
      </c>
      <c r="D239">
        <f t="shared" si="33"/>
        <v>9027</v>
      </c>
      <c r="E239">
        <v>16</v>
      </c>
      <c r="G239" s="6">
        <v>24</v>
      </c>
      <c r="H239">
        <f t="shared" si="29"/>
        <v>1</v>
      </c>
      <c r="R239">
        <v>18</v>
      </c>
      <c r="T239" t="str">
        <f t="shared" si="28"/>
        <v>o</v>
      </c>
      <c r="Y239" t="s">
        <v>722</v>
      </c>
      <c r="AJ239">
        <v>1</v>
      </c>
      <c r="AM239" t="str">
        <f t="shared" si="31"/>
        <v>Pass</v>
      </c>
      <c r="AN239" t="str">
        <f t="shared" si="32"/>
        <v>Pass_Missed</v>
      </c>
      <c r="AP239" t="str">
        <f t="shared" si="30"/>
        <v>Defensive</v>
      </c>
      <c r="BB239" s="23"/>
      <c r="BD239" s="21"/>
      <c r="BE239" s="21"/>
      <c r="BF239" s="21"/>
      <c r="BG239" s="21"/>
      <c r="BH239" s="21"/>
      <c r="BI239" s="21"/>
    </row>
    <row r="240" spans="1:61" x14ac:dyDescent="0.2">
      <c r="A240">
        <v>120</v>
      </c>
      <c r="B240">
        <v>27</v>
      </c>
      <c r="C240">
        <f t="shared" si="27"/>
        <v>9027</v>
      </c>
      <c r="D240">
        <f t="shared" si="33"/>
        <v>9027</v>
      </c>
      <c r="E240">
        <v>16</v>
      </c>
      <c r="G240" s="6">
        <v>25</v>
      </c>
      <c r="H240">
        <f t="shared" si="29"/>
        <v>1</v>
      </c>
      <c r="I240" s="5" t="s">
        <v>732</v>
      </c>
      <c r="J240" s="5" t="s">
        <v>740</v>
      </c>
      <c r="Q240" t="s">
        <v>620</v>
      </c>
      <c r="R240">
        <v>42</v>
      </c>
      <c r="S240">
        <v>1</v>
      </c>
      <c r="T240" t="str">
        <f t="shared" si="28"/>
        <v>e</v>
      </c>
      <c r="U240" t="s">
        <v>257</v>
      </c>
      <c r="V240" t="s">
        <v>201</v>
      </c>
      <c r="W240" t="s">
        <v>409</v>
      </c>
      <c r="Y240" t="s">
        <v>744</v>
      </c>
      <c r="AF240" t="s">
        <v>623</v>
      </c>
      <c r="AM240" t="str">
        <f t="shared" si="31"/>
        <v>Zone_Entry_Exit</v>
      </c>
      <c r="AN240" t="str">
        <f t="shared" si="32"/>
        <v>Zone_Exit</v>
      </c>
      <c r="AP240" t="str">
        <f t="shared" si="30"/>
        <v>Offensive</v>
      </c>
      <c r="BB240" s="23"/>
      <c r="BD240" s="21"/>
      <c r="BE240" s="21"/>
      <c r="BF240" s="21"/>
      <c r="BG240" s="21"/>
      <c r="BH240" s="21"/>
      <c r="BI240" s="21"/>
    </row>
    <row r="241" spans="1:61" x14ac:dyDescent="0.2">
      <c r="A241">
        <v>120</v>
      </c>
      <c r="B241">
        <v>27</v>
      </c>
      <c r="C241">
        <f t="shared" si="27"/>
        <v>9027</v>
      </c>
      <c r="D241">
        <f t="shared" si="33"/>
        <v>9027</v>
      </c>
      <c r="E241">
        <v>16</v>
      </c>
      <c r="G241" s="6">
        <v>25</v>
      </c>
      <c r="H241">
        <f t="shared" si="29"/>
        <v>1</v>
      </c>
      <c r="R241">
        <v>24</v>
      </c>
      <c r="S241">
        <v>1</v>
      </c>
      <c r="T241" t="str">
        <f t="shared" si="28"/>
        <v>e</v>
      </c>
      <c r="AM241" t="str">
        <f t="shared" si="31"/>
        <v>Zone_Entry_Exit</v>
      </c>
      <c r="AN241" t="str">
        <f t="shared" si="32"/>
        <v>Zone_Exit</v>
      </c>
      <c r="AP241" t="str">
        <f t="shared" si="30"/>
        <v>Offensive</v>
      </c>
      <c r="BB241" s="23"/>
      <c r="BD241" s="21"/>
      <c r="BE241" s="21"/>
      <c r="BF241" s="21"/>
      <c r="BG241" s="21"/>
      <c r="BH241" s="21"/>
      <c r="BI241" s="21"/>
    </row>
    <row r="242" spans="1:61" x14ac:dyDescent="0.2">
      <c r="A242">
        <v>120</v>
      </c>
      <c r="B242">
        <v>27</v>
      </c>
      <c r="C242">
        <f t="shared" si="27"/>
        <v>9027</v>
      </c>
      <c r="D242">
        <f t="shared" si="33"/>
        <v>9027</v>
      </c>
      <c r="E242">
        <v>16</v>
      </c>
      <c r="G242" s="6">
        <v>25</v>
      </c>
      <c r="H242">
        <f t="shared" si="29"/>
        <v>1</v>
      </c>
      <c r="R242">
        <v>18</v>
      </c>
      <c r="T242" t="str">
        <f t="shared" si="28"/>
        <v>o</v>
      </c>
      <c r="Y242" t="s">
        <v>737</v>
      </c>
      <c r="AA242" t="s">
        <v>705</v>
      </c>
      <c r="AM242" t="str">
        <f t="shared" si="31"/>
        <v>Zone_Entry_Exit</v>
      </c>
      <c r="AN242" t="str">
        <f t="shared" si="32"/>
        <v>Zone_Exit</v>
      </c>
      <c r="AP242" t="str">
        <f t="shared" si="30"/>
        <v>Defensive</v>
      </c>
      <c r="BB242" s="23"/>
      <c r="BD242" s="21"/>
      <c r="BE242" s="21"/>
      <c r="BF242" s="21"/>
      <c r="BG242" s="21"/>
      <c r="BH242" s="21"/>
      <c r="BI242" s="21"/>
    </row>
    <row r="243" spans="1:61" x14ac:dyDescent="0.2">
      <c r="A243">
        <v>121</v>
      </c>
      <c r="B243">
        <v>27</v>
      </c>
      <c r="C243">
        <f t="shared" si="27"/>
        <v>9027</v>
      </c>
      <c r="D243">
        <f t="shared" si="33"/>
        <v>9027</v>
      </c>
      <c r="E243">
        <v>16</v>
      </c>
      <c r="G243" s="6">
        <v>25</v>
      </c>
      <c r="H243">
        <f t="shared" si="29"/>
        <v>1</v>
      </c>
      <c r="I243" s="5" t="s">
        <v>732</v>
      </c>
      <c r="J243" s="5" t="s">
        <v>740</v>
      </c>
      <c r="Q243" t="s">
        <v>620</v>
      </c>
      <c r="R243">
        <v>42</v>
      </c>
      <c r="S243">
        <v>1</v>
      </c>
      <c r="T243" t="str">
        <f t="shared" si="28"/>
        <v>e</v>
      </c>
      <c r="U243" t="s">
        <v>257</v>
      </c>
      <c r="V243" t="s">
        <v>191</v>
      </c>
      <c r="W243" t="s">
        <v>408</v>
      </c>
      <c r="AF243" t="s">
        <v>623</v>
      </c>
      <c r="AM243" t="str">
        <f t="shared" si="31"/>
        <v>Zone_Entry_Exit</v>
      </c>
      <c r="AN243" t="str">
        <f t="shared" si="32"/>
        <v>Zone_Entry</v>
      </c>
      <c r="AP243" t="str">
        <f t="shared" si="30"/>
        <v>Offensive</v>
      </c>
      <c r="BB243" s="23"/>
      <c r="BD243" s="21"/>
      <c r="BE243" s="21"/>
      <c r="BF243" s="21"/>
      <c r="BG243" s="21"/>
      <c r="BH243" s="21"/>
      <c r="BI243" s="21"/>
    </row>
    <row r="244" spans="1:61" x14ac:dyDescent="0.2">
      <c r="A244">
        <v>122</v>
      </c>
      <c r="B244">
        <v>27</v>
      </c>
      <c r="C244">
        <f t="shared" si="27"/>
        <v>9027</v>
      </c>
      <c r="D244">
        <f t="shared" si="33"/>
        <v>9027</v>
      </c>
      <c r="E244">
        <v>16</v>
      </c>
      <c r="G244" s="6">
        <v>25</v>
      </c>
      <c r="H244">
        <f t="shared" si="29"/>
        <v>1</v>
      </c>
      <c r="I244" s="5" t="s">
        <v>732</v>
      </c>
      <c r="J244" s="5" t="s">
        <v>740</v>
      </c>
      <c r="Q244" t="s">
        <v>620</v>
      </c>
      <c r="R244">
        <v>42</v>
      </c>
      <c r="S244">
        <v>1</v>
      </c>
      <c r="T244" t="str">
        <f t="shared" si="28"/>
        <v>e</v>
      </c>
      <c r="U244" t="s">
        <v>10</v>
      </c>
      <c r="V244" t="s">
        <v>190</v>
      </c>
      <c r="W244" t="s">
        <v>76</v>
      </c>
      <c r="AF244" t="s">
        <v>623</v>
      </c>
      <c r="AM244" t="str">
        <f t="shared" si="31"/>
        <v>Turnover</v>
      </c>
      <c r="AN244" t="str">
        <f t="shared" si="32"/>
        <v>Turnover_Giveaway</v>
      </c>
      <c r="AP244" t="str">
        <f t="shared" si="30"/>
        <v>Offensive</v>
      </c>
      <c r="BB244" s="23"/>
      <c r="BD244" s="21"/>
      <c r="BE244" s="21"/>
      <c r="BF244" s="21"/>
      <c r="BG244" s="21"/>
      <c r="BH244" s="21"/>
      <c r="BI244" s="21"/>
    </row>
    <row r="245" spans="1:61" x14ac:dyDescent="0.2">
      <c r="A245">
        <v>123</v>
      </c>
      <c r="B245">
        <v>28</v>
      </c>
      <c r="C245">
        <f t="shared" si="27"/>
        <v>9028</v>
      </c>
      <c r="D245">
        <f t="shared" si="33"/>
        <v>9028</v>
      </c>
      <c r="G245" s="6">
        <v>26</v>
      </c>
      <c r="H245">
        <f t="shared" si="29"/>
        <v>1</v>
      </c>
      <c r="I245" s="5" t="s">
        <v>448</v>
      </c>
      <c r="J245" s="5" t="s">
        <v>622</v>
      </c>
      <c r="Q245" t="s">
        <v>619</v>
      </c>
      <c r="R245">
        <v>30</v>
      </c>
      <c r="S245">
        <v>1</v>
      </c>
      <c r="T245" t="str">
        <f t="shared" si="28"/>
        <v>e</v>
      </c>
      <c r="U245" t="s">
        <v>257</v>
      </c>
      <c r="V245" t="s">
        <v>201</v>
      </c>
      <c r="W245" t="s">
        <v>92</v>
      </c>
      <c r="AF245" t="s">
        <v>623</v>
      </c>
      <c r="AM245" t="str">
        <f t="shared" si="31"/>
        <v>Zone_Entry_Exit</v>
      </c>
      <c r="AN245" t="str">
        <f t="shared" si="32"/>
        <v>Zone_Exit</v>
      </c>
      <c r="AP245" t="str">
        <f t="shared" si="30"/>
        <v>Offensive</v>
      </c>
      <c r="BB245" s="23"/>
      <c r="BD245" s="21"/>
      <c r="BE245" s="21"/>
      <c r="BF245" s="21"/>
      <c r="BG245" s="21"/>
      <c r="BH245" s="21"/>
      <c r="BI245" s="21"/>
    </row>
    <row r="246" spans="1:61" x14ac:dyDescent="0.2">
      <c r="A246">
        <v>124</v>
      </c>
      <c r="B246">
        <v>28</v>
      </c>
      <c r="C246">
        <f t="shared" si="27"/>
        <v>9028</v>
      </c>
      <c r="D246">
        <f t="shared" si="33"/>
        <v>9028</v>
      </c>
      <c r="G246" s="6">
        <v>26</v>
      </c>
      <c r="H246">
        <f t="shared" si="29"/>
        <v>1</v>
      </c>
      <c r="I246" s="5" t="s">
        <v>448</v>
      </c>
      <c r="J246" s="5" t="s">
        <v>622</v>
      </c>
      <c r="Q246" t="s">
        <v>619</v>
      </c>
      <c r="R246">
        <v>30</v>
      </c>
      <c r="S246">
        <v>1</v>
      </c>
      <c r="T246" t="str">
        <f t="shared" si="28"/>
        <v>e</v>
      </c>
      <c r="U246" t="s">
        <v>10</v>
      </c>
      <c r="V246" t="s">
        <v>190</v>
      </c>
      <c r="W246" t="s">
        <v>387</v>
      </c>
      <c r="AF246" t="s">
        <v>623</v>
      </c>
      <c r="AM246" t="str">
        <f t="shared" si="31"/>
        <v>Turnover</v>
      </c>
      <c r="AN246" t="str">
        <f t="shared" si="32"/>
        <v>Turnover_Giveaway</v>
      </c>
      <c r="AP246" t="str">
        <f t="shared" si="30"/>
        <v>Offensive</v>
      </c>
      <c r="BB246" s="23"/>
      <c r="BD246" s="21"/>
      <c r="BE246" s="21"/>
      <c r="BF246" s="21"/>
      <c r="BG246" s="21"/>
      <c r="BH246" s="21"/>
      <c r="BI246" s="21"/>
    </row>
    <row r="247" spans="1:61" x14ac:dyDescent="0.2">
      <c r="A247">
        <v>125</v>
      </c>
      <c r="B247" t="s">
        <v>887</v>
      </c>
      <c r="C247" t="str">
        <f t="shared" si="27"/>
        <v/>
      </c>
      <c r="D247" t="str">
        <f t="shared" si="33"/>
        <v/>
      </c>
      <c r="G247" s="6">
        <v>26</v>
      </c>
      <c r="H247">
        <f t="shared" si="29"/>
        <v>1</v>
      </c>
      <c r="I247" s="5" t="s">
        <v>448</v>
      </c>
      <c r="J247" s="5" t="s">
        <v>637</v>
      </c>
      <c r="K247" s="5" t="s">
        <v>448</v>
      </c>
      <c r="L247" s="7" t="s">
        <v>751</v>
      </c>
      <c r="Q247" t="s">
        <v>620</v>
      </c>
      <c r="R247">
        <v>84</v>
      </c>
      <c r="S247">
        <v>1</v>
      </c>
      <c r="T247" t="str">
        <f t="shared" si="28"/>
        <v>e</v>
      </c>
      <c r="U247" t="s">
        <v>15</v>
      </c>
      <c r="V247" t="s">
        <v>697</v>
      </c>
      <c r="X247" t="s">
        <v>706</v>
      </c>
      <c r="Y247" t="s">
        <v>720</v>
      </c>
      <c r="AA247" t="s">
        <v>706</v>
      </c>
      <c r="AF247" t="s">
        <v>635</v>
      </c>
      <c r="AM247" t="str">
        <f t="shared" si="31"/>
        <v>Possession</v>
      </c>
      <c r="AN247" t="str">
        <f t="shared" si="32"/>
        <v>PuckRetrieval</v>
      </c>
      <c r="AP247" t="str">
        <f t="shared" si="30"/>
        <v>Offensive</v>
      </c>
      <c r="BB247" s="23"/>
      <c r="BD247" s="21"/>
      <c r="BE247" s="21"/>
      <c r="BF247" s="21"/>
      <c r="BG247" s="21"/>
      <c r="BH247" s="21"/>
      <c r="BI247" s="21"/>
    </row>
    <row r="248" spans="1:61" x14ac:dyDescent="0.2">
      <c r="A248">
        <v>126</v>
      </c>
      <c r="B248">
        <v>29</v>
      </c>
      <c r="C248">
        <f t="shared" si="27"/>
        <v>9029</v>
      </c>
      <c r="D248">
        <f t="shared" si="33"/>
        <v>9029</v>
      </c>
      <c r="G248" s="6">
        <v>26</v>
      </c>
      <c r="H248">
        <f t="shared" si="29"/>
        <v>1</v>
      </c>
      <c r="I248" s="5" t="s">
        <v>448</v>
      </c>
      <c r="J248" s="5" t="s">
        <v>751</v>
      </c>
      <c r="Q248" t="s">
        <v>620</v>
      </c>
      <c r="R248">
        <v>84</v>
      </c>
      <c r="S248">
        <v>1</v>
      </c>
      <c r="T248" t="str">
        <f t="shared" si="28"/>
        <v>e</v>
      </c>
      <c r="U248" t="s">
        <v>8</v>
      </c>
      <c r="V248" t="s">
        <v>189</v>
      </c>
      <c r="W248" t="s">
        <v>70</v>
      </c>
      <c r="X248" t="s">
        <v>706</v>
      </c>
      <c r="AF248" t="s">
        <v>635</v>
      </c>
      <c r="AM248" t="str">
        <f t="shared" si="31"/>
        <v>Pass</v>
      </c>
      <c r="AN248" t="str">
        <f t="shared" si="32"/>
        <v>Pass_Completed</v>
      </c>
      <c r="AP248" t="str">
        <f t="shared" si="30"/>
        <v>Offensive</v>
      </c>
      <c r="BB248" s="23"/>
      <c r="BD248" s="21"/>
      <c r="BE248" s="21"/>
      <c r="BF248" s="21"/>
      <c r="BG248" s="21"/>
      <c r="BH248" s="21"/>
      <c r="BI248" s="21"/>
    </row>
    <row r="249" spans="1:61" x14ac:dyDescent="0.2">
      <c r="A249">
        <v>126</v>
      </c>
      <c r="B249">
        <v>29</v>
      </c>
      <c r="C249">
        <f t="shared" si="27"/>
        <v>9029</v>
      </c>
      <c r="D249">
        <f t="shared" si="33"/>
        <v>9029</v>
      </c>
      <c r="G249" s="6">
        <v>26</v>
      </c>
      <c r="H249">
        <f t="shared" si="29"/>
        <v>1</v>
      </c>
      <c r="R249">
        <v>61</v>
      </c>
      <c r="S249">
        <v>1</v>
      </c>
      <c r="T249" t="str">
        <f t="shared" si="28"/>
        <v>e</v>
      </c>
      <c r="AM249" t="str">
        <f t="shared" si="31"/>
        <v>Pass</v>
      </c>
      <c r="AN249" t="str">
        <f t="shared" si="32"/>
        <v>Pass_Completed</v>
      </c>
      <c r="AP249" t="str">
        <f t="shared" si="30"/>
        <v>Offensive</v>
      </c>
      <c r="BB249" s="23"/>
      <c r="BD249" s="21"/>
      <c r="BE249" s="21"/>
      <c r="BF249" s="21"/>
      <c r="BG249" s="21"/>
      <c r="BH249" s="21"/>
      <c r="BI249" s="21"/>
    </row>
    <row r="250" spans="1:61" x14ac:dyDescent="0.2">
      <c r="A250">
        <v>127</v>
      </c>
      <c r="B250">
        <v>29</v>
      </c>
      <c r="C250">
        <f t="shared" si="27"/>
        <v>9029</v>
      </c>
      <c r="D250">
        <f t="shared" si="33"/>
        <v>9029</v>
      </c>
      <c r="G250" s="6">
        <v>26</v>
      </c>
      <c r="H250">
        <f t="shared" si="29"/>
        <v>1</v>
      </c>
      <c r="I250" s="5" t="s">
        <v>448</v>
      </c>
      <c r="J250" s="5" t="s">
        <v>751</v>
      </c>
      <c r="K250" s="5" t="s">
        <v>448</v>
      </c>
      <c r="L250" s="7" t="s">
        <v>773</v>
      </c>
      <c r="Q250" t="s">
        <v>620</v>
      </c>
      <c r="R250">
        <v>61</v>
      </c>
      <c r="S250">
        <v>1</v>
      </c>
      <c r="T250" t="str">
        <f t="shared" si="28"/>
        <v>e</v>
      </c>
      <c r="U250" t="s">
        <v>15</v>
      </c>
      <c r="Y250" t="s">
        <v>728</v>
      </c>
      <c r="AF250" t="s">
        <v>635</v>
      </c>
      <c r="AM250" t="str">
        <f t="shared" si="31"/>
        <v>Possession</v>
      </c>
      <c r="AN250" t="str">
        <f t="shared" si="32"/>
        <v/>
      </c>
      <c r="AP250" t="str">
        <f t="shared" si="30"/>
        <v>Offensive</v>
      </c>
      <c r="BB250" s="23"/>
      <c r="BD250" s="21"/>
      <c r="BE250" s="21"/>
      <c r="BF250" s="21"/>
      <c r="BG250" s="21"/>
      <c r="BH250" s="21"/>
      <c r="BI250" s="21"/>
    </row>
    <row r="251" spans="1:61" x14ac:dyDescent="0.2">
      <c r="A251">
        <v>127</v>
      </c>
      <c r="B251">
        <v>29</v>
      </c>
      <c r="C251">
        <f t="shared" si="27"/>
        <v>9029</v>
      </c>
      <c r="D251">
        <f t="shared" si="33"/>
        <v>9029</v>
      </c>
      <c r="G251" s="6">
        <v>26</v>
      </c>
      <c r="H251">
        <f t="shared" si="29"/>
        <v>1</v>
      </c>
      <c r="R251">
        <v>56</v>
      </c>
      <c r="T251" t="str">
        <f t="shared" si="28"/>
        <v>o</v>
      </c>
      <c r="Y251" t="s">
        <v>765</v>
      </c>
      <c r="AM251" t="str">
        <f t="shared" si="31"/>
        <v>Possession</v>
      </c>
      <c r="AN251" t="str">
        <f t="shared" si="32"/>
        <v/>
      </c>
      <c r="AP251" t="str">
        <f t="shared" si="30"/>
        <v>Defensive</v>
      </c>
      <c r="BB251" s="23"/>
      <c r="BD251" s="21"/>
      <c r="BE251" s="21"/>
      <c r="BF251" s="21"/>
      <c r="BG251" s="21"/>
      <c r="BH251" s="21"/>
      <c r="BI251" s="21"/>
    </row>
    <row r="252" spans="1:61" x14ac:dyDescent="0.2">
      <c r="A252">
        <v>128</v>
      </c>
      <c r="B252">
        <v>29</v>
      </c>
      <c r="C252">
        <f t="shared" si="27"/>
        <v>9029</v>
      </c>
      <c r="D252">
        <f t="shared" si="33"/>
        <v>9029</v>
      </c>
      <c r="G252" s="6">
        <v>27</v>
      </c>
      <c r="H252">
        <f t="shared" si="29"/>
        <v>1</v>
      </c>
      <c r="I252" s="5" t="s">
        <v>448</v>
      </c>
      <c r="J252" s="5" t="s">
        <v>773</v>
      </c>
      <c r="K252" s="5" t="s">
        <v>448</v>
      </c>
      <c r="L252" s="7" t="s">
        <v>753</v>
      </c>
      <c r="Q252" t="s">
        <v>620</v>
      </c>
      <c r="R252">
        <v>61</v>
      </c>
      <c r="S252">
        <v>1</v>
      </c>
      <c r="T252" t="str">
        <f t="shared" si="28"/>
        <v>e</v>
      </c>
      <c r="U252" t="s">
        <v>257</v>
      </c>
      <c r="V252" t="s">
        <v>191</v>
      </c>
      <c r="W252" t="s">
        <v>87</v>
      </c>
      <c r="Y252" t="s">
        <v>728</v>
      </c>
      <c r="AF252" t="s">
        <v>401</v>
      </c>
      <c r="AJ252">
        <v>1</v>
      </c>
      <c r="AM252" t="str">
        <f t="shared" si="31"/>
        <v>Zone_Entry_Exit</v>
      </c>
      <c r="AN252" t="str">
        <f t="shared" si="32"/>
        <v>Zone_Entry</v>
      </c>
      <c r="AP252" t="str">
        <f t="shared" si="30"/>
        <v>Offensive</v>
      </c>
      <c r="BB252" s="23"/>
      <c r="BD252" s="21"/>
      <c r="BE252" s="21"/>
      <c r="BF252" s="21"/>
      <c r="BG252" s="21"/>
      <c r="BH252" s="21"/>
      <c r="BI252" s="21"/>
    </row>
    <row r="253" spans="1:61" x14ac:dyDescent="0.2">
      <c r="A253">
        <v>128</v>
      </c>
      <c r="B253">
        <v>29</v>
      </c>
      <c r="C253">
        <f t="shared" si="27"/>
        <v>9029</v>
      </c>
      <c r="D253">
        <f t="shared" si="33"/>
        <v>9029</v>
      </c>
      <c r="G253" s="6">
        <v>27</v>
      </c>
      <c r="H253">
        <f t="shared" si="29"/>
        <v>1</v>
      </c>
      <c r="R253">
        <v>42</v>
      </c>
      <c r="S253">
        <v>1</v>
      </c>
      <c r="T253" t="str">
        <f t="shared" si="28"/>
        <v>e</v>
      </c>
      <c r="AM253" t="str">
        <f t="shared" si="31"/>
        <v>Zone_Entry_Exit</v>
      </c>
      <c r="AN253" t="str">
        <f t="shared" si="32"/>
        <v>Zone_Entry</v>
      </c>
      <c r="AP253" t="str">
        <f t="shared" si="30"/>
        <v>Offensive</v>
      </c>
      <c r="BB253" s="23"/>
      <c r="BD253" s="21"/>
      <c r="BE253" s="21"/>
      <c r="BF253" s="21"/>
      <c r="BG253" s="21"/>
      <c r="BH253" s="21"/>
      <c r="BI253" s="21"/>
    </row>
    <row r="254" spans="1:61" x14ac:dyDescent="0.2">
      <c r="A254">
        <v>128</v>
      </c>
      <c r="B254">
        <v>29</v>
      </c>
      <c r="C254">
        <f t="shared" si="27"/>
        <v>9029</v>
      </c>
      <c r="D254">
        <f t="shared" si="33"/>
        <v>9029</v>
      </c>
      <c r="G254" s="6">
        <v>27</v>
      </c>
      <c r="H254">
        <f t="shared" si="29"/>
        <v>1</v>
      </c>
      <c r="R254">
        <v>56</v>
      </c>
      <c r="T254" t="str">
        <f t="shared" si="28"/>
        <v>o</v>
      </c>
      <c r="Y254" t="s">
        <v>774</v>
      </c>
      <c r="AA254" t="s">
        <v>706</v>
      </c>
      <c r="AJ254">
        <v>1</v>
      </c>
      <c r="AM254" t="str">
        <f t="shared" si="31"/>
        <v>Zone_Entry_Exit</v>
      </c>
      <c r="AN254" t="str">
        <f t="shared" si="32"/>
        <v>Zone_Entry</v>
      </c>
      <c r="AP254" t="str">
        <f t="shared" si="30"/>
        <v>Defensive</v>
      </c>
      <c r="BB254" s="23"/>
      <c r="BD254" s="21"/>
      <c r="BE254" s="21"/>
      <c r="BF254" s="21"/>
      <c r="BG254" s="21"/>
      <c r="BH254" s="21"/>
      <c r="BI254" s="21"/>
    </row>
    <row r="255" spans="1:61" x14ac:dyDescent="0.2">
      <c r="A255">
        <v>129</v>
      </c>
      <c r="B255">
        <v>29</v>
      </c>
      <c r="C255">
        <f t="shared" si="27"/>
        <v>9029</v>
      </c>
      <c r="D255">
        <f t="shared" si="33"/>
        <v>9029</v>
      </c>
      <c r="G255" s="6">
        <v>27</v>
      </c>
      <c r="H255">
        <f t="shared" si="29"/>
        <v>1</v>
      </c>
      <c r="I255" s="5" t="s">
        <v>448</v>
      </c>
      <c r="J255" s="5" t="s">
        <v>672</v>
      </c>
      <c r="Q255" t="s">
        <v>619</v>
      </c>
      <c r="R255">
        <v>18</v>
      </c>
      <c r="S255">
        <v>1</v>
      </c>
      <c r="T255" t="str">
        <f t="shared" si="28"/>
        <v>e</v>
      </c>
      <c r="U255" t="s">
        <v>15</v>
      </c>
      <c r="V255" t="s">
        <v>697</v>
      </c>
      <c r="X255" t="s">
        <v>706</v>
      </c>
      <c r="Y255" t="s">
        <v>712</v>
      </c>
      <c r="AA255" t="s">
        <v>706</v>
      </c>
      <c r="AF255" t="s">
        <v>623</v>
      </c>
      <c r="AJ255">
        <v>1</v>
      </c>
      <c r="AM255" t="str">
        <f t="shared" si="31"/>
        <v>Possession</v>
      </c>
      <c r="AN255" t="str">
        <f t="shared" si="32"/>
        <v>PuckRetrieval</v>
      </c>
      <c r="AP255" t="str">
        <f t="shared" si="30"/>
        <v>Offensive</v>
      </c>
      <c r="BB255" s="23"/>
      <c r="BD255" s="21"/>
      <c r="BE255" s="21"/>
      <c r="BF255" s="21"/>
      <c r="BG255" s="21"/>
      <c r="BH255" s="21"/>
      <c r="BI255" s="21"/>
    </row>
    <row r="256" spans="1:61" x14ac:dyDescent="0.2">
      <c r="A256">
        <v>129</v>
      </c>
      <c r="B256">
        <v>29</v>
      </c>
      <c r="C256">
        <f t="shared" si="27"/>
        <v>9029</v>
      </c>
      <c r="D256">
        <f t="shared" si="33"/>
        <v>9029</v>
      </c>
      <c r="G256" s="6">
        <v>27</v>
      </c>
      <c r="H256">
        <f t="shared" si="29"/>
        <v>1</v>
      </c>
      <c r="R256">
        <v>42</v>
      </c>
      <c r="T256" t="str">
        <f t="shared" si="28"/>
        <v>o</v>
      </c>
      <c r="Y256" t="s">
        <v>775</v>
      </c>
      <c r="AA256" t="s">
        <v>705</v>
      </c>
      <c r="AJ256">
        <v>1</v>
      </c>
      <c r="AM256" t="str">
        <f t="shared" si="31"/>
        <v>Possession</v>
      </c>
      <c r="AN256" t="str">
        <f t="shared" si="32"/>
        <v>PuckRetrieval</v>
      </c>
      <c r="AP256" t="str">
        <f t="shared" si="30"/>
        <v>Defensive</v>
      </c>
      <c r="BB256" s="23"/>
      <c r="BD256" s="21"/>
      <c r="BE256" s="21"/>
      <c r="BF256" s="21"/>
      <c r="BG256" s="21"/>
      <c r="BH256" s="21"/>
      <c r="BI256" s="21"/>
    </row>
    <row r="257" spans="1:61" x14ac:dyDescent="0.2">
      <c r="A257">
        <v>130</v>
      </c>
      <c r="B257">
        <v>30</v>
      </c>
      <c r="C257">
        <f t="shared" si="27"/>
        <v>9030</v>
      </c>
      <c r="D257">
        <f t="shared" si="33"/>
        <v>9030</v>
      </c>
      <c r="G257" s="6">
        <v>27</v>
      </c>
      <c r="H257">
        <f t="shared" si="29"/>
        <v>1</v>
      </c>
      <c r="I257" s="5" t="s">
        <v>448</v>
      </c>
      <c r="J257" s="5" t="s">
        <v>672</v>
      </c>
      <c r="Q257" t="s">
        <v>619</v>
      </c>
      <c r="R257">
        <v>18</v>
      </c>
      <c r="S257">
        <v>1</v>
      </c>
      <c r="T257" t="str">
        <f t="shared" si="28"/>
        <v>e</v>
      </c>
      <c r="U257" t="s">
        <v>10</v>
      </c>
      <c r="V257" t="s">
        <v>190</v>
      </c>
      <c r="W257" t="s">
        <v>398</v>
      </c>
      <c r="X257" t="s">
        <v>705</v>
      </c>
      <c r="Y257" t="s">
        <v>746</v>
      </c>
      <c r="AA257" t="s">
        <v>705</v>
      </c>
      <c r="AF257" t="s">
        <v>623</v>
      </c>
      <c r="AM257" t="str">
        <f t="shared" si="31"/>
        <v>Turnover</v>
      </c>
      <c r="AN257" t="str">
        <f t="shared" si="32"/>
        <v>Turnover_Giveaway</v>
      </c>
      <c r="AP257" t="str">
        <f t="shared" si="30"/>
        <v>Offensive</v>
      </c>
      <c r="BB257" s="23"/>
      <c r="BD257" s="21"/>
      <c r="BE257" s="21"/>
      <c r="BF257" s="21"/>
      <c r="BG257" s="21"/>
      <c r="BH257" s="21"/>
      <c r="BI257" s="21"/>
    </row>
    <row r="258" spans="1:61" x14ac:dyDescent="0.2">
      <c r="A258">
        <v>131</v>
      </c>
      <c r="B258">
        <v>30</v>
      </c>
      <c r="C258">
        <f t="shared" si="27"/>
        <v>9030</v>
      </c>
      <c r="D258">
        <f t="shared" si="33"/>
        <v>9030</v>
      </c>
      <c r="G258" s="6">
        <v>27</v>
      </c>
      <c r="H258">
        <f t="shared" si="29"/>
        <v>1</v>
      </c>
      <c r="I258" s="5" t="s">
        <v>448</v>
      </c>
      <c r="J258" s="5" t="s">
        <v>672</v>
      </c>
      <c r="Q258" t="s">
        <v>620</v>
      </c>
      <c r="R258">
        <v>84</v>
      </c>
      <c r="S258">
        <v>1</v>
      </c>
      <c r="T258" t="str">
        <f t="shared" si="28"/>
        <v>e</v>
      </c>
      <c r="U258" t="s">
        <v>257</v>
      </c>
      <c r="V258" t="s">
        <v>210</v>
      </c>
      <c r="W258" t="s">
        <v>93</v>
      </c>
      <c r="X258" t="s">
        <v>706</v>
      </c>
      <c r="AF258" t="s">
        <v>401</v>
      </c>
      <c r="AM258" t="str">
        <f t="shared" si="31"/>
        <v>Zone_Entry_Exit</v>
      </c>
      <c r="AN258" t="str">
        <f t="shared" si="32"/>
        <v>Zone_Keepin</v>
      </c>
      <c r="AP258" t="str">
        <f t="shared" si="30"/>
        <v>Offensive</v>
      </c>
      <c r="BB258" s="23"/>
      <c r="BD258" s="21"/>
      <c r="BE258" s="21"/>
      <c r="BF258" s="21"/>
      <c r="BG258" s="21"/>
      <c r="BH258" s="21"/>
      <c r="BI258" s="21"/>
    </row>
    <row r="259" spans="1:61" x14ac:dyDescent="0.2">
      <c r="A259">
        <v>132</v>
      </c>
      <c r="B259">
        <v>30</v>
      </c>
      <c r="C259">
        <f t="shared" ref="C259:C322" si="34">IF(B259&lt;&gt;"",9000+B259,"")</f>
        <v>9030</v>
      </c>
      <c r="D259">
        <f t="shared" si="33"/>
        <v>9030</v>
      </c>
      <c r="E259">
        <v>17</v>
      </c>
      <c r="F259">
        <v>17</v>
      </c>
      <c r="G259" s="6">
        <v>27</v>
      </c>
      <c r="H259">
        <f t="shared" si="29"/>
        <v>1</v>
      </c>
      <c r="I259" s="5" t="s">
        <v>448</v>
      </c>
      <c r="J259" s="5" t="s">
        <v>755</v>
      </c>
      <c r="K259" s="5" t="s">
        <v>448</v>
      </c>
      <c r="L259" s="7" t="s">
        <v>711</v>
      </c>
      <c r="Q259" t="s">
        <v>620</v>
      </c>
      <c r="R259">
        <v>84</v>
      </c>
      <c r="S259">
        <v>1</v>
      </c>
      <c r="T259" t="str">
        <f t="shared" ref="T259:T322" si="35">IF(S259="x","",IF(S259=1,"e","o"))</f>
        <v>e</v>
      </c>
      <c r="U259" t="s">
        <v>15</v>
      </c>
      <c r="V259" t="s">
        <v>697</v>
      </c>
      <c r="X259" t="s">
        <v>706</v>
      </c>
      <c r="Y259" t="s">
        <v>712</v>
      </c>
      <c r="AA259" t="s">
        <v>706</v>
      </c>
      <c r="AF259" t="s">
        <v>401</v>
      </c>
      <c r="AM259" t="str">
        <f t="shared" si="31"/>
        <v>Possession</v>
      </c>
      <c r="AN259" t="str">
        <f t="shared" si="32"/>
        <v>PuckRetrieval</v>
      </c>
      <c r="AP259" t="str">
        <f t="shared" si="30"/>
        <v>Offensive</v>
      </c>
      <c r="BB259" s="23"/>
      <c r="BD259" s="21"/>
      <c r="BE259" s="21"/>
      <c r="BF259" s="21"/>
      <c r="BG259" s="21"/>
      <c r="BH259" s="21"/>
      <c r="BI259" s="21"/>
    </row>
    <row r="260" spans="1:61" x14ac:dyDescent="0.2">
      <c r="A260">
        <v>133</v>
      </c>
      <c r="B260" t="s">
        <v>887</v>
      </c>
      <c r="C260" t="str">
        <f t="shared" si="34"/>
        <v/>
      </c>
      <c r="D260" t="str">
        <f t="shared" si="33"/>
        <v/>
      </c>
      <c r="E260">
        <v>17</v>
      </c>
      <c r="F260">
        <v>17</v>
      </c>
      <c r="G260" s="6">
        <v>27</v>
      </c>
      <c r="H260">
        <f t="shared" ref="H260:H323" si="36">IF(U260="Intermission",H259+1,H259)</f>
        <v>1</v>
      </c>
      <c r="I260" s="5" t="s">
        <v>448</v>
      </c>
      <c r="J260" s="5" t="s">
        <v>711</v>
      </c>
      <c r="Q260" t="s">
        <v>620</v>
      </c>
      <c r="R260">
        <v>84</v>
      </c>
      <c r="S260">
        <v>1</v>
      </c>
      <c r="T260" t="str">
        <f t="shared" si="35"/>
        <v>e</v>
      </c>
      <c r="U260" t="s">
        <v>8</v>
      </c>
      <c r="V260" t="s">
        <v>189</v>
      </c>
      <c r="W260" t="s">
        <v>71</v>
      </c>
      <c r="X260" t="s">
        <v>706</v>
      </c>
      <c r="AF260" t="s">
        <v>401</v>
      </c>
      <c r="AJ260">
        <v>1</v>
      </c>
      <c r="AM260" t="str">
        <f t="shared" si="31"/>
        <v>Pass</v>
      </c>
      <c r="AN260" t="str">
        <f t="shared" si="32"/>
        <v>Pass_Completed</v>
      </c>
      <c r="AP260" t="str">
        <f t="shared" si="30"/>
        <v>Offensive</v>
      </c>
      <c r="BB260" s="23"/>
      <c r="BD260" s="21"/>
      <c r="BE260" s="21"/>
      <c r="BF260" s="21"/>
      <c r="BG260" s="21"/>
      <c r="BH260" s="21"/>
      <c r="BI260" s="21"/>
    </row>
    <row r="261" spans="1:61" x14ac:dyDescent="0.2">
      <c r="A261">
        <v>133</v>
      </c>
      <c r="B261" t="s">
        <v>887</v>
      </c>
      <c r="C261" t="str">
        <f t="shared" si="34"/>
        <v/>
      </c>
      <c r="D261" t="str">
        <f t="shared" si="33"/>
        <v/>
      </c>
      <c r="E261">
        <v>17</v>
      </c>
      <c r="F261">
        <v>17</v>
      </c>
      <c r="G261" s="6">
        <v>27</v>
      </c>
      <c r="H261">
        <f t="shared" si="36"/>
        <v>1</v>
      </c>
      <c r="R261">
        <v>61</v>
      </c>
      <c r="S261">
        <v>1</v>
      </c>
      <c r="T261" t="str">
        <f t="shared" si="35"/>
        <v>e</v>
      </c>
      <c r="AM261" t="str">
        <f t="shared" si="31"/>
        <v>Pass</v>
      </c>
      <c r="AN261" t="str">
        <f t="shared" si="32"/>
        <v>Pass_Completed</v>
      </c>
      <c r="AP261" t="str">
        <f t="shared" si="30"/>
        <v>Offensive</v>
      </c>
      <c r="BB261" s="23"/>
      <c r="BD261" s="21"/>
      <c r="BE261" s="21"/>
      <c r="BF261" s="21"/>
      <c r="BG261" s="21"/>
      <c r="BH261" s="21"/>
      <c r="BI261" s="21"/>
    </row>
    <row r="262" spans="1:61" x14ac:dyDescent="0.2">
      <c r="A262">
        <v>133</v>
      </c>
      <c r="B262" t="s">
        <v>887</v>
      </c>
      <c r="C262" t="str">
        <f t="shared" si="34"/>
        <v/>
      </c>
      <c r="D262" t="str">
        <f t="shared" si="33"/>
        <v/>
      </c>
      <c r="E262">
        <v>17</v>
      </c>
      <c r="F262">
        <v>17</v>
      </c>
      <c r="G262" s="6">
        <v>27</v>
      </c>
      <c r="H262">
        <f t="shared" si="36"/>
        <v>1</v>
      </c>
      <c r="R262">
        <v>86</v>
      </c>
      <c r="T262" t="str">
        <f t="shared" si="35"/>
        <v>o</v>
      </c>
      <c r="AJ262">
        <v>1</v>
      </c>
      <c r="AM262" t="str">
        <f t="shared" si="31"/>
        <v>Pass</v>
      </c>
      <c r="AN262" t="str">
        <f t="shared" si="32"/>
        <v>Pass_Completed</v>
      </c>
      <c r="AP262" t="str">
        <f t="shared" ref="AP262:AP325" si="37">IF(AND(T262="e",OR(AM262="Save",AN262="Turnover_Takeaway",AN262="Play_Defensive")),"Defensive",IF(AND(T262="o",OR(AM262="Save",AN262="Turnover_Takeaway",AN262="Play_Defensive")),"Offensive",IF(OR(AM262="Deadice",AM262="Stoppage",AM262="Intermission"),"",IF(T262="e","Offensive",IF(T262="o","Defensive","")))))</f>
        <v>Defensive</v>
      </c>
      <c r="BB262" s="23"/>
      <c r="BD262" s="21"/>
      <c r="BE262" s="21"/>
      <c r="BF262" s="21"/>
      <c r="BG262" s="21"/>
      <c r="BH262" s="21"/>
      <c r="BI262" s="21"/>
    </row>
    <row r="263" spans="1:61" x14ac:dyDescent="0.2">
      <c r="A263">
        <v>134</v>
      </c>
      <c r="B263" t="s">
        <v>887</v>
      </c>
      <c r="C263" t="str">
        <f t="shared" si="34"/>
        <v/>
      </c>
      <c r="D263" t="str">
        <f t="shared" si="33"/>
        <v/>
      </c>
      <c r="E263">
        <v>17</v>
      </c>
      <c r="F263">
        <v>17</v>
      </c>
      <c r="G263" s="6">
        <v>27</v>
      </c>
      <c r="H263">
        <f t="shared" si="36"/>
        <v>1</v>
      </c>
      <c r="I263" s="5" t="s">
        <v>448</v>
      </c>
      <c r="J263" s="5" t="s">
        <v>713</v>
      </c>
      <c r="K263" s="5" t="s">
        <v>448</v>
      </c>
      <c r="L263" s="7" t="s">
        <v>776</v>
      </c>
      <c r="Q263" t="s">
        <v>620</v>
      </c>
      <c r="R263">
        <v>61</v>
      </c>
      <c r="S263">
        <v>1</v>
      </c>
      <c r="T263" t="str">
        <f t="shared" si="35"/>
        <v>e</v>
      </c>
      <c r="U263" t="s">
        <v>15</v>
      </c>
      <c r="Y263" t="s">
        <v>767</v>
      </c>
      <c r="AA263" t="s">
        <v>706</v>
      </c>
      <c r="AF263" t="s">
        <v>401</v>
      </c>
      <c r="AJ263">
        <v>1</v>
      </c>
      <c r="AM263" t="str">
        <f t="shared" ref="AM263:AM326" si="38">IF(U263&lt;&gt;"",U263,IF($A263=$A262,AM262,""))</f>
        <v>Possession</v>
      </c>
      <c r="AN263" t="str">
        <f t="shared" ref="AN263:AN326" si="39">IF(V263&lt;&gt;"",V263,IF($A263=$A262,AN262,""))</f>
        <v/>
      </c>
      <c r="AP263" t="str">
        <f t="shared" si="37"/>
        <v>Offensive</v>
      </c>
      <c r="BB263" s="23"/>
      <c r="BD263" s="21"/>
      <c r="BE263" s="21"/>
      <c r="BF263" s="21"/>
      <c r="BG263" s="21"/>
      <c r="BH263" s="21"/>
      <c r="BI263" s="21"/>
    </row>
    <row r="264" spans="1:61" x14ac:dyDescent="0.2">
      <c r="A264">
        <v>134</v>
      </c>
      <c r="B264" t="s">
        <v>887</v>
      </c>
      <c r="C264" t="str">
        <f t="shared" si="34"/>
        <v/>
      </c>
      <c r="D264" t="str">
        <f t="shared" ref="D264:D327" si="40">IF(C264&lt;&gt;"",C264,B264)</f>
        <v/>
      </c>
      <c r="E264">
        <v>17</v>
      </c>
      <c r="F264">
        <v>17</v>
      </c>
      <c r="G264" s="6">
        <v>27</v>
      </c>
      <c r="H264">
        <f t="shared" si="36"/>
        <v>1</v>
      </c>
      <c r="R264">
        <v>91</v>
      </c>
      <c r="T264" t="str">
        <f t="shared" si="35"/>
        <v>o</v>
      </c>
      <c r="Y264" t="s">
        <v>764</v>
      </c>
      <c r="AJ264">
        <v>1</v>
      </c>
      <c r="AM264" t="str">
        <f t="shared" si="38"/>
        <v>Possession</v>
      </c>
      <c r="AN264" t="str">
        <f t="shared" si="39"/>
        <v/>
      </c>
      <c r="AP264" t="str">
        <f t="shared" si="37"/>
        <v>Defensive</v>
      </c>
      <c r="BB264" s="23"/>
      <c r="BD264" s="21"/>
      <c r="BE264" s="21"/>
      <c r="BF264" s="21"/>
      <c r="BG264" s="21"/>
      <c r="BH264" s="21"/>
      <c r="BI264" s="21"/>
    </row>
    <row r="265" spans="1:61" x14ac:dyDescent="0.2">
      <c r="A265">
        <v>135</v>
      </c>
      <c r="B265">
        <v>31</v>
      </c>
      <c r="C265">
        <f t="shared" si="34"/>
        <v>9031</v>
      </c>
      <c r="D265">
        <f t="shared" si="40"/>
        <v>9031</v>
      </c>
      <c r="E265">
        <v>17</v>
      </c>
      <c r="F265">
        <v>17</v>
      </c>
      <c r="G265" s="6">
        <v>27</v>
      </c>
      <c r="H265">
        <f t="shared" si="36"/>
        <v>1</v>
      </c>
      <c r="I265" s="5" t="s">
        <v>448</v>
      </c>
      <c r="J265" s="5" t="s">
        <v>717</v>
      </c>
      <c r="Q265" t="s">
        <v>620</v>
      </c>
      <c r="R265">
        <v>61</v>
      </c>
      <c r="S265">
        <v>1</v>
      </c>
      <c r="T265" t="str">
        <f t="shared" si="35"/>
        <v>e</v>
      </c>
      <c r="U265" t="s">
        <v>7</v>
      </c>
      <c r="V265" t="s">
        <v>222</v>
      </c>
      <c r="W265" t="s">
        <v>53</v>
      </c>
      <c r="X265" t="s">
        <v>706</v>
      </c>
      <c r="AF265" t="s">
        <v>401</v>
      </c>
      <c r="AM265" t="str">
        <f t="shared" si="38"/>
        <v>Shot</v>
      </c>
      <c r="AN265" t="str">
        <f t="shared" si="39"/>
        <v>Shot_OnNetSaved</v>
      </c>
      <c r="AP265" t="str">
        <f t="shared" si="37"/>
        <v>Offensive</v>
      </c>
      <c r="BB265" s="23"/>
      <c r="BD265" s="21"/>
      <c r="BE265" s="21"/>
      <c r="BF265" s="21"/>
      <c r="BG265" s="21"/>
      <c r="BH265" s="21"/>
      <c r="BI265" s="21"/>
    </row>
    <row r="266" spans="1:61" x14ac:dyDescent="0.2">
      <c r="A266">
        <v>135</v>
      </c>
      <c r="B266">
        <v>31</v>
      </c>
      <c r="C266">
        <f t="shared" si="34"/>
        <v>9031</v>
      </c>
      <c r="D266">
        <f t="shared" si="40"/>
        <v>9031</v>
      </c>
      <c r="E266">
        <v>17</v>
      </c>
      <c r="F266">
        <v>17</v>
      </c>
      <c r="G266" s="6">
        <v>27</v>
      </c>
      <c r="H266">
        <f t="shared" si="36"/>
        <v>1</v>
      </c>
      <c r="R266">
        <v>30</v>
      </c>
      <c r="T266" t="str">
        <f t="shared" si="35"/>
        <v>o</v>
      </c>
      <c r="AM266" t="str">
        <f t="shared" si="38"/>
        <v>Shot</v>
      </c>
      <c r="AN266" t="str">
        <f t="shared" si="39"/>
        <v>Shot_OnNetSaved</v>
      </c>
      <c r="AP266" t="str">
        <f t="shared" si="37"/>
        <v>Defensive</v>
      </c>
      <c r="BB266" s="23"/>
      <c r="BD266" s="21"/>
      <c r="BE266" s="21"/>
      <c r="BF266" s="21"/>
      <c r="BG266" s="21"/>
      <c r="BH266" s="21"/>
      <c r="BI266" s="21"/>
    </row>
    <row r="267" spans="1:61" x14ac:dyDescent="0.2">
      <c r="A267">
        <v>135</v>
      </c>
      <c r="B267">
        <v>31</v>
      </c>
      <c r="C267">
        <f t="shared" si="34"/>
        <v>9031</v>
      </c>
      <c r="D267">
        <f t="shared" si="40"/>
        <v>9031</v>
      </c>
      <c r="E267">
        <v>17</v>
      </c>
      <c r="F267">
        <v>17</v>
      </c>
      <c r="G267" s="6">
        <v>27</v>
      </c>
      <c r="H267">
        <f t="shared" si="36"/>
        <v>1</v>
      </c>
      <c r="R267">
        <v>18</v>
      </c>
      <c r="T267" t="str">
        <f t="shared" si="35"/>
        <v>o</v>
      </c>
      <c r="Y267" t="s">
        <v>722</v>
      </c>
      <c r="AA267" t="s">
        <v>705</v>
      </c>
      <c r="AM267" t="str">
        <f t="shared" si="38"/>
        <v>Shot</v>
      </c>
      <c r="AN267" t="str">
        <f t="shared" si="39"/>
        <v>Shot_OnNetSaved</v>
      </c>
      <c r="AP267" t="str">
        <f t="shared" si="37"/>
        <v>Defensive</v>
      </c>
      <c r="BB267" s="23"/>
      <c r="BD267" s="21"/>
      <c r="BE267" s="21"/>
      <c r="BF267" s="21"/>
      <c r="BG267" s="21"/>
      <c r="BH267" s="21"/>
      <c r="BI267" s="21"/>
    </row>
    <row r="268" spans="1:61" x14ac:dyDescent="0.2">
      <c r="A268">
        <v>136</v>
      </c>
      <c r="B268">
        <v>31</v>
      </c>
      <c r="C268">
        <f t="shared" si="34"/>
        <v>9031</v>
      </c>
      <c r="D268">
        <f t="shared" si="40"/>
        <v>9031</v>
      </c>
      <c r="E268">
        <v>17</v>
      </c>
      <c r="F268">
        <v>17</v>
      </c>
      <c r="G268" s="6">
        <v>27</v>
      </c>
      <c r="H268">
        <f t="shared" si="36"/>
        <v>1</v>
      </c>
      <c r="I268" s="5" t="s">
        <v>448</v>
      </c>
      <c r="J268" s="5" t="s">
        <v>717</v>
      </c>
      <c r="Q268" t="s">
        <v>619</v>
      </c>
      <c r="R268">
        <v>30</v>
      </c>
      <c r="S268">
        <v>1</v>
      </c>
      <c r="T268" t="str">
        <f t="shared" si="35"/>
        <v>e</v>
      </c>
      <c r="U268" t="s">
        <v>17</v>
      </c>
      <c r="V268" t="s">
        <v>196</v>
      </c>
      <c r="W268" t="s">
        <v>98</v>
      </c>
      <c r="AF268" t="s">
        <v>623</v>
      </c>
      <c r="AM268" t="str">
        <f t="shared" si="38"/>
        <v>Save</v>
      </c>
      <c r="AN268" t="str">
        <f t="shared" si="39"/>
        <v>Save_Rebound</v>
      </c>
      <c r="AP268" t="str">
        <f t="shared" si="37"/>
        <v>Defensive</v>
      </c>
      <c r="BB268" s="23"/>
      <c r="BD268" s="21"/>
      <c r="BE268" s="21"/>
      <c r="BF268" s="21"/>
      <c r="BG268" s="21"/>
      <c r="BH268" s="21"/>
      <c r="BI268" s="21"/>
    </row>
    <row r="269" spans="1:61" x14ac:dyDescent="0.2">
      <c r="A269">
        <v>136</v>
      </c>
      <c r="B269">
        <v>31</v>
      </c>
      <c r="C269">
        <f t="shared" si="34"/>
        <v>9031</v>
      </c>
      <c r="D269">
        <f t="shared" si="40"/>
        <v>9031</v>
      </c>
      <c r="E269">
        <v>17</v>
      </c>
      <c r="F269">
        <v>17</v>
      </c>
      <c r="G269" s="6">
        <v>27</v>
      </c>
      <c r="H269">
        <f t="shared" si="36"/>
        <v>1</v>
      </c>
      <c r="R269">
        <v>18</v>
      </c>
      <c r="S269">
        <v>1</v>
      </c>
      <c r="T269" t="str">
        <f t="shared" si="35"/>
        <v>e</v>
      </c>
      <c r="Y269" t="s">
        <v>722</v>
      </c>
      <c r="AA269" t="s">
        <v>705</v>
      </c>
      <c r="AM269" t="str">
        <f t="shared" si="38"/>
        <v>Save</v>
      </c>
      <c r="AN269" t="str">
        <f t="shared" si="39"/>
        <v>Save_Rebound</v>
      </c>
      <c r="AP269" t="str">
        <f t="shared" si="37"/>
        <v>Defensive</v>
      </c>
      <c r="BB269" s="23"/>
      <c r="BD269" s="21"/>
      <c r="BE269" s="21"/>
      <c r="BF269" s="21"/>
      <c r="BG269" s="21"/>
      <c r="BH269" s="21"/>
      <c r="BI269" s="21"/>
    </row>
    <row r="270" spans="1:61" x14ac:dyDescent="0.2">
      <c r="A270">
        <v>136</v>
      </c>
      <c r="B270">
        <v>31</v>
      </c>
      <c r="C270">
        <f t="shared" si="34"/>
        <v>9031</v>
      </c>
      <c r="D270">
        <f t="shared" si="40"/>
        <v>9031</v>
      </c>
      <c r="E270">
        <v>17</v>
      </c>
      <c r="F270">
        <v>17</v>
      </c>
      <c r="G270" s="6">
        <v>27</v>
      </c>
      <c r="H270">
        <f t="shared" si="36"/>
        <v>1</v>
      </c>
      <c r="R270">
        <v>61</v>
      </c>
      <c r="T270" t="str">
        <f t="shared" si="35"/>
        <v>o</v>
      </c>
      <c r="AM270" t="str">
        <f t="shared" si="38"/>
        <v>Save</v>
      </c>
      <c r="AN270" t="str">
        <f t="shared" si="39"/>
        <v>Save_Rebound</v>
      </c>
      <c r="AP270" t="str">
        <f t="shared" si="37"/>
        <v>Offensive</v>
      </c>
      <c r="BB270" s="23"/>
      <c r="BD270" s="21"/>
      <c r="BE270" s="21"/>
      <c r="BF270" s="21"/>
      <c r="BG270" s="21"/>
      <c r="BH270" s="21"/>
      <c r="BI270" s="21"/>
    </row>
    <row r="271" spans="1:61" x14ac:dyDescent="0.2">
      <c r="A271">
        <v>137</v>
      </c>
      <c r="B271">
        <v>31</v>
      </c>
      <c r="C271">
        <f t="shared" si="34"/>
        <v>9031</v>
      </c>
      <c r="D271">
        <f t="shared" si="40"/>
        <v>9031</v>
      </c>
      <c r="E271">
        <v>17</v>
      </c>
      <c r="F271">
        <v>17</v>
      </c>
      <c r="G271" s="6">
        <v>27</v>
      </c>
      <c r="H271">
        <f t="shared" si="36"/>
        <v>1</v>
      </c>
      <c r="I271" s="5" t="s">
        <v>448</v>
      </c>
      <c r="J271" s="5" t="s">
        <v>778</v>
      </c>
      <c r="Q271" t="s">
        <v>619</v>
      </c>
      <c r="R271">
        <v>30</v>
      </c>
      <c r="S271">
        <v>1</v>
      </c>
      <c r="T271" t="str">
        <f t="shared" si="35"/>
        <v>e</v>
      </c>
      <c r="U271" t="s">
        <v>250</v>
      </c>
      <c r="V271" t="s">
        <v>251</v>
      </c>
      <c r="AF271" t="s">
        <v>623</v>
      </c>
      <c r="AM271" t="str">
        <f t="shared" si="38"/>
        <v>Rebound</v>
      </c>
      <c r="AN271" t="str">
        <f t="shared" si="39"/>
        <v>Rebound_TeamRecovered</v>
      </c>
      <c r="AP271" t="str">
        <f t="shared" si="37"/>
        <v>Offensive</v>
      </c>
      <c r="BB271" s="23"/>
      <c r="BD271" s="21"/>
      <c r="BE271" s="21"/>
      <c r="BF271" s="21"/>
      <c r="BG271" s="21"/>
      <c r="BH271" s="21"/>
      <c r="BI271" s="21"/>
    </row>
    <row r="272" spans="1:61" x14ac:dyDescent="0.2">
      <c r="A272">
        <v>138</v>
      </c>
      <c r="B272" t="s">
        <v>887</v>
      </c>
      <c r="C272" t="str">
        <f t="shared" si="34"/>
        <v/>
      </c>
      <c r="D272" t="str">
        <f t="shared" si="40"/>
        <v/>
      </c>
      <c r="G272" s="6">
        <v>27</v>
      </c>
      <c r="H272">
        <f t="shared" si="36"/>
        <v>1</v>
      </c>
      <c r="I272" s="5" t="s">
        <v>448</v>
      </c>
      <c r="J272" s="5" t="s">
        <v>719</v>
      </c>
      <c r="Q272" t="s">
        <v>619</v>
      </c>
      <c r="R272">
        <v>18</v>
      </c>
      <c r="S272">
        <v>1</v>
      </c>
      <c r="T272" t="str">
        <f t="shared" si="35"/>
        <v>e</v>
      </c>
      <c r="U272" t="s">
        <v>15</v>
      </c>
      <c r="V272" t="s">
        <v>697</v>
      </c>
      <c r="X272" t="s">
        <v>706</v>
      </c>
      <c r="Y272" t="s">
        <v>683</v>
      </c>
      <c r="AA272" t="s">
        <v>706</v>
      </c>
      <c r="AF272" t="s">
        <v>623</v>
      </c>
      <c r="AM272" t="str">
        <f t="shared" si="38"/>
        <v>Possession</v>
      </c>
      <c r="AN272" t="str">
        <f t="shared" si="39"/>
        <v>PuckRetrieval</v>
      </c>
      <c r="AP272" t="str">
        <f t="shared" si="37"/>
        <v>Offensive</v>
      </c>
      <c r="BB272" s="23"/>
      <c r="BD272" s="21"/>
      <c r="BE272" s="21"/>
      <c r="BF272" s="21"/>
      <c r="BG272" s="21"/>
      <c r="BH272" s="21"/>
      <c r="BI272" s="21"/>
    </row>
    <row r="273" spans="1:61" x14ac:dyDescent="0.2">
      <c r="A273">
        <v>139</v>
      </c>
      <c r="B273" t="s">
        <v>887</v>
      </c>
      <c r="C273" t="str">
        <f t="shared" si="34"/>
        <v/>
      </c>
      <c r="D273" t="str">
        <f t="shared" si="40"/>
        <v/>
      </c>
      <c r="E273">
        <v>18</v>
      </c>
      <c r="F273">
        <v>18</v>
      </c>
      <c r="G273" s="6">
        <v>27</v>
      </c>
      <c r="H273">
        <f t="shared" si="36"/>
        <v>1</v>
      </c>
      <c r="I273" s="5" t="s">
        <v>448</v>
      </c>
      <c r="J273" s="5" t="s">
        <v>778</v>
      </c>
      <c r="Q273" t="s">
        <v>619</v>
      </c>
      <c r="R273">
        <v>18</v>
      </c>
      <c r="S273">
        <v>1</v>
      </c>
      <c r="T273" t="str">
        <f t="shared" si="35"/>
        <v>e</v>
      </c>
      <c r="U273" t="s">
        <v>8</v>
      </c>
      <c r="V273" t="s">
        <v>189</v>
      </c>
      <c r="W273" t="s">
        <v>71</v>
      </c>
      <c r="X273" t="s">
        <v>706</v>
      </c>
      <c r="AF273" t="s">
        <v>623</v>
      </c>
      <c r="AJ273">
        <v>1</v>
      </c>
      <c r="AM273" t="str">
        <f t="shared" si="38"/>
        <v>Pass</v>
      </c>
      <c r="AN273" t="str">
        <f t="shared" si="39"/>
        <v>Pass_Completed</v>
      </c>
      <c r="AP273" t="str">
        <f t="shared" si="37"/>
        <v>Offensive</v>
      </c>
      <c r="BB273" s="23"/>
      <c r="BD273" s="21"/>
      <c r="BE273" s="21"/>
      <c r="BF273" s="21"/>
      <c r="BG273" s="21"/>
      <c r="BH273" s="21"/>
      <c r="BI273" s="21"/>
    </row>
    <row r="274" spans="1:61" x14ac:dyDescent="0.2">
      <c r="A274">
        <v>139</v>
      </c>
      <c r="B274" t="s">
        <v>887</v>
      </c>
      <c r="C274" t="str">
        <f t="shared" si="34"/>
        <v/>
      </c>
      <c r="D274" t="str">
        <f t="shared" si="40"/>
        <v/>
      </c>
      <c r="E274">
        <v>18</v>
      </c>
      <c r="F274">
        <v>18</v>
      </c>
      <c r="G274" s="6">
        <v>27</v>
      </c>
      <c r="H274">
        <f t="shared" si="36"/>
        <v>1</v>
      </c>
      <c r="R274">
        <v>91</v>
      </c>
      <c r="S274">
        <v>1</v>
      </c>
      <c r="T274" t="str">
        <f t="shared" si="35"/>
        <v>e</v>
      </c>
      <c r="AM274" t="str">
        <f t="shared" si="38"/>
        <v>Pass</v>
      </c>
      <c r="AN274" t="str">
        <f t="shared" si="39"/>
        <v>Pass_Completed</v>
      </c>
      <c r="AP274" t="str">
        <f t="shared" si="37"/>
        <v>Offensive</v>
      </c>
      <c r="BB274" s="23"/>
      <c r="BD274" s="21"/>
      <c r="BE274" s="21"/>
      <c r="BF274" s="21"/>
      <c r="BG274" s="21"/>
      <c r="BH274" s="21"/>
      <c r="BI274" s="21"/>
    </row>
    <row r="275" spans="1:61" x14ac:dyDescent="0.2">
      <c r="A275">
        <v>139</v>
      </c>
      <c r="B275" t="s">
        <v>887</v>
      </c>
      <c r="C275" t="str">
        <f t="shared" si="34"/>
        <v/>
      </c>
      <c r="D275" t="str">
        <f t="shared" si="40"/>
        <v/>
      </c>
      <c r="E275">
        <v>18</v>
      </c>
      <c r="F275">
        <v>18</v>
      </c>
      <c r="G275" s="6">
        <v>27</v>
      </c>
      <c r="H275">
        <f t="shared" si="36"/>
        <v>1</v>
      </c>
      <c r="R275">
        <v>61</v>
      </c>
      <c r="T275" t="str">
        <f t="shared" si="35"/>
        <v>o</v>
      </c>
      <c r="AJ275">
        <v>1</v>
      </c>
      <c r="AM275" t="str">
        <f t="shared" si="38"/>
        <v>Pass</v>
      </c>
      <c r="AN275" t="str">
        <f t="shared" si="39"/>
        <v>Pass_Completed</v>
      </c>
      <c r="AP275" t="str">
        <f t="shared" si="37"/>
        <v>Defensive</v>
      </c>
      <c r="BB275" s="23"/>
      <c r="BD275" s="21"/>
      <c r="BE275" s="21"/>
      <c r="BF275" s="21"/>
      <c r="BG275" s="21"/>
      <c r="BH275" s="21"/>
      <c r="BI275" s="21"/>
    </row>
    <row r="276" spans="1:61" x14ac:dyDescent="0.2">
      <c r="A276">
        <v>140</v>
      </c>
      <c r="B276" t="s">
        <v>887</v>
      </c>
      <c r="C276" t="str">
        <f t="shared" si="34"/>
        <v/>
      </c>
      <c r="D276" t="str">
        <f t="shared" si="40"/>
        <v/>
      </c>
      <c r="E276">
        <v>18</v>
      </c>
      <c r="F276">
        <v>18</v>
      </c>
      <c r="G276" s="6">
        <v>27</v>
      </c>
      <c r="H276">
        <f t="shared" si="36"/>
        <v>1</v>
      </c>
      <c r="I276" s="5" t="s">
        <v>448</v>
      </c>
      <c r="J276" s="5" t="s">
        <v>779</v>
      </c>
      <c r="K276" s="5" t="s">
        <v>448</v>
      </c>
      <c r="L276" s="7" t="s">
        <v>721</v>
      </c>
      <c r="Q276" t="s">
        <v>619</v>
      </c>
      <c r="R276">
        <v>91</v>
      </c>
      <c r="S276">
        <v>1</v>
      </c>
      <c r="T276" t="str">
        <f t="shared" si="35"/>
        <v>e</v>
      </c>
      <c r="U276" t="s">
        <v>15</v>
      </c>
      <c r="AF276" t="s">
        <v>623</v>
      </c>
      <c r="AM276" t="str">
        <f t="shared" si="38"/>
        <v>Possession</v>
      </c>
      <c r="AN276" t="str">
        <f t="shared" si="39"/>
        <v/>
      </c>
      <c r="AP276" t="str">
        <f t="shared" si="37"/>
        <v>Offensive</v>
      </c>
      <c r="BB276" s="23"/>
      <c r="BD276" s="21"/>
      <c r="BE276" s="21"/>
      <c r="BF276" s="21"/>
      <c r="BG276" s="21"/>
      <c r="BH276" s="21"/>
      <c r="BI276" s="21"/>
    </row>
    <row r="277" spans="1:61" x14ac:dyDescent="0.2">
      <c r="A277">
        <v>140</v>
      </c>
      <c r="B277" t="s">
        <v>887</v>
      </c>
      <c r="C277" t="str">
        <f t="shared" si="34"/>
        <v/>
      </c>
      <c r="D277" t="str">
        <f t="shared" si="40"/>
        <v/>
      </c>
      <c r="E277">
        <v>18</v>
      </c>
      <c r="F277">
        <v>18</v>
      </c>
      <c r="G277" s="6">
        <v>27</v>
      </c>
      <c r="H277">
        <f t="shared" si="36"/>
        <v>1</v>
      </c>
      <c r="R277">
        <v>42</v>
      </c>
      <c r="T277" t="str">
        <f t="shared" si="35"/>
        <v>o</v>
      </c>
      <c r="AM277" t="str">
        <f t="shared" si="38"/>
        <v>Possession</v>
      </c>
      <c r="AN277" t="str">
        <f t="shared" si="39"/>
        <v/>
      </c>
      <c r="AP277" t="str">
        <f t="shared" si="37"/>
        <v>Defensive</v>
      </c>
      <c r="BB277" s="23"/>
      <c r="BD277" s="21"/>
      <c r="BE277" s="21"/>
      <c r="BF277" s="21"/>
      <c r="BG277" s="21"/>
      <c r="BH277" s="21"/>
      <c r="BI277" s="21"/>
    </row>
    <row r="278" spans="1:61" x14ac:dyDescent="0.2">
      <c r="A278">
        <v>141</v>
      </c>
      <c r="B278">
        <v>32</v>
      </c>
      <c r="C278">
        <f t="shared" si="34"/>
        <v>9032</v>
      </c>
      <c r="D278">
        <f t="shared" si="40"/>
        <v>9032</v>
      </c>
      <c r="E278">
        <v>18</v>
      </c>
      <c r="F278">
        <v>18</v>
      </c>
      <c r="G278" s="6">
        <v>27</v>
      </c>
      <c r="H278">
        <f t="shared" si="36"/>
        <v>1</v>
      </c>
      <c r="I278" s="5" t="s">
        <v>448</v>
      </c>
      <c r="J278" s="5" t="s">
        <v>721</v>
      </c>
      <c r="Q278" t="s">
        <v>619</v>
      </c>
      <c r="R278">
        <v>91</v>
      </c>
      <c r="S278">
        <v>1</v>
      </c>
      <c r="T278" t="str">
        <f t="shared" si="35"/>
        <v>e</v>
      </c>
      <c r="U278" t="s">
        <v>8</v>
      </c>
      <c r="V278" t="s">
        <v>189</v>
      </c>
      <c r="W278" t="s">
        <v>70</v>
      </c>
      <c r="X278" t="s">
        <v>706</v>
      </c>
      <c r="Y278" t="s">
        <v>678</v>
      </c>
      <c r="AF278" t="s">
        <v>623</v>
      </c>
      <c r="AM278" t="str">
        <f t="shared" si="38"/>
        <v>Pass</v>
      </c>
      <c r="AN278" t="str">
        <f t="shared" si="39"/>
        <v>Pass_Completed</v>
      </c>
      <c r="AP278" t="str">
        <f t="shared" si="37"/>
        <v>Offensive</v>
      </c>
      <c r="BB278" s="23"/>
      <c r="BD278" s="21"/>
      <c r="BE278" s="21"/>
      <c r="BF278" s="21"/>
      <c r="BG278" s="21"/>
      <c r="BH278" s="21"/>
      <c r="BI278" s="21"/>
    </row>
    <row r="279" spans="1:61" x14ac:dyDescent="0.2">
      <c r="A279">
        <v>141</v>
      </c>
      <c r="B279">
        <v>32</v>
      </c>
      <c r="C279">
        <f t="shared" si="34"/>
        <v>9032</v>
      </c>
      <c r="D279">
        <f t="shared" si="40"/>
        <v>9032</v>
      </c>
      <c r="E279">
        <v>18</v>
      </c>
      <c r="F279">
        <v>18</v>
      </c>
      <c r="G279" s="6">
        <v>27</v>
      </c>
      <c r="H279">
        <f t="shared" si="36"/>
        <v>1</v>
      </c>
      <c r="R279">
        <v>56</v>
      </c>
      <c r="S279">
        <v>1</v>
      </c>
      <c r="T279" t="str">
        <f t="shared" si="35"/>
        <v>e</v>
      </c>
      <c r="AM279" t="str">
        <f t="shared" si="38"/>
        <v>Pass</v>
      </c>
      <c r="AN279" t="str">
        <f t="shared" si="39"/>
        <v>Pass_Completed</v>
      </c>
      <c r="AP279" t="str">
        <f t="shared" si="37"/>
        <v>Offensive</v>
      </c>
      <c r="BB279" s="23"/>
      <c r="BD279" s="21"/>
      <c r="BE279" s="21"/>
      <c r="BF279" s="21"/>
      <c r="BG279" s="21"/>
      <c r="BH279" s="21"/>
      <c r="BI279" s="21"/>
    </row>
    <row r="280" spans="1:61" x14ac:dyDescent="0.2">
      <c r="A280">
        <v>141</v>
      </c>
      <c r="B280">
        <v>32</v>
      </c>
      <c r="C280">
        <f t="shared" si="34"/>
        <v>9032</v>
      </c>
      <c r="D280">
        <f t="shared" si="40"/>
        <v>9032</v>
      </c>
      <c r="E280">
        <v>18</v>
      </c>
      <c r="F280">
        <v>18</v>
      </c>
      <c r="G280" s="6">
        <v>27</v>
      </c>
      <c r="H280">
        <f t="shared" si="36"/>
        <v>1</v>
      </c>
      <c r="R280">
        <v>42</v>
      </c>
      <c r="T280" t="str">
        <f t="shared" si="35"/>
        <v>o</v>
      </c>
      <c r="AM280" t="str">
        <f t="shared" si="38"/>
        <v>Pass</v>
      </c>
      <c r="AN280" t="str">
        <f t="shared" si="39"/>
        <v>Pass_Completed</v>
      </c>
      <c r="AP280" t="str">
        <f t="shared" si="37"/>
        <v>Defensive</v>
      </c>
      <c r="BB280" s="23"/>
      <c r="BD280" s="21"/>
      <c r="BE280" s="21"/>
      <c r="BF280" s="21"/>
      <c r="BG280" s="21"/>
      <c r="BH280" s="21"/>
      <c r="BI280" s="21"/>
    </row>
    <row r="281" spans="1:61" x14ac:dyDescent="0.2">
      <c r="A281">
        <v>142</v>
      </c>
      <c r="B281">
        <v>32</v>
      </c>
      <c r="C281">
        <f t="shared" si="34"/>
        <v>9032</v>
      </c>
      <c r="D281">
        <f t="shared" si="40"/>
        <v>9032</v>
      </c>
      <c r="E281">
        <v>18</v>
      </c>
      <c r="F281">
        <v>18</v>
      </c>
      <c r="G281" s="6">
        <v>28</v>
      </c>
      <c r="H281">
        <f t="shared" si="36"/>
        <v>1</v>
      </c>
      <c r="I281" s="5" t="s">
        <v>448</v>
      </c>
      <c r="J281" s="5" t="s">
        <v>721</v>
      </c>
      <c r="Q281" t="s">
        <v>619</v>
      </c>
      <c r="R281">
        <v>91</v>
      </c>
      <c r="S281">
        <v>1</v>
      </c>
      <c r="T281" t="str">
        <f t="shared" si="35"/>
        <v>e</v>
      </c>
      <c r="U281" t="s">
        <v>257</v>
      </c>
      <c r="V281" t="s">
        <v>201</v>
      </c>
      <c r="W281" t="s">
        <v>91</v>
      </c>
      <c r="X281" t="s">
        <v>706</v>
      </c>
      <c r="AF281" t="s">
        <v>623</v>
      </c>
      <c r="AM281" t="str">
        <f t="shared" si="38"/>
        <v>Zone_Entry_Exit</v>
      </c>
      <c r="AN281" t="str">
        <f t="shared" si="39"/>
        <v>Zone_Exit</v>
      </c>
      <c r="AP281" t="str">
        <f t="shared" si="37"/>
        <v>Offensive</v>
      </c>
      <c r="BB281" s="23"/>
      <c r="BD281" s="21"/>
      <c r="BE281" s="21"/>
      <c r="BF281" s="21"/>
      <c r="BG281" s="21"/>
      <c r="BH281" s="21"/>
      <c r="BI281" s="21"/>
    </row>
    <row r="282" spans="1:61" x14ac:dyDescent="0.2">
      <c r="A282">
        <v>142</v>
      </c>
      <c r="B282">
        <v>32</v>
      </c>
      <c r="C282">
        <f t="shared" si="34"/>
        <v>9032</v>
      </c>
      <c r="D282">
        <f t="shared" si="40"/>
        <v>9032</v>
      </c>
      <c r="E282">
        <v>18</v>
      </c>
      <c r="F282">
        <v>18</v>
      </c>
      <c r="G282" s="6">
        <v>28</v>
      </c>
      <c r="H282">
        <f t="shared" si="36"/>
        <v>1</v>
      </c>
      <c r="R282">
        <v>56</v>
      </c>
      <c r="S282">
        <v>1</v>
      </c>
      <c r="T282" t="str">
        <f t="shared" si="35"/>
        <v>e</v>
      </c>
      <c r="AM282" t="str">
        <f t="shared" si="38"/>
        <v>Zone_Entry_Exit</v>
      </c>
      <c r="AN282" t="str">
        <f t="shared" si="39"/>
        <v>Zone_Exit</v>
      </c>
      <c r="AP282" t="str">
        <f t="shared" si="37"/>
        <v>Offensive</v>
      </c>
      <c r="BB282" s="23"/>
      <c r="BD282" s="21"/>
      <c r="BE282" s="21"/>
      <c r="BF282" s="21"/>
      <c r="BG282" s="21"/>
      <c r="BH282" s="21"/>
      <c r="BI282" s="21"/>
    </row>
    <row r="283" spans="1:61" x14ac:dyDescent="0.2">
      <c r="A283">
        <v>142</v>
      </c>
      <c r="B283">
        <v>32</v>
      </c>
      <c r="C283">
        <f t="shared" si="34"/>
        <v>9032</v>
      </c>
      <c r="D283">
        <f t="shared" si="40"/>
        <v>9032</v>
      </c>
      <c r="E283">
        <v>18</v>
      </c>
      <c r="F283">
        <v>18</v>
      </c>
      <c r="G283" s="6">
        <v>28</v>
      </c>
      <c r="H283">
        <f t="shared" si="36"/>
        <v>1</v>
      </c>
      <c r="R283">
        <v>42</v>
      </c>
      <c r="T283" t="str">
        <f t="shared" si="35"/>
        <v>o</v>
      </c>
      <c r="AM283" t="str">
        <f t="shared" si="38"/>
        <v>Zone_Entry_Exit</v>
      </c>
      <c r="AN283" t="str">
        <f t="shared" si="39"/>
        <v>Zone_Exit</v>
      </c>
      <c r="AP283" t="str">
        <f t="shared" si="37"/>
        <v>Defensive</v>
      </c>
      <c r="BB283" s="23"/>
      <c r="BD283" s="21"/>
      <c r="BE283" s="21"/>
      <c r="BF283" s="21"/>
      <c r="BG283" s="21"/>
      <c r="BH283" s="21"/>
      <c r="BI283" s="21"/>
    </row>
    <row r="284" spans="1:61" x14ac:dyDescent="0.2">
      <c r="A284">
        <v>143</v>
      </c>
      <c r="B284" t="s">
        <v>887</v>
      </c>
      <c r="C284" t="str">
        <f t="shared" si="34"/>
        <v/>
      </c>
      <c r="D284" t="str">
        <f t="shared" si="40"/>
        <v/>
      </c>
      <c r="E284">
        <v>18</v>
      </c>
      <c r="G284" s="6">
        <v>28</v>
      </c>
      <c r="H284">
        <f t="shared" si="36"/>
        <v>1</v>
      </c>
      <c r="I284" s="5" t="s">
        <v>448</v>
      </c>
      <c r="J284" s="5" t="s">
        <v>724</v>
      </c>
      <c r="K284" s="5" t="s">
        <v>448</v>
      </c>
      <c r="L284" s="7" t="s">
        <v>780</v>
      </c>
      <c r="Q284" t="s">
        <v>619</v>
      </c>
      <c r="R284">
        <v>56</v>
      </c>
      <c r="S284">
        <v>1</v>
      </c>
      <c r="T284" t="str">
        <f t="shared" si="35"/>
        <v>e</v>
      </c>
      <c r="U284" t="s">
        <v>15</v>
      </c>
      <c r="Y284" t="s">
        <v>677</v>
      </c>
      <c r="AF284" t="s">
        <v>635</v>
      </c>
      <c r="AJ284">
        <v>1</v>
      </c>
      <c r="AM284" t="str">
        <f t="shared" si="38"/>
        <v>Possession</v>
      </c>
      <c r="AN284" t="str">
        <f t="shared" si="39"/>
        <v/>
      </c>
      <c r="AP284" t="str">
        <f t="shared" si="37"/>
        <v>Offensive</v>
      </c>
      <c r="BB284" s="23"/>
      <c r="BD284" s="21"/>
      <c r="BE284" s="21"/>
      <c r="BF284" s="21"/>
      <c r="BG284" s="21"/>
      <c r="BH284" s="21"/>
      <c r="BI284" s="21"/>
    </row>
    <row r="285" spans="1:61" x14ac:dyDescent="0.2">
      <c r="A285">
        <v>143</v>
      </c>
      <c r="B285" t="s">
        <v>887</v>
      </c>
      <c r="C285" t="str">
        <f t="shared" si="34"/>
        <v/>
      </c>
      <c r="D285" t="str">
        <f t="shared" si="40"/>
        <v/>
      </c>
      <c r="E285">
        <v>18</v>
      </c>
      <c r="G285" s="6">
        <v>28</v>
      </c>
      <c r="H285">
        <f t="shared" si="36"/>
        <v>1</v>
      </c>
      <c r="R285">
        <v>22</v>
      </c>
      <c r="T285" t="str">
        <f t="shared" si="35"/>
        <v>o</v>
      </c>
      <c r="Y285" t="s">
        <v>781</v>
      </c>
      <c r="AJ285">
        <v>1</v>
      </c>
      <c r="AM285" t="str">
        <f t="shared" si="38"/>
        <v>Possession</v>
      </c>
      <c r="AN285" t="str">
        <f t="shared" si="39"/>
        <v/>
      </c>
      <c r="AP285" t="str">
        <f t="shared" si="37"/>
        <v>Defensive</v>
      </c>
      <c r="BB285" s="23"/>
      <c r="BD285" s="21"/>
      <c r="BE285" s="21"/>
      <c r="BF285" s="21"/>
      <c r="BG285" s="21"/>
      <c r="BH285" s="21"/>
      <c r="BI285" s="21"/>
    </row>
    <row r="286" spans="1:61" x14ac:dyDescent="0.2">
      <c r="A286">
        <v>144</v>
      </c>
      <c r="B286" t="s">
        <v>887</v>
      </c>
      <c r="C286" t="str">
        <f t="shared" si="34"/>
        <v/>
      </c>
      <c r="D286" t="str">
        <f t="shared" si="40"/>
        <v/>
      </c>
      <c r="E286">
        <v>18</v>
      </c>
      <c r="F286">
        <v>19</v>
      </c>
      <c r="G286" s="6">
        <v>29</v>
      </c>
      <c r="H286">
        <f t="shared" si="36"/>
        <v>1</v>
      </c>
      <c r="I286" s="5" t="s">
        <v>448</v>
      </c>
      <c r="J286" s="5" t="s">
        <v>780</v>
      </c>
      <c r="K286" s="5" t="s">
        <v>448</v>
      </c>
      <c r="L286" s="7" t="s">
        <v>766</v>
      </c>
      <c r="Q286" t="s">
        <v>619</v>
      </c>
      <c r="R286">
        <v>56</v>
      </c>
      <c r="S286">
        <v>1</v>
      </c>
      <c r="T286" t="str">
        <f t="shared" si="35"/>
        <v>e</v>
      </c>
      <c r="U286" t="s">
        <v>257</v>
      </c>
      <c r="V286" t="s">
        <v>191</v>
      </c>
      <c r="W286" t="s">
        <v>87</v>
      </c>
      <c r="X286" t="s">
        <v>706</v>
      </c>
      <c r="Y286" t="s">
        <v>728</v>
      </c>
      <c r="AF286" t="s">
        <v>401</v>
      </c>
      <c r="AJ286">
        <v>1</v>
      </c>
      <c r="AM286" t="str">
        <f t="shared" si="38"/>
        <v>Zone_Entry_Exit</v>
      </c>
      <c r="AN286" t="str">
        <f t="shared" si="39"/>
        <v>Zone_Entry</v>
      </c>
      <c r="AP286" t="str">
        <f t="shared" si="37"/>
        <v>Offensive</v>
      </c>
      <c r="BB286" s="23"/>
      <c r="BD286" s="21"/>
      <c r="BE286" s="21"/>
      <c r="BF286" s="21"/>
      <c r="BG286" s="21"/>
      <c r="BH286" s="21"/>
      <c r="BI286" s="21"/>
    </row>
    <row r="287" spans="1:61" x14ac:dyDescent="0.2">
      <c r="A287">
        <v>144</v>
      </c>
      <c r="B287" t="s">
        <v>887</v>
      </c>
      <c r="C287" t="str">
        <f t="shared" si="34"/>
        <v/>
      </c>
      <c r="D287" t="str">
        <f t="shared" si="40"/>
        <v/>
      </c>
      <c r="E287">
        <v>18</v>
      </c>
      <c r="F287">
        <v>19</v>
      </c>
      <c r="G287" s="6">
        <v>29</v>
      </c>
      <c r="H287">
        <f t="shared" si="36"/>
        <v>1</v>
      </c>
      <c r="R287">
        <v>89</v>
      </c>
      <c r="S287">
        <v>1</v>
      </c>
      <c r="T287" t="str">
        <f t="shared" si="35"/>
        <v>e</v>
      </c>
      <c r="AM287" t="str">
        <f t="shared" si="38"/>
        <v>Zone_Entry_Exit</v>
      </c>
      <c r="AN287" t="str">
        <f t="shared" si="39"/>
        <v>Zone_Entry</v>
      </c>
      <c r="AP287" t="str">
        <f t="shared" si="37"/>
        <v>Offensive</v>
      </c>
      <c r="BB287" s="23"/>
      <c r="BD287" s="21"/>
      <c r="BE287" s="21"/>
      <c r="BF287" s="21"/>
      <c r="BG287" s="21"/>
      <c r="BH287" s="21"/>
      <c r="BI287" s="21"/>
    </row>
    <row r="288" spans="1:61" x14ac:dyDescent="0.2">
      <c r="A288">
        <v>144</v>
      </c>
      <c r="B288" t="s">
        <v>887</v>
      </c>
      <c r="C288" t="str">
        <f t="shared" si="34"/>
        <v/>
      </c>
      <c r="D288" t="str">
        <f t="shared" si="40"/>
        <v/>
      </c>
      <c r="E288">
        <v>18</v>
      </c>
      <c r="F288">
        <v>19</v>
      </c>
      <c r="G288" s="6">
        <v>29</v>
      </c>
      <c r="H288">
        <f t="shared" si="36"/>
        <v>1</v>
      </c>
      <c r="R288">
        <v>84</v>
      </c>
      <c r="T288" t="str">
        <f t="shared" si="35"/>
        <v>o</v>
      </c>
      <c r="Y288" t="s">
        <v>729</v>
      </c>
      <c r="AA288" t="s">
        <v>706</v>
      </c>
      <c r="AJ288">
        <v>1</v>
      </c>
      <c r="AM288" t="str">
        <f t="shared" si="38"/>
        <v>Zone_Entry_Exit</v>
      </c>
      <c r="AN288" t="str">
        <f t="shared" si="39"/>
        <v>Zone_Entry</v>
      </c>
      <c r="AP288" t="str">
        <f t="shared" si="37"/>
        <v>Defensive</v>
      </c>
      <c r="BB288" s="23"/>
      <c r="BD288" s="21"/>
      <c r="BE288" s="21"/>
      <c r="BF288" s="21"/>
      <c r="BG288" s="21"/>
      <c r="BH288" s="21"/>
      <c r="BI288" s="21"/>
    </row>
    <row r="289" spans="1:61" x14ac:dyDescent="0.2">
      <c r="A289">
        <v>145</v>
      </c>
      <c r="B289" t="s">
        <v>887</v>
      </c>
      <c r="C289" t="str">
        <f t="shared" si="34"/>
        <v/>
      </c>
      <c r="D289" t="str">
        <f t="shared" si="40"/>
        <v/>
      </c>
      <c r="E289">
        <v>18</v>
      </c>
      <c r="F289">
        <v>19</v>
      </c>
      <c r="G289" s="6">
        <v>29</v>
      </c>
      <c r="H289">
        <f t="shared" si="36"/>
        <v>1</v>
      </c>
      <c r="I289" s="5" t="s">
        <v>448</v>
      </c>
      <c r="J289" s="5" t="s">
        <v>766</v>
      </c>
      <c r="Q289" t="s">
        <v>619</v>
      </c>
      <c r="R289">
        <v>56</v>
      </c>
      <c r="S289">
        <v>1</v>
      </c>
      <c r="T289" t="str">
        <f t="shared" si="35"/>
        <v>e</v>
      </c>
      <c r="U289" t="s">
        <v>8</v>
      </c>
      <c r="V289" t="s">
        <v>199</v>
      </c>
      <c r="W289" t="s">
        <v>70</v>
      </c>
      <c r="X289" t="s">
        <v>705</v>
      </c>
      <c r="AF289" t="s">
        <v>401</v>
      </c>
      <c r="AJ289">
        <v>1</v>
      </c>
      <c r="AM289" t="str">
        <f t="shared" si="38"/>
        <v>Pass</v>
      </c>
      <c r="AN289" t="str">
        <f t="shared" si="39"/>
        <v>Pass_Missed</v>
      </c>
      <c r="AP289" t="str">
        <f t="shared" si="37"/>
        <v>Offensive</v>
      </c>
      <c r="BB289" s="23"/>
      <c r="BD289" s="21"/>
      <c r="BE289" s="21"/>
      <c r="BF289" s="21"/>
      <c r="BG289" s="21"/>
      <c r="BH289" s="21"/>
      <c r="BI289" s="21"/>
    </row>
    <row r="290" spans="1:61" x14ac:dyDescent="0.2">
      <c r="A290">
        <v>145</v>
      </c>
      <c r="B290" t="s">
        <v>887</v>
      </c>
      <c r="C290" t="str">
        <f t="shared" si="34"/>
        <v/>
      </c>
      <c r="D290" t="str">
        <f t="shared" si="40"/>
        <v/>
      </c>
      <c r="E290">
        <v>18</v>
      </c>
      <c r="F290">
        <v>19</v>
      </c>
      <c r="G290" s="6">
        <v>29</v>
      </c>
      <c r="H290">
        <f t="shared" si="36"/>
        <v>1</v>
      </c>
      <c r="R290">
        <v>89</v>
      </c>
      <c r="S290">
        <v>1</v>
      </c>
      <c r="T290" t="str">
        <f t="shared" si="35"/>
        <v>e</v>
      </c>
      <c r="AM290" t="str">
        <f t="shared" si="38"/>
        <v>Pass</v>
      </c>
      <c r="AN290" t="str">
        <f t="shared" si="39"/>
        <v>Pass_Missed</v>
      </c>
      <c r="AP290" t="str">
        <f t="shared" si="37"/>
        <v>Offensive</v>
      </c>
      <c r="BB290" s="23"/>
      <c r="BD290" s="21"/>
      <c r="BE290" s="21"/>
      <c r="BF290" s="21"/>
      <c r="BG290" s="21"/>
      <c r="BH290" s="21"/>
      <c r="BI290" s="21"/>
    </row>
    <row r="291" spans="1:61" x14ac:dyDescent="0.2">
      <c r="A291">
        <v>145</v>
      </c>
      <c r="B291" t="s">
        <v>887</v>
      </c>
      <c r="C291" t="str">
        <f t="shared" si="34"/>
        <v/>
      </c>
      <c r="D291" t="str">
        <f t="shared" si="40"/>
        <v/>
      </c>
      <c r="E291">
        <v>18</v>
      </c>
      <c r="F291">
        <v>19</v>
      </c>
      <c r="G291" s="6">
        <v>29</v>
      </c>
      <c r="H291">
        <f t="shared" si="36"/>
        <v>1</v>
      </c>
      <c r="R291">
        <v>84</v>
      </c>
      <c r="T291" t="str">
        <f t="shared" si="35"/>
        <v>o</v>
      </c>
      <c r="Y291" t="s">
        <v>715</v>
      </c>
      <c r="AJ291">
        <v>1</v>
      </c>
      <c r="AM291" t="str">
        <f t="shared" si="38"/>
        <v>Pass</v>
      </c>
      <c r="AN291" t="str">
        <f t="shared" si="39"/>
        <v>Pass_Missed</v>
      </c>
      <c r="AP291" t="str">
        <f t="shared" si="37"/>
        <v>Defensive</v>
      </c>
      <c r="BB291" s="23"/>
      <c r="BD291" s="21"/>
      <c r="BE291" s="21"/>
      <c r="BF291" s="21"/>
      <c r="BG291" s="21"/>
      <c r="BH291" s="21"/>
      <c r="BI291" s="21"/>
    </row>
    <row r="292" spans="1:61" x14ac:dyDescent="0.2">
      <c r="A292">
        <v>145</v>
      </c>
      <c r="B292" t="s">
        <v>887</v>
      </c>
      <c r="C292" t="str">
        <f t="shared" si="34"/>
        <v/>
      </c>
      <c r="D292" t="str">
        <f t="shared" si="40"/>
        <v/>
      </c>
      <c r="E292">
        <v>18</v>
      </c>
      <c r="F292">
        <v>19</v>
      </c>
      <c r="G292" s="6">
        <v>29</v>
      </c>
      <c r="H292">
        <f t="shared" si="36"/>
        <v>1</v>
      </c>
      <c r="R292">
        <v>22</v>
      </c>
      <c r="T292" t="str">
        <f t="shared" si="35"/>
        <v>o</v>
      </c>
      <c r="Y292" t="s">
        <v>722</v>
      </c>
      <c r="AM292" t="str">
        <f t="shared" si="38"/>
        <v>Pass</v>
      </c>
      <c r="AN292" t="str">
        <f t="shared" si="39"/>
        <v>Pass_Missed</v>
      </c>
      <c r="AP292" t="str">
        <f t="shared" si="37"/>
        <v>Defensive</v>
      </c>
      <c r="BB292" s="23"/>
      <c r="BD292" s="21"/>
      <c r="BE292" s="21"/>
      <c r="BF292" s="21"/>
      <c r="BG292" s="21"/>
      <c r="BH292" s="21"/>
      <c r="BI292" s="21"/>
    </row>
    <row r="293" spans="1:61" x14ac:dyDescent="0.2">
      <c r="A293">
        <v>146</v>
      </c>
      <c r="B293" t="s">
        <v>887</v>
      </c>
      <c r="C293" t="str">
        <f t="shared" si="34"/>
        <v/>
      </c>
      <c r="D293" t="str">
        <f t="shared" si="40"/>
        <v/>
      </c>
      <c r="E293">
        <v>19</v>
      </c>
      <c r="G293" s="6">
        <v>29</v>
      </c>
      <c r="H293">
        <f t="shared" si="36"/>
        <v>1</v>
      </c>
      <c r="I293" s="5" t="s">
        <v>448</v>
      </c>
      <c r="J293" s="5" t="s">
        <v>760</v>
      </c>
      <c r="Q293" t="s">
        <v>620</v>
      </c>
      <c r="R293">
        <v>61</v>
      </c>
      <c r="S293">
        <v>1</v>
      </c>
      <c r="T293" t="str">
        <f t="shared" si="35"/>
        <v>e</v>
      </c>
      <c r="U293" t="s">
        <v>15</v>
      </c>
      <c r="V293" t="s">
        <v>697</v>
      </c>
      <c r="X293" t="s">
        <v>706</v>
      </c>
      <c r="Y293" t="s">
        <v>725</v>
      </c>
      <c r="AF293" t="s">
        <v>623</v>
      </c>
      <c r="AM293" t="str">
        <f t="shared" si="38"/>
        <v>Possession</v>
      </c>
      <c r="AN293" t="str">
        <f t="shared" si="39"/>
        <v>PuckRetrieval</v>
      </c>
      <c r="AP293" t="str">
        <f t="shared" si="37"/>
        <v>Offensive</v>
      </c>
      <c r="BB293" s="23"/>
      <c r="BD293" s="21"/>
      <c r="BE293" s="21"/>
      <c r="BF293" s="21"/>
      <c r="BG293" s="21"/>
      <c r="BH293" s="21"/>
      <c r="BI293" s="21"/>
    </row>
    <row r="294" spans="1:61" x14ac:dyDescent="0.2">
      <c r="A294">
        <v>147</v>
      </c>
      <c r="B294" t="s">
        <v>887</v>
      </c>
      <c r="C294" t="str">
        <f t="shared" si="34"/>
        <v/>
      </c>
      <c r="D294" t="str">
        <f t="shared" si="40"/>
        <v/>
      </c>
      <c r="E294">
        <v>19</v>
      </c>
      <c r="G294" s="6">
        <v>29</v>
      </c>
      <c r="H294">
        <f t="shared" si="36"/>
        <v>1</v>
      </c>
      <c r="I294" s="5" t="s">
        <v>448</v>
      </c>
      <c r="J294" s="5" t="s">
        <v>760</v>
      </c>
      <c r="Q294" t="s">
        <v>620</v>
      </c>
      <c r="R294">
        <v>61</v>
      </c>
      <c r="S294">
        <v>1</v>
      </c>
      <c r="T294" t="str">
        <f t="shared" si="35"/>
        <v>e</v>
      </c>
      <c r="U294" t="s">
        <v>10</v>
      </c>
      <c r="V294" t="s">
        <v>190</v>
      </c>
      <c r="W294" t="s">
        <v>398</v>
      </c>
      <c r="Y294" t="s">
        <v>746</v>
      </c>
      <c r="AA294" t="s">
        <v>705</v>
      </c>
      <c r="AF294" t="s">
        <v>623</v>
      </c>
      <c r="AM294" t="str">
        <f t="shared" si="38"/>
        <v>Turnover</v>
      </c>
      <c r="AN294" t="str">
        <f t="shared" si="39"/>
        <v>Turnover_Giveaway</v>
      </c>
      <c r="AP294" t="str">
        <f t="shared" si="37"/>
        <v>Offensive</v>
      </c>
      <c r="BB294" s="23"/>
      <c r="BD294" s="21"/>
      <c r="BE294" s="21"/>
      <c r="BF294" s="21"/>
      <c r="BG294" s="21"/>
      <c r="BH294" s="21"/>
      <c r="BI294" s="21"/>
    </row>
    <row r="295" spans="1:61" x14ac:dyDescent="0.2">
      <c r="A295">
        <v>148</v>
      </c>
      <c r="B295">
        <v>33</v>
      </c>
      <c r="C295">
        <f t="shared" si="34"/>
        <v>9033</v>
      </c>
      <c r="D295">
        <f t="shared" si="40"/>
        <v>9033</v>
      </c>
      <c r="E295">
        <v>19</v>
      </c>
      <c r="G295" s="6">
        <v>29</v>
      </c>
      <c r="H295">
        <f t="shared" si="36"/>
        <v>1</v>
      </c>
      <c r="I295" s="5" t="s">
        <v>448</v>
      </c>
      <c r="J295" s="5" t="s">
        <v>760</v>
      </c>
      <c r="Q295" t="s">
        <v>619</v>
      </c>
      <c r="R295">
        <v>4</v>
      </c>
      <c r="S295">
        <v>1</v>
      </c>
      <c r="T295" t="str">
        <f t="shared" si="35"/>
        <v>e</v>
      </c>
      <c r="U295" t="s">
        <v>15</v>
      </c>
      <c r="V295" t="s">
        <v>697</v>
      </c>
      <c r="X295" t="s">
        <v>706</v>
      </c>
      <c r="Y295" t="s">
        <v>712</v>
      </c>
      <c r="AA295" t="s">
        <v>706</v>
      </c>
      <c r="AF295" t="s">
        <v>401</v>
      </c>
      <c r="AM295" t="str">
        <f t="shared" si="38"/>
        <v>Possession</v>
      </c>
      <c r="AN295" t="str">
        <f t="shared" si="39"/>
        <v>PuckRetrieval</v>
      </c>
      <c r="AP295" t="str">
        <f t="shared" si="37"/>
        <v>Offensive</v>
      </c>
      <c r="BB295" s="23"/>
      <c r="BD295" s="21"/>
      <c r="BE295" s="21"/>
      <c r="BF295" s="21"/>
      <c r="BG295" s="21"/>
      <c r="BH295" s="21"/>
      <c r="BI295" s="21"/>
    </row>
    <row r="296" spans="1:61" x14ac:dyDescent="0.2">
      <c r="A296">
        <v>149</v>
      </c>
      <c r="B296">
        <v>33</v>
      </c>
      <c r="C296">
        <f t="shared" si="34"/>
        <v>9033</v>
      </c>
      <c r="D296">
        <f t="shared" si="40"/>
        <v>9033</v>
      </c>
      <c r="E296">
        <v>19</v>
      </c>
      <c r="G296" s="6">
        <v>29</v>
      </c>
      <c r="H296">
        <f t="shared" si="36"/>
        <v>1</v>
      </c>
      <c r="I296" s="5" t="s">
        <v>448</v>
      </c>
      <c r="J296" s="5" t="s">
        <v>760</v>
      </c>
      <c r="Q296" t="s">
        <v>619</v>
      </c>
      <c r="R296">
        <v>4</v>
      </c>
      <c r="S296">
        <v>1</v>
      </c>
      <c r="T296" t="str">
        <f t="shared" si="35"/>
        <v>e</v>
      </c>
      <c r="U296" t="s">
        <v>257</v>
      </c>
      <c r="V296" t="s">
        <v>210</v>
      </c>
      <c r="W296" t="s">
        <v>93</v>
      </c>
      <c r="X296" t="s">
        <v>706</v>
      </c>
      <c r="AF296" t="s">
        <v>401</v>
      </c>
      <c r="AM296" t="str">
        <f t="shared" si="38"/>
        <v>Zone_Entry_Exit</v>
      </c>
      <c r="AN296" t="str">
        <f t="shared" si="39"/>
        <v>Zone_Keepin</v>
      </c>
      <c r="AP296" t="str">
        <f t="shared" si="37"/>
        <v>Offensive</v>
      </c>
      <c r="BB296" s="23"/>
      <c r="BD296" s="21"/>
      <c r="BE296" s="21"/>
      <c r="BF296" s="21"/>
      <c r="BG296" s="21"/>
      <c r="BH296" s="21"/>
      <c r="BI296" s="21"/>
    </row>
    <row r="297" spans="1:61" x14ac:dyDescent="0.2">
      <c r="A297">
        <v>150</v>
      </c>
      <c r="B297" t="s">
        <v>887</v>
      </c>
      <c r="C297" t="str">
        <f t="shared" si="34"/>
        <v/>
      </c>
      <c r="D297" t="str">
        <f t="shared" si="40"/>
        <v/>
      </c>
      <c r="E297">
        <v>19</v>
      </c>
      <c r="G297" s="6">
        <v>29</v>
      </c>
      <c r="H297">
        <f t="shared" si="36"/>
        <v>1</v>
      </c>
      <c r="I297" s="5" t="s">
        <v>448</v>
      </c>
      <c r="J297" s="5" t="s">
        <v>760</v>
      </c>
      <c r="K297" s="5" t="s">
        <v>448</v>
      </c>
      <c r="L297" s="7" t="s">
        <v>782</v>
      </c>
      <c r="Q297" t="s">
        <v>619</v>
      </c>
      <c r="R297">
        <v>4</v>
      </c>
      <c r="S297">
        <v>1</v>
      </c>
      <c r="T297" t="str">
        <f t="shared" si="35"/>
        <v>e</v>
      </c>
      <c r="U297" t="s">
        <v>15</v>
      </c>
      <c r="AF297" t="s">
        <v>401</v>
      </c>
      <c r="AM297" t="str">
        <f t="shared" si="38"/>
        <v>Possession</v>
      </c>
      <c r="AN297" t="str">
        <f t="shared" si="39"/>
        <v/>
      </c>
      <c r="AP297" t="str">
        <f t="shared" si="37"/>
        <v>Offensive</v>
      </c>
      <c r="BB297" s="23"/>
      <c r="BD297" s="21"/>
      <c r="BE297" s="21"/>
      <c r="BF297" s="21"/>
      <c r="BG297" s="21"/>
      <c r="BH297" s="21"/>
      <c r="BI297" s="21"/>
    </row>
    <row r="298" spans="1:61" x14ac:dyDescent="0.2">
      <c r="A298">
        <v>151</v>
      </c>
      <c r="B298" t="s">
        <v>887</v>
      </c>
      <c r="C298" t="str">
        <f t="shared" si="34"/>
        <v/>
      </c>
      <c r="D298" t="str">
        <f t="shared" si="40"/>
        <v/>
      </c>
      <c r="E298">
        <v>19</v>
      </c>
      <c r="G298" s="6">
        <v>29</v>
      </c>
      <c r="H298">
        <f t="shared" si="36"/>
        <v>1</v>
      </c>
      <c r="Q298" t="s">
        <v>619</v>
      </c>
      <c r="R298">
        <v>4</v>
      </c>
      <c r="S298">
        <v>1</v>
      </c>
      <c r="T298" t="str">
        <f t="shared" si="35"/>
        <v>e</v>
      </c>
      <c r="U298" t="s">
        <v>7</v>
      </c>
      <c r="V298" t="s">
        <v>198</v>
      </c>
      <c r="W298" t="s">
        <v>53</v>
      </c>
      <c r="X298" t="s">
        <v>705</v>
      </c>
      <c r="AF298" t="s">
        <v>401</v>
      </c>
      <c r="AM298" t="str">
        <f t="shared" si="38"/>
        <v>Shot</v>
      </c>
      <c r="AN298" t="str">
        <f t="shared" si="39"/>
        <v>Shot_Missed</v>
      </c>
      <c r="AP298" t="str">
        <f t="shared" si="37"/>
        <v>Offensive</v>
      </c>
      <c r="BB298" s="23"/>
      <c r="BD298" s="21"/>
      <c r="BE298" s="21"/>
      <c r="BF298" s="21"/>
      <c r="BG298" s="21"/>
      <c r="BH298" s="21"/>
      <c r="BI298" s="21"/>
    </row>
    <row r="299" spans="1:61" x14ac:dyDescent="0.2">
      <c r="A299">
        <v>151</v>
      </c>
      <c r="B299" t="s">
        <v>887</v>
      </c>
      <c r="C299" t="str">
        <f t="shared" si="34"/>
        <v/>
      </c>
      <c r="D299" t="str">
        <f t="shared" si="40"/>
        <v/>
      </c>
      <c r="E299">
        <v>19</v>
      </c>
      <c r="G299" s="6">
        <v>29</v>
      </c>
      <c r="H299">
        <f t="shared" si="36"/>
        <v>1</v>
      </c>
      <c r="R299">
        <v>89</v>
      </c>
      <c r="S299">
        <v>1</v>
      </c>
      <c r="T299" t="str">
        <f t="shared" si="35"/>
        <v>e</v>
      </c>
      <c r="AM299" t="str">
        <f t="shared" si="38"/>
        <v>Shot</v>
      </c>
      <c r="AN299" t="str">
        <f t="shared" si="39"/>
        <v>Shot_Missed</v>
      </c>
      <c r="AP299" t="str">
        <f t="shared" si="37"/>
        <v>Offensive</v>
      </c>
      <c r="BB299" s="23"/>
      <c r="BD299" s="21"/>
      <c r="BE299" s="21"/>
      <c r="BF299" s="21"/>
      <c r="BG299" s="21"/>
      <c r="BH299" s="21"/>
      <c r="BI299" s="21"/>
    </row>
    <row r="300" spans="1:61" x14ac:dyDescent="0.2">
      <c r="A300">
        <v>151</v>
      </c>
      <c r="B300" t="s">
        <v>887</v>
      </c>
      <c r="C300" t="str">
        <f t="shared" si="34"/>
        <v/>
      </c>
      <c r="D300" t="str">
        <f t="shared" si="40"/>
        <v/>
      </c>
      <c r="E300">
        <v>19</v>
      </c>
      <c r="G300" s="6">
        <v>29</v>
      </c>
      <c r="H300">
        <f t="shared" si="36"/>
        <v>1</v>
      </c>
      <c r="R300">
        <v>14</v>
      </c>
      <c r="T300" t="str">
        <f t="shared" si="35"/>
        <v>o</v>
      </c>
      <c r="Y300" t="s">
        <v>722</v>
      </c>
      <c r="AM300" t="str">
        <f t="shared" si="38"/>
        <v>Shot</v>
      </c>
      <c r="AN300" t="str">
        <f t="shared" si="39"/>
        <v>Shot_Missed</v>
      </c>
      <c r="AP300" t="str">
        <f t="shared" si="37"/>
        <v>Defensive</v>
      </c>
      <c r="BB300" s="23"/>
      <c r="BD300" s="21"/>
      <c r="BE300" s="21"/>
      <c r="BF300" s="21"/>
      <c r="BG300" s="21"/>
      <c r="BH300" s="21"/>
      <c r="BI300" s="21"/>
    </row>
    <row r="301" spans="1:61" x14ac:dyDescent="0.2">
      <c r="A301">
        <v>152</v>
      </c>
      <c r="B301" t="s">
        <v>887</v>
      </c>
      <c r="C301" t="str">
        <f t="shared" si="34"/>
        <v/>
      </c>
      <c r="D301" t="str">
        <f t="shared" si="40"/>
        <v/>
      </c>
      <c r="E301">
        <v>19</v>
      </c>
      <c r="G301" s="6">
        <v>29</v>
      </c>
      <c r="H301">
        <f t="shared" si="36"/>
        <v>1</v>
      </c>
      <c r="I301" s="5" t="s">
        <v>448</v>
      </c>
      <c r="J301" s="5" t="s">
        <v>768</v>
      </c>
      <c r="Q301" t="s">
        <v>619</v>
      </c>
      <c r="R301">
        <v>56</v>
      </c>
      <c r="S301">
        <v>1</v>
      </c>
      <c r="T301" t="str">
        <f t="shared" si="35"/>
        <v>e</v>
      </c>
      <c r="U301" t="s">
        <v>15</v>
      </c>
      <c r="V301" t="s">
        <v>698</v>
      </c>
      <c r="X301" t="s">
        <v>706</v>
      </c>
      <c r="Y301" t="s">
        <v>739</v>
      </c>
      <c r="AA301" t="s">
        <v>706</v>
      </c>
      <c r="AF301" t="s">
        <v>401</v>
      </c>
      <c r="AJ301">
        <v>1</v>
      </c>
      <c r="AM301" t="str">
        <f t="shared" si="38"/>
        <v>Possession</v>
      </c>
      <c r="AN301" t="str">
        <f t="shared" si="39"/>
        <v>PuckRecovery</v>
      </c>
      <c r="AP301" t="str">
        <f t="shared" si="37"/>
        <v>Offensive</v>
      </c>
      <c r="BB301" s="23"/>
      <c r="BD301" s="21"/>
      <c r="BE301" s="21"/>
      <c r="BF301" s="21"/>
      <c r="BG301" s="21"/>
      <c r="BH301" s="21"/>
      <c r="BI301" s="21"/>
    </row>
    <row r="302" spans="1:61" x14ac:dyDescent="0.2">
      <c r="A302">
        <v>152</v>
      </c>
      <c r="B302" t="s">
        <v>887</v>
      </c>
      <c r="C302" t="str">
        <f t="shared" si="34"/>
        <v/>
      </c>
      <c r="D302" t="str">
        <f t="shared" si="40"/>
        <v/>
      </c>
      <c r="E302">
        <v>19</v>
      </c>
      <c r="G302" s="6">
        <v>29</v>
      </c>
      <c r="H302">
        <f t="shared" si="36"/>
        <v>1</v>
      </c>
      <c r="R302">
        <v>84</v>
      </c>
      <c r="T302" t="str">
        <f t="shared" si="35"/>
        <v>o</v>
      </c>
      <c r="Y302" t="s">
        <v>783</v>
      </c>
      <c r="AA302" t="s">
        <v>705</v>
      </c>
      <c r="AJ302">
        <v>1</v>
      </c>
      <c r="AM302" t="str">
        <f t="shared" si="38"/>
        <v>Possession</v>
      </c>
      <c r="AN302" t="str">
        <f t="shared" si="39"/>
        <v>PuckRecovery</v>
      </c>
      <c r="AP302" t="str">
        <f t="shared" si="37"/>
        <v>Defensive</v>
      </c>
      <c r="BB302" s="23"/>
      <c r="BD302" s="21"/>
      <c r="BE302" s="21"/>
      <c r="BF302" s="21"/>
      <c r="BG302" s="21"/>
      <c r="BH302" s="21"/>
      <c r="BI302" s="21"/>
    </row>
    <row r="303" spans="1:61" x14ac:dyDescent="0.2">
      <c r="A303">
        <v>153</v>
      </c>
      <c r="B303">
        <v>34</v>
      </c>
      <c r="C303">
        <f t="shared" si="34"/>
        <v>9034</v>
      </c>
      <c r="D303">
        <f t="shared" si="40"/>
        <v>9034</v>
      </c>
      <c r="E303">
        <v>19</v>
      </c>
      <c r="G303" s="6">
        <v>29</v>
      </c>
      <c r="H303">
        <f t="shared" si="36"/>
        <v>1</v>
      </c>
      <c r="I303" s="5" t="s">
        <v>448</v>
      </c>
      <c r="J303" s="5" t="s">
        <v>733</v>
      </c>
      <c r="Q303" t="s">
        <v>619</v>
      </c>
      <c r="R303">
        <v>91</v>
      </c>
      <c r="S303">
        <v>1</v>
      </c>
      <c r="T303" t="str">
        <f t="shared" si="35"/>
        <v>e</v>
      </c>
      <c r="U303" t="s">
        <v>8</v>
      </c>
      <c r="V303" t="s">
        <v>216</v>
      </c>
      <c r="W303" t="s">
        <v>70</v>
      </c>
      <c r="X303" t="s">
        <v>705</v>
      </c>
      <c r="AF303" t="s">
        <v>401</v>
      </c>
      <c r="AM303" t="str">
        <f t="shared" si="38"/>
        <v>Pass</v>
      </c>
      <c r="AN303" t="str">
        <f t="shared" si="39"/>
        <v>Pass_Intercepted</v>
      </c>
      <c r="AP303" t="str">
        <f t="shared" si="37"/>
        <v>Offensive</v>
      </c>
      <c r="BB303" s="23"/>
      <c r="BD303" s="21"/>
      <c r="BE303" s="21"/>
      <c r="BF303" s="21"/>
      <c r="BG303" s="21"/>
      <c r="BH303" s="21"/>
      <c r="BI303" s="21"/>
    </row>
    <row r="304" spans="1:61" x14ac:dyDescent="0.2">
      <c r="A304">
        <v>153</v>
      </c>
      <c r="B304">
        <v>34</v>
      </c>
      <c r="C304">
        <f t="shared" si="34"/>
        <v>9034</v>
      </c>
      <c r="D304">
        <f t="shared" si="40"/>
        <v>9034</v>
      </c>
      <c r="E304">
        <v>19</v>
      </c>
      <c r="G304" s="6">
        <v>29</v>
      </c>
      <c r="H304">
        <f t="shared" si="36"/>
        <v>1</v>
      </c>
      <c r="R304">
        <v>89</v>
      </c>
      <c r="S304">
        <v>1</v>
      </c>
      <c r="T304" t="str">
        <f t="shared" si="35"/>
        <v>e</v>
      </c>
      <c r="AJ304">
        <v>1</v>
      </c>
      <c r="AM304" t="str">
        <f t="shared" si="38"/>
        <v>Pass</v>
      </c>
      <c r="AN304" t="str">
        <f t="shared" si="39"/>
        <v>Pass_Intercepted</v>
      </c>
      <c r="AP304" t="str">
        <f t="shared" si="37"/>
        <v>Offensive</v>
      </c>
      <c r="BB304" s="23"/>
      <c r="BD304" s="21"/>
      <c r="BE304" s="21"/>
      <c r="BF304" s="21"/>
      <c r="BG304" s="21"/>
      <c r="BH304" s="21"/>
      <c r="BI304" s="21"/>
    </row>
    <row r="305" spans="1:61" x14ac:dyDescent="0.2">
      <c r="A305">
        <v>153</v>
      </c>
      <c r="B305">
        <v>34</v>
      </c>
      <c r="C305">
        <f t="shared" si="34"/>
        <v>9034</v>
      </c>
      <c r="D305">
        <f t="shared" si="40"/>
        <v>9034</v>
      </c>
      <c r="E305">
        <v>19</v>
      </c>
      <c r="G305" s="6">
        <v>29</v>
      </c>
      <c r="H305">
        <f t="shared" si="36"/>
        <v>1</v>
      </c>
      <c r="R305">
        <v>22</v>
      </c>
      <c r="T305" t="str">
        <f t="shared" si="35"/>
        <v>o</v>
      </c>
      <c r="Y305" t="s">
        <v>722</v>
      </c>
      <c r="AA305" t="s">
        <v>706</v>
      </c>
      <c r="AJ305">
        <v>1</v>
      </c>
      <c r="AM305" t="str">
        <f t="shared" si="38"/>
        <v>Pass</v>
      </c>
      <c r="AN305" t="str">
        <f t="shared" si="39"/>
        <v>Pass_Intercepted</v>
      </c>
      <c r="AP305" t="str">
        <f t="shared" si="37"/>
        <v>Defensive</v>
      </c>
      <c r="BB305" s="23"/>
      <c r="BD305" s="21"/>
      <c r="BE305" s="21"/>
      <c r="BF305" s="21"/>
      <c r="BG305" s="21"/>
      <c r="BH305" s="21"/>
      <c r="BI305" s="21"/>
    </row>
    <row r="306" spans="1:61" x14ac:dyDescent="0.2">
      <c r="A306">
        <v>154</v>
      </c>
      <c r="B306">
        <v>34</v>
      </c>
      <c r="C306">
        <f t="shared" si="34"/>
        <v>9034</v>
      </c>
      <c r="D306">
        <f t="shared" si="40"/>
        <v>9034</v>
      </c>
      <c r="E306">
        <v>19</v>
      </c>
      <c r="G306" s="6">
        <v>29</v>
      </c>
      <c r="H306">
        <f t="shared" si="36"/>
        <v>1</v>
      </c>
      <c r="I306" s="5" t="s">
        <v>448</v>
      </c>
      <c r="J306" s="5" t="s">
        <v>733</v>
      </c>
      <c r="Q306" t="s">
        <v>619</v>
      </c>
      <c r="R306">
        <v>91</v>
      </c>
      <c r="S306">
        <v>1</v>
      </c>
      <c r="T306" t="str">
        <f t="shared" si="35"/>
        <v>e</v>
      </c>
      <c r="U306" t="s">
        <v>10</v>
      </c>
      <c r="V306" t="s">
        <v>190</v>
      </c>
      <c r="W306" t="s">
        <v>75</v>
      </c>
      <c r="AF306" t="s">
        <v>401</v>
      </c>
      <c r="AM306" t="str">
        <f t="shared" si="38"/>
        <v>Turnover</v>
      </c>
      <c r="AN306" t="str">
        <f t="shared" si="39"/>
        <v>Turnover_Giveaway</v>
      </c>
      <c r="AP306" t="str">
        <f t="shared" si="37"/>
        <v>Offensive</v>
      </c>
      <c r="BB306" s="23"/>
      <c r="BD306" s="21"/>
      <c r="BE306" s="21"/>
      <c r="BF306" s="21"/>
      <c r="BG306" s="21"/>
      <c r="BH306" s="21"/>
      <c r="BI306" s="21"/>
    </row>
    <row r="307" spans="1:61" x14ac:dyDescent="0.2">
      <c r="A307">
        <v>154</v>
      </c>
      <c r="B307">
        <v>34</v>
      </c>
      <c r="C307">
        <f t="shared" si="34"/>
        <v>9034</v>
      </c>
      <c r="D307">
        <f t="shared" si="40"/>
        <v>9034</v>
      </c>
      <c r="E307">
        <v>19</v>
      </c>
      <c r="G307" s="6">
        <v>29</v>
      </c>
      <c r="H307">
        <f t="shared" si="36"/>
        <v>1</v>
      </c>
      <c r="R307">
        <v>22</v>
      </c>
      <c r="T307" t="str">
        <f t="shared" si="35"/>
        <v>o</v>
      </c>
      <c r="AM307" t="str">
        <f t="shared" si="38"/>
        <v>Turnover</v>
      </c>
      <c r="AN307" t="str">
        <f t="shared" si="39"/>
        <v>Turnover_Giveaway</v>
      </c>
      <c r="AP307" t="str">
        <f t="shared" si="37"/>
        <v>Defensive</v>
      </c>
      <c r="BB307" s="23"/>
      <c r="BD307" s="21"/>
      <c r="BE307" s="21"/>
      <c r="BF307" s="21"/>
      <c r="BG307" s="21"/>
      <c r="BH307" s="21"/>
      <c r="BI307" s="21"/>
    </row>
    <row r="308" spans="1:61" x14ac:dyDescent="0.2">
      <c r="A308">
        <v>155</v>
      </c>
      <c r="B308" t="s">
        <v>887</v>
      </c>
      <c r="C308" t="str">
        <f t="shared" si="34"/>
        <v/>
      </c>
      <c r="D308" t="str">
        <f t="shared" si="40"/>
        <v/>
      </c>
      <c r="E308">
        <v>19</v>
      </c>
      <c r="G308" s="6">
        <v>29</v>
      </c>
      <c r="H308">
        <f t="shared" si="36"/>
        <v>1</v>
      </c>
      <c r="I308" s="5" t="s">
        <v>448</v>
      </c>
      <c r="J308" s="5" t="s">
        <v>742</v>
      </c>
      <c r="K308" s="5" t="s">
        <v>448</v>
      </c>
      <c r="L308" s="7" t="s">
        <v>735</v>
      </c>
      <c r="Q308" t="s">
        <v>620</v>
      </c>
      <c r="R308">
        <v>22</v>
      </c>
      <c r="S308">
        <v>1</v>
      </c>
      <c r="T308" t="str">
        <f t="shared" si="35"/>
        <v>e</v>
      </c>
      <c r="U308" t="s">
        <v>15</v>
      </c>
      <c r="AF308" t="s">
        <v>623</v>
      </c>
      <c r="AJ308">
        <v>1</v>
      </c>
      <c r="AM308" t="str">
        <f t="shared" si="38"/>
        <v>Possession</v>
      </c>
      <c r="AN308" t="str">
        <f t="shared" si="39"/>
        <v/>
      </c>
      <c r="AP308" t="str">
        <f t="shared" si="37"/>
        <v>Offensive</v>
      </c>
      <c r="BB308" s="23"/>
      <c r="BD308" s="21"/>
      <c r="BE308" s="21"/>
      <c r="BF308" s="21"/>
      <c r="BG308" s="21"/>
      <c r="BH308" s="21"/>
      <c r="BI308" s="21"/>
    </row>
    <row r="309" spans="1:61" x14ac:dyDescent="0.2">
      <c r="A309">
        <v>155</v>
      </c>
      <c r="B309" t="s">
        <v>887</v>
      </c>
      <c r="C309" t="str">
        <f t="shared" si="34"/>
        <v/>
      </c>
      <c r="D309" t="str">
        <f t="shared" si="40"/>
        <v/>
      </c>
      <c r="E309">
        <v>19</v>
      </c>
      <c r="G309" s="6">
        <v>29</v>
      </c>
      <c r="H309">
        <f t="shared" si="36"/>
        <v>1</v>
      </c>
      <c r="R309">
        <v>89</v>
      </c>
      <c r="T309" t="str">
        <f t="shared" si="35"/>
        <v>o</v>
      </c>
      <c r="AJ309">
        <v>1</v>
      </c>
      <c r="AM309" t="str">
        <f t="shared" si="38"/>
        <v>Possession</v>
      </c>
      <c r="AN309" t="str">
        <f t="shared" si="39"/>
        <v/>
      </c>
      <c r="AP309" t="str">
        <f t="shared" si="37"/>
        <v>Defensive</v>
      </c>
      <c r="BB309" s="23"/>
      <c r="BD309" s="21"/>
      <c r="BE309" s="21"/>
      <c r="BF309" s="21"/>
      <c r="BG309" s="21"/>
      <c r="BH309" s="21"/>
      <c r="BI309" s="21"/>
    </row>
    <row r="310" spans="1:61" x14ac:dyDescent="0.2">
      <c r="A310">
        <v>156</v>
      </c>
      <c r="B310" t="s">
        <v>887</v>
      </c>
      <c r="C310" t="str">
        <f t="shared" si="34"/>
        <v/>
      </c>
      <c r="D310" t="str">
        <f t="shared" si="40"/>
        <v/>
      </c>
      <c r="E310">
        <v>19</v>
      </c>
      <c r="G310" s="6">
        <v>29</v>
      </c>
      <c r="H310">
        <f t="shared" si="36"/>
        <v>1</v>
      </c>
      <c r="I310" s="5" t="s">
        <v>448</v>
      </c>
      <c r="J310" s="5" t="s">
        <v>735</v>
      </c>
      <c r="Q310" t="s">
        <v>620</v>
      </c>
      <c r="R310">
        <v>22</v>
      </c>
      <c r="S310">
        <v>1</v>
      </c>
      <c r="T310" t="str">
        <f t="shared" si="35"/>
        <v>e</v>
      </c>
      <c r="U310" t="s">
        <v>8</v>
      </c>
      <c r="V310" t="s">
        <v>189</v>
      </c>
      <c r="W310" t="s">
        <v>68</v>
      </c>
      <c r="X310" t="s">
        <v>706</v>
      </c>
      <c r="Y310" t="s">
        <v>784</v>
      </c>
      <c r="AF310" t="s">
        <v>623</v>
      </c>
      <c r="AM310" t="str">
        <f t="shared" si="38"/>
        <v>Pass</v>
      </c>
      <c r="AN310" t="str">
        <f t="shared" si="39"/>
        <v>Pass_Completed</v>
      </c>
      <c r="AP310" t="str">
        <f t="shared" si="37"/>
        <v>Offensive</v>
      </c>
      <c r="BB310" s="23"/>
      <c r="BD310" s="21"/>
      <c r="BE310" s="21"/>
      <c r="BF310" s="21"/>
      <c r="BG310" s="21"/>
      <c r="BH310" s="21"/>
      <c r="BI310" s="21"/>
    </row>
    <row r="311" spans="1:61" x14ac:dyDescent="0.2">
      <c r="A311">
        <v>156</v>
      </c>
      <c r="B311" t="s">
        <v>887</v>
      </c>
      <c r="C311" t="str">
        <f t="shared" si="34"/>
        <v/>
      </c>
      <c r="D311" t="str">
        <f t="shared" si="40"/>
        <v/>
      </c>
      <c r="E311">
        <v>19</v>
      </c>
      <c r="G311" s="6">
        <v>29</v>
      </c>
      <c r="H311">
        <f t="shared" si="36"/>
        <v>1</v>
      </c>
      <c r="R311">
        <v>14</v>
      </c>
      <c r="S311">
        <v>1</v>
      </c>
      <c r="T311" t="str">
        <f t="shared" si="35"/>
        <v>e</v>
      </c>
      <c r="AM311" t="str">
        <f t="shared" si="38"/>
        <v>Pass</v>
      </c>
      <c r="AN311" t="str">
        <f t="shared" si="39"/>
        <v>Pass_Completed</v>
      </c>
      <c r="AP311" t="str">
        <f t="shared" si="37"/>
        <v>Offensive</v>
      </c>
      <c r="BB311" s="23"/>
      <c r="BD311" s="21"/>
      <c r="BE311" s="21"/>
      <c r="BF311" s="21"/>
      <c r="BG311" s="21"/>
      <c r="BH311" s="21"/>
      <c r="BI311" s="21"/>
    </row>
    <row r="312" spans="1:61" x14ac:dyDescent="0.2">
      <c r="A312">
        <v>156</v>
      </c>
      <c r="B312" t="s">
        <v>887</v>
      </c>
      <c r="C312" t="str">
        <f t="shared" si="34"/>
        <v/>
      </c>
      <c r="D312" t="str">
        <f t="shared" si="40"/>
        <v/>
      </c>
      <c r="E312">
        <v>19</v>
      </c>
      <c r="G312" s="6">
        <v>29</v>
      </c>
      <c r="H312">
        <f t="shared" si="36"/>
        <v>1</v>
      </c>
      <c r="R312">
        <v>89</v>
      </c>
      <c r="T312" t="str">
        <f t="shared" si="35"/>
        <v>o</v>
      </c>
      <c r="AM312" t="str">
        <f t="shared" si="38"/>
        <v>Pass</v>
      </c>
      <c r="AN312" t="str">
        <f t="shared" si="39"/>
        <v>Pass_Completed</v>
      </c>
      <c r="AP312" t="str">
        <f t="shared" si="37"/>
        <v>Defensive</v>
      </c>
      <c r="BB312" s="23"/>
      <c r="BD312" s="21"/>
      <c r="BE312" s="21"/>
      <c r="BF312" s="21"/>
      <c r="BG312" s="21"/>
      <c r="BH312" s="21"/>
      <c r="BI312" s="21"/>
    </row>
    <row r="313" spans="1:61" x14ac:dyDescent="0.2">
      <c r="A313">
        <v>157</v>
      </c>
      <c r="B313" t="s">
        <v>887</v>
      </c>
      <c r="C313" t="str">
        <f t="shared" si="34"/>
        <v/>
      </c>
      <c r="D313" t="str">
        <f t="shared" si="40"/>
        <v/>
      </c>
      <c r="E313">
        <v>19</v>
      </c>
      <c r="G313" s="6">
        <v>29</v>
      </c>
      <c r="H313">
        <f t="shared" si="36"/>
        <v>1</v>
      </c>
      <c r="I313" s="5" t="s">
        <v>448</v>
      </c>
      <c r="J313" s="5" t="s">
        <v>785</v>
      </c>
      <c r="K313" s="5" t="s">
        <v>448</v>
      </c>
      <c r="L313" s="7" t="s">
        <v>741</v>
      </c>
      <c r="Q313" t="s">
        <v>620</v>
      </c>
      <c r="R313">
        <v>14</v>
      </c>
      <c r="S313">
        <v>1</v>
      </c>
      <c r="T313" t="str">
        <f t="shared" si="35"/>
        <v>e</v>
      </c>
      <c r="U313" t="s">
        <v>15</v>
      </c>
      <c r="AF313" t="s">
        <v>623</v>
      </c>
      <c r="AJ313">
        <v>1</v>
      </c>
      <c r="AM313" t="str">
        <f t="shared" si="38"/>
        <v>Possession</v>
      </c>
      <c r="AN313" t="str">
        <f t="shared" si="39"/>
        <v/>
      </c>
      <c r="AP313" t="str">
        <f t="shared" si="37"/>
        <v>Offensive</v>
      </c>
      <c r="BB313" s="23"/>
      <c r="BD313" s="21"/>
      <c r="BE313" s="21"/>
      <c r="BF313" s="21"/>
      <c r="BG313" s="21"/>
      <c r="BH313" s="21"/>
      <c r="BI313" s="21"/>
    </row>
    <row r="314" spans="1:61" x14ac:dyDescent="0.2">
      <c r="A314">
        <v>157</v>
      </c>
      <c r="B314" t="s">
        <v>887</v>
      </c>
      <c r="C314" t="str">
        <f t="shared" si="34"/>
        <v/>
      </c>
      <c r="D314" t="str">
        <f t="shared" si="40"/>
        <v/>
      </c>
      <c r="E314">
        <v>19</v>
      </c>
      <c r="G314" s="6">
        <v>29</v>
      </c>
      <c r="H314">
        <f t="shared" si="36"/>
        <v>1</v>
      </c>
      <c r="R314">
        <v>25</v>
      </c>
      <c r="T314" t="str">
        <f t="shared" si="35"/>
        <v>o</v>
      </c>
      <c r="AJ314">
        <v>1</v>
      </c>
      <c r="AM314" t="str">
        <f t="shared" si="38"/>
        <v>Possession</v>
      </c>
      <c r="AN314" t="str">
        <f t="shared" si="39"/>
        <v/>
      </c>
      <c r="AP314" t="str">
        <f t="shared" si="37"/>
        <v>Defensive</v>
      </c>
      <c r="BB314" s="23"/>
      <c r="BD314" s="21"/>
      <c r="BE314" s="21"/>
      <c r="BF314" s="21"/>
      <c r="BG314" s="21"/>
      <c r="BH314" s="21"/>
      <c r="BI314" s="21"/>
    </row>
    <row r="315" spans="1:61" x14ac:dyDescent="0.2">
      <c r="A315">
        <v>158</v>
      </c>
      <c r="B315">
        <v>35</v>
      </c>
      <c r="C315">
        <f t="shared" si="34"/>
        <v>9035</v>
      </c>
      <c r="D315">
        <f t="shared" si="40"/>
        <v>9035</v>
      </c>
      <c r="E315">
        <v>19</v>
      </c>
      <c r="G315" s="6">
        <v>29</v>
      </c>
      <c r="H315">
        <f t="shared" si="36"/>
        <v>1</v>
      </c>
      <c r="I315" s="5" t="s">
        <v>448</v>
      </c>
      <c r="J315" s="5" t="s">
        <v>741</v>
      </c>
      <c r="Q315" t="s">
        <v>620</v>
      </c>
      <c r="R315">
        <v>14</v>
      </c>
      <c r="S315">
        <v>1</v>
      </c>
      <c r="T315" t="str">
        <f t="shared" si="35"/>
        <v>e</v>
      </c>
      <c r="U315" t="s">
        <v>8</v>
      </c>
      <c r="V315" t="s">
        <v>199</v>
      </c>
      <c r="W315" t="s">
        <v>70</v>
      </c>
      <c r="X315" t="s">
        <v>705</v>
      </c>
      <c r="AF315" t="s">
        <v>623</v>
      </c>
      <c r="AJ315">
        <v>1</v>
      </c>
      <c r="AM315" t="str">
        <f t="shared" si="38"/>
        <v>Pass</v>
      </c>
      <c r="AN315" t="str">
        <f t="shared" si="39"/>
        <v>Pass_Missed</v>
      </c>
      <c r="AP315" t="str">
        <f t="shared" si="37"/>
        <v>Offensive</v>
      </c>
      <c r="BB315" s="23"/>
      <c r="BD315" s="21"/>
      <c r="BE315" s="21"/>
      <c r="BF315" s="21"/>
      <c r="BG315" s="21"/>
      <c r="BH315" s="21"/>
      <c r="BI315" s="21"/>
    </row>
    <row r="316" spans="1:61" x14ac:dyDescent="0.2">
      <c r="A316">
        <v>158</v>
      </c>
      <c r="B316">
        <v>35</v>
      </c>
      <c r="C316">
        <f t="shared" si="34"/>
        <v>9035</v>
      </c>
      <c r="D316">
        <f t="shared" si="40"/>
        <v>9035</v>
      </c>
      <c r="E316">
        <v>19</v>
      </c>
      <c r="G316" s="6">
        <v>29</v>
      </c>
      <c r="H316">
        <f t="shared" si="36"/>
        <v>1</v>
      </c>
      <c r="R316">
        <v>70</v>
      </c>
      <c r="S316">
        <v>1</v>
      </c>
      <c r="T316" t="str">
        <f t="shared" si="35"/>
        <v>e</v>
      </c>
      <c r="AM316" t="str">
        <f t="shared" si="38"/>
        <v>Pass</v>
      </c>
      <c r="AN316" t="str">
        <f t="shared" si="39"/>
        <v>Pass_Missed</v>
      </c>
      <c r="AP316" t="str">
        <f t="shared" si="37"/>
        <v>Offensive</v>
      </c>
      <c r="BB316" s="23"/>
      <c r="BD316" s="21"/>
      <c r="BE316" s="21"/>
      <c r="BF316" s="21"/>
      <c r="BG316" s="21"/>
      <c r="BH316" s="21"/>
      <c r="BI316" s="21"/>
    </row>
    <row r="317" spans="1:61" x14ac:dyDescent="0.2">
      <c r="A317">
        <v>158</v>
      </c>
      <c r="B317">
        <v>35</v>
      </c>
      <c r="C317">
        <f t="shared" si="34"/>
        <v>9035</v>
      </c>
      <c r="D317">
        <f t="shared" si="40"/>
        <v>9035</v>
      </c>
      <c r="E317">
        <v>19</v>
      </c>
      <c r="G317" s="6">
        <v>29</v>
      </c>
      <c r="H317">
        <f t="shared" si="36"/>
        <v>1</v>
      </c>
      <c r="R317">
        <v>25</v>
      </c>
      <c r="T317" t="str">
        <f t="shared" si="35"/>
        <v>o</v>
      </c>
      <c r="Y317" t="s">
        <v>722</v>
      </c>
      <c r="AJ317">
        <v>1</v>
      </c>
      <c r="AM317" t="str">
        <f t="shared" si="38"/>
        <v>Pass</v>
      </c>
      <c r="AN317" t="str">
        <f t="shared" si="39"/>
        <v>Pass_Missed</v>
      </c>
      <c r="AP317" t="str">
        <f t="shared" si="37"/>
        <v>Defensive</v>
      </c>
      <c r="BB317" s="23"/>
      <c r="BD317" s="21"/>
      <c r="BE317" s="21"/>
      <c r="BF317" s="21"/>
      <c r="BG317" s="21"/>
      <c r="BH317" s="21"/>
      <c r="BI317" s="21"/>
    </row>
    <row r="318" spans="1:61" x14ac:dyDescent="0.2">
      <c r="A318">
        <v>159</v>
      </c>
      <c r="B318">
        <v>35</v>
      </c>
      <c r="C318">
        <f t="shared" si="34"/>
        <v>9035</v>
      </c>
      <c r="D318">
        <f t="shared" si="40"/>
        <v>9035</v>
      </c>
      <c r="E318">
        <v>19</v>
      </c>
      <c r="G318" s="6">
        <v>30</v>
      </c>
      <c r="H318">
        <f t="shared" si="36"/>
        <v>1</v>
      </c>
      <c r="I318" s="5" t="s">
        <v>448</v>
      </c>
      <c r="J318" s="5" t="s">
        <v>741</v>
      </c>
      <c r="Q318" t="s">
        <v>620</v>
      </c>
      <c r="R318">
        <v>14</v>
      </c>
      <c r="S318">
        <v>1</v>
      </c>
      <c r="T318" t="str">
        <f t="shared" si="35"/>
        <v>e</v>
      </c>
      <c r="U318" t="s">
        <v>257</v>
      </c>
      <c r="V318" t="s">
        <v>201</v>
      </c>
      <c r="W318" t="s">
        <v>409</v>
      </c>
      <c r="AF318" t="s">
        <v>623</v>
      </c>
      <c r="AJ318">
        <v>1</v>
      </c>
      <c r="AM318" t="str">
        <f t="shared" si="38"/>
        <v>Zone_Entry_Exit</v>
      </c>
      <c r="AN318" t="str">
        <f t="shared" si="39"/>
        <v>Zone_Exit</v>
      </c>
      <c r="AP318" t="str">
        <f t="shared" si="37"/>
        <v>Offensive</v>
      </c>
      <c r="BB318" s="23"/>
      <c r="BD318" s="21"/>
      <c r="BE318" s="21"/>
      <c r="BF318" s="21"/>
      <c r="BG318" s="21"/>
      <c r="BH318" s="21"/>
      <c r="BI318" s="21"/>
    </row>
    <row r="319" spans="1:61" x14ac:dyDescent="0.2">
      <c r="A319">
        <v>159</v>
      </c>
      <c r="B319">
        <v>35</v>
      </c>
      <c r="C319">
        <f t="shared" si="34"/>
        <v>9035</v>
      </c>
      <c r="D319">
        <f t="shared" si="40"/>
        <v>9035</v>
      </c>
      <c r="E319">
        <v>19</v>
      </c>
      <c r="G319" s="6">
        <v>30</v>
      </c>
      <c r="H319">
        <f t="shared" si="36"/>
        <v>1</v>
      </c>
      <c r="R319">
        <v>70</v>
      </c>
      <c r="S319">
        <v>1</v>
      </c>
      <c r="T319" t="str">
        <f t="shared" si="35"/>
        <v>e</v>
      </c>
      <c r="AM319" t="str">
        <f t="shared" si="38"/>
        <v>Zone_Entry_Exit</v>
      </c>
      <c r="AN319" t="str">
        <f t="shared" si="39"/>
        <v>Zone_Exit</v>
      </c>
      <c r="AP319" t="str">
        <f t="shared" si="37"/>
        <v>Offensive</v>
      </c>
      <c r="BB319" s="23"/>
      <c r="BD319" s="21"/>
      <c r="BE319" s="21"/>
      <c r="BF319" s="21"/>
      <c r="BG319" s="21"/>
      <c r="BH319" s="21"/>
      <c r="BI319" s="21"/>
    </row>
    <row r="320" spans="1:61" x14ac:dyDescent="0.2">
      <c r="A320">
        <v>159</v>
      </c>
      <c r="B320">
        <v>35</v>
      </c>
      <c r="C320">
        <f t="shared" si="34"/>
        <v>9035</v>
      </c>
      <c r="D320">
        <f t="shared" si="40"/>
        <v>9035</v>
      </c>
      <c r="E320">
        <v>19</v>
      </c>
      <c r="G320" s="6">
        <v>30</v>
      </c>
      <c r="H320">
        <f t="shared" si="36"/>
        <v>1</v>
      </c>
      <c r="R320">
        <v>25</v>
      </c>
      <c r="T320" t="str">
        <f t="shared" si="35"/>
        <v>o</v>
      </c>
      <c r="AJ320">
        <v>1</v>
      </c>
      <c r="AM320" t="str">
        <f t="shared" si="38"/>
        <v>Zone_Entry_Exit</v>
      </c>
      <c r="AN320" t="str">
        <f t="shared" si="39"/>
        <v>Zone_Exit</v>
      </c>
      <c r="AP320" t="str">
        <f t="shared" si="37"/>
        <v>Defensive</v>
      </c>
      <c r="BB320" s="23"/>
      <c r="BD320" s="21"/>
      <c r="BE320" s="21"/>
      <c r="BF320" s="21"/>
      <c r="BG320" s="21"/>
      <c r="BH320" s="21"/>
      <c r="BI320" s="21"/>
    </row>
    <row r="321" spans="1:61" x14ac:dyDescent="0.2">
      <c r="A321">
        <v>160</v>
      </c>
      <c r="B321">
        <v>35</v>
      </c>
      <c r="C321">
        <f t="shared" si="34"/>
        <v>9035</v>
      </c>
      <c r="D321">
        <f t="shared" si="40"/>
        <v>9035</v>
      </c>
      <c r="E321">
        <v>19</v>
      </c>
      <c r="G321" s="6">
        <v>30</v>
      </c>
      <c r="H321">
        <f t="shared" si="36"/>
        <v>1</v>
      </c>
      <c r="I321" s="5" t="s">
        <v>448</v>
      </c>
      <c r="J321" s="5" t="s">
        <v>741</v>
      </c>
      <c r="Q321" t="s">
        <v>620</v>
      </c>
      <c r="R321">
        <v>14</v>
      </c>
      <c r="S321">
        <v>1</v>
      </c>
      <c r="T321" t="str">
        <f t="shared" si="35"/>
        <v>e</v>
      </c>
      <c r="U321" t="s">
        <v>10</v>
      </c>
      <c r="V321" t="s">
        <v>190</v>
      </c>
      <c r="W321" t="s">
        <v>76</v>
      </c>
      <c r="AF321" t="s">
        <v>623</v>
      </c>
      <c r="AM321" t="str">
        <f t="shared" si="38"/>
        <v>Turnover</v>
      </c>
      <c r="AN321" t="str">
        <f t="shared" si="39"/>
        <v>Turnover_Giveaway</v>
      </c>
      <c r="AP321" t="str">
        <f t="shared" si="37"/>
        <v>Offensive</v>
      </c>
      <c r="BB321" s="23"/>
      <c r="BD321" s="21"/>
      <c r="BE321" s="21"/>
      <c r="BF321" s="21"/>
      <c r="BG321" s="21"/>
      <c r="BH321" s="21"/>
      <c r="BI321" s="21"/>
    </row>
    <row r="322" spans="1:61" x14ac:dyDescent="0.2">
      <c r="A322">
        <v>161</v>
      </c>
      <c r="B322" t="s">
        <v>887</v>
      </c>
      <c r="C322" t="str">
        <f t="shared" si="34"/>
        <v/>
      </c>
      <c r="D322" t="str">
        <f t="shared" si="40"/>
        <v/>
      </c>
      <c r="E322">
        <v>20</v>
      </c>
      <c r="G322" s="6">
        <v>30</v>
      </c>
      <c r="H322">
        <f t="shared" si="36"/>
        <v>1</v>
      </c>
      <c r="I322" s="5" t="s">
        <v>448</v>
      </c>
      <c r="J322" s="5" t="s">
        <v>786</v>
      </c>
      <c r="Q322" t="s">
        <v>619</v>
      </c>
      <c r="R322">
        <v>4</v>
      </c>
      <c r="S322">
        <v>1</v>
      </c>
      <c r="T322" t="str">
        <f t="shared" si="35"/>
        <v>e</v>
      </c>
      <c r="U322" t="s">
        <v>15</v>
      </c>
      <c r="V322" t="s">
        <v>697</v>
      </c>
      <c r="X322" t="s">
        <v>706</v>
      </c>
      <c r="Y322" t="s">
        <v>712</v>
      </c>
      <c r="AA322" t="s">
        <v>706</v>
      </c>
      <c r="AF322" t="s">
        <v>635</v>
      </c>
      <c r="AM322" t="str">
        <f t="shared" si="38"/>
        <v>Possession</v>
      </c>
      <c r="AN322" t="str">
        <f t="shared" si="39"/>
        <v>PuckRetrieval</v>
      </c>
      <c r="AP322" t="str">
        <f t="shared" si="37"/>
        <v>Offensive</v>
      </c>
      <c r="BB322" s="23"/>
      <c r="BD322" s="21"/>
      <c r="BE322" s="21"/>
      <c r="BF322" s="21"/>
      <c r="BG322" s="21"/>
      <c r="BH322" s="21"/>
      <c r="BI322" s="21"/>
    </row>
    <row r="323" spans="1:61" x14ac:dyDescent="0.2">
      <c r="A323">
        <v>162</v>
      </c>
      <c r="B323" t="s">
        <v>887</v>
      </c>
      <c r="C323" t="str">
        <f t="shared" ref="C323:C386" si="41">IF(B323&lt;&gt;"",9000+B323,"")</f>
        <v/>
      </c>
      <c r="D323" t="str">
        <f t="shared" si="40"/>
        <v/>
      </c>
      <c r="E323">
        <v>20</v>
      </c>
      <c r="G323" s="6">
        <v>30</v>
      </c>
      <c r="H323">
        <f t="shared" si="36"/>
        <v>1</v>
      </c>
      <c r="I323" s="5" t="s">
        <v>448</v>
      </c>
      <c r="J323" s="5" t="s">
        <v>786</v>
      </c>
      <c r="K323" s="5" t="s">
        <v>768</v>
      </c>
      <c r="L323" s="7" t="s">
        <v>638</v>
      </c>
      <c r="Q323" t="s">
        <v>619</v>
      </c>
      <c r="R323">
        <v>4</v>
      </c>
      <c r="S323">
        <v>1</v>
      </c>
      <c r="T323" t="str">
        <f t="shared" ref="T323:T386" si="42">IF(S323="x","",IF(S323=1,"e","o"))</f>
        <v>e</v>
      </c>
      <c r="U323" t="s">
        <v>15</v>
      </c>
      <c r="Y323" t="s">
        <v>728</v>
      </c>
      <c r="AF323" t="s">
        <v>635</v>
      </c>
      <c r="AJ323">
        <v>1</v>
      </c>
      <c r="AM323" t="str">
        <f t="shared" si="38"/>
        <v>Possession</v>
      </c>
      <c r="AN323" t="str">
        <f t="shared" si="39"/>
        <v/>
      </c>
      <c r="AP323" t="str">
        <f t="shared" si="37"/>
        <v>Offensive</v>
      </c>
      <c r="BB323" s="23"/>
      <c r="BD323" s="21"/>
      <c r="BE323" s="21"/>
      <c r="BF323" s="21"/>
      <c r="BG323" s="21"/>
      <c r="BH323" s="21"/>
      <c r="BI323" s="21"/>
    </row>
    <row r="324" spans="1:61" x14ac:dyDescent="0.2">
      <c r="A324">
        <v>162</v>
      </c>
      <c r="B324" t="s">
        <v>887</v>
      </c>
      <c r="C324" t="str">
        <f t="shared" si="41"/>
        <v/>
      </c>
      <c r="D324" t="str">
        <f t="shared" si="40"/>
        <v/>
      </c>
      <c r="E324">
        <v>20</v>
      </c>
      <c r="G324" s="6">
        <v>30</v>
      </c>
      <c r="H324">
        <f t="shared" ref="H324:H387" si="43">IF(U324="Intermission",H323+1,H323)</f>
        <v>1</v>
      </c>
      <c r="R324">
        <v>61</v>
      </c>
      <c r="T324" t="str">
        <f t="shared" si="42"/>
        <v>o</v>
      </c>
      <c r="AJ324">
        <v>1</v>
      </c>
      <c r="AM324" t="str">
        <f t="shared" si="38"/>
        <v>Possession</v>
      </c>
      <c r="AN324" t="str">
        <f t="shared" si="39"/>
        <v/>
      </c>
      <c r="AP324" t="str">
        <f t="shared" si="37"/>
        <v>Defensive</v>
      </c>
      <c r="BB324" s="23"/>
      <c r="BD324" s="21"/>
      <c r="BE324" s="21"/>
      <c r="BF324" s="21"/>
      <c r="BG324" s="21"/>
      <c r="BH324" s="21"/>
      <c r="BI324" s="21"/>
    </row>
    <row r="325" spans="1:61" x14ac:dyDescent="0.2">
      <c r="A325">
        <v>163</v>
      </c>
      <c r="B325" t="s">
        <v>887</v>
      </c>
      <c r="C325" t="str">
        <f t="shared" si="41"/>
        <v/>
      </c>
      <c r="D325" t="str">
        <f t="shared" si="40"/>
        <v/>
      </c>
      <c r="E325">
        <v>20</v>
      </c>
      <c r="G325" s="6">
        <v>31</v>
      </c>
      <c r="H325">
        <f t="shared" si="43"/>
        <v>1</v>
      </c>
      <c r="I325" s="5" t="s">
        <v>768</v>
      </c>
      <c r="J325" s="5" t="s">
        <v>638</v>
      </c>
      <c r="K325" s="5" t="s">
        <v>768</v>
      </c>
      <c r="L325" s="7" t="s">
        <v>762</v>
      </c>
      <c r="Q325" t="s">
        <v>619</v>
      </c>
      <c r="R325">
        <v>4</v>
      </c>
      <c r="S325">
        <v>1</v>
      </c>
      <c r="T325" t="str">
        <f t="shared" si="42"/>
        <v>e</v>
      </c>
      <c r="U325" t="s">
        <v>257</v>
      </c>
      <c r="V325" t="s">
        <v>191</v>
      </c>
      <c r="W325" t="s">
        <v>87</v>
      </c>
      <c r="X325" t="s">
        <v>706</v>
      </c>
      <c r="Y325" t="s">
        <v>728</v>
      </c>
      <c r="AA325" t="s">
        <v>706</v>
      </c>
      <c r="AF325" t="s">
        <v>401</v>
      </c>
      <c r="AJ325">
        <v>1</v>
      </c>
      <c r="AM325" t="str">
        <f t="shared" si="38"/>
        <v>Zone_Entry_Exit</v>
      </c>
      <c r="AN325" t="str">
        <f t="shared" si="39"/>
        <v>Zone_Entry</v>
      </c>
      <c r="AP325" t="str">
        <f t="shared" si="37"/>
        <v>Offensive</v>
      </c>
      <c r="BB325" s="23"/>
      <c r="BD325" s="21"/>
      <c r="BE325" s="21"/>
      <c r="BF325" s="21"/>
      <c r="BG325" s="21"/>
      <c r="BH325" s="21"/>
      <c r="BI325" s="21"/>
    </row>
    <row r="326" spans="1:61" x14ac:dyDescent="0.2">
      <c r="A326">
        <v>163</v>
      </c>
      <c r="B326" t="s">
        <v>887</v>
      </c>
      <c r="C326" t="str">
        <f t="shared" si="41"/>
        <v/>
      </c>
      <c r="D326" t="str">
        <f t="shared" si="40"/>
        <v/>
      </c>
      <c r="G326" s="6">
        <v>31</v>
      </c>
      <c r="H326">
        <f t="shared" si="43"/>
        <v>1</v>
      </c>
      <c r="R326">
        <v>80</v>
      </c>
      <c r="S326">
        <v>1</v>
      </c>
      <c r="T326" t="str">
        <f t="shared" si="42"/>
        <v>e</v>
      </c>
      <c r="AM326" t="str">
        <f t="shared" si="38"/>
        <v>Zone_Entry_Exit</v>
      </c>
      <c r="AN326" t="str">
        <f t="shared" si="39"/>
        <v>Zone_Entry</v>
      </c>
      <c r="AP326" t="str">
        <f t="shared" ref="AP326:AP389" si="44">IF(AND(T326="e",OR(AM326="Save",AN326="Turnover_Takeaway",AN326="Play_Defensive")),"Defensive",IF(AND(T326="o",OR(AM326="Save",AN326="Turnover_Takeaway",AN326="Play_Defensive")),"Offensive",IF(OR(AM326="Deadice",AM326="Stoppage",AM326="Intermission"),"",IF(T326="e","Offensive",IF(T326="o","Defensive","")))))</f>
        <v>Offensive</v>
      </c>
      <c r="BB326" s="23"/>
      <c r="BD326" s="21"/>
      <c r="BE326" s="21"/>
      <c r="BF326" s="21"/>
      <c r="BG326" s="21"/>
      <c r="BH326" s="21"/>
      <c r="BI326" s="21"/>
    </row>
    <row r="327" spans="1:61" x14ac:dyDescent="0.2">
      <c r="A327">
        <v>163</v>
      </c>
      <c r="B327" t="s">
        <v>887</v>
      </c>
      <c r="C327" t="str">
        <f t="shared" si="41"/>
        <v/>
      </c>
      <c r="D327" t="str">
        <f t="shared" si="40"/>
        <v/>
      </c>
      <c r="G327" s="6">
        <v>31</v>
      </c>
      <c r="H327">
        <f t="shared" si="43"/>
        <v>1</v>
      </c>
      <c r="R327">
        <v>22</v>
      </c>
      <c r="T327" t="str">
        <f t="shared" si="42"/>
        <v>o</v>
      </c>
      <c r="Y327" t="s">
        <v>787</v>
      </c>
      <c r="AA327" t="s">
        <v>705</v>
      </c>
      <c r="AJ327">
        <v>1</v>
      </c>
      <c r="AM327" t="str">
        <f t="shared" ref="AM327:AM390" si="45">IF(U327&lt;&gt;"",U327,IF($A327=$A326,AM326,""))</f>
        <v>Zone_Entry_Exit</v>
      </c>
      <c r="AN327" t="str">
        <f t="shared" ref="AN327:AN390" si="46">IF(V327&lt;&gt;"",V327,IF($A327=$A326,AN326,""))</f>
        <v>Zone_Entry</v>
      </c>
      <c r="AP327" t="str">
        <f t="shared" si="44"/>
        <v>Defensive</v>
      </c>
      <c r="BB327" s="23"/>
      <c r="BD327" s="21"/>
      <c r="BE327" s="21"/>
      <c r="BF327" s="21"/>
      <c r="BG327" s="21"/>
      <c r="BH327" s="21"/>
      <c r="BI327" s="21"/>
    </row>
    <row r="328" spans="1:61" x14ac:dyDescent="0.2">
      <c r="A328">
        <v>163</v>
      </c>
      <c r="B328" t="s">
        <v>887</v>
      </c>
      <c r="C328" t="str">
        <f t="shared" si="41"/>
        <v/>
      </c>
      <c r="D328" t="str">
        <f t="shared" ref="D328:D391" si="47">IF(C328&lt;&gt;"",C328,B328)</f>
        <v/>
      </c>
      <c r="G328" s="6">
        <v>31</v>
      </c>
      <c r="H328">
        <f t="shared" si="43"/>
        <v>1</v>
      </c>
      <c r="R328">
        <v>70</v>
      </c>
      <c r="T328" t="str">
        <f t="shared" si="42"/>
        <v>o</v>
      </c>
      <c r="Y328" t="s">
        <v>729</v>
      </c>
      <c r="AA328" t="s">
        <v>706</v>
      </c>
      <c r="AJ328">
        <v>1</v>
      </c>
      <c r="AM328" t="str">
        <f t="shared" si="45"/>
        <v>Zone_Entry_Exit</v>
      </c>
      <c r="AN328" t="str">
        <f t="shared" si="46"/>
        <v>Zone_Entry</v>
      </c>
      <c r="AP328" t="str">
        <f t="shared" si="44"/>
        <v>Defensive</v>
      </c>
      <c r="BB328" s="23"/>
      <c r="BD328" s="21"/>
      <c r="BE328" s="21"/>
      <c r="BF328" s="21"/>
      <c r="BG328" s="21"/>
      <c r="BH328" s="21"/>
      <c r="BI328" s="21"/>
    </row>
    <row r="329" spans="1:61" x14ac:dyDescent="0.2">
      <c r="A329">
        <v>164</v>
      </c>
      <c r="B329" t="s">
        <v>887</v>
      </c>
      <c r="C329" t="str">
        <f t="shared" si="41"/>
        <v/>
      </c>
      <c r="D329" t="str">
        <f t="shared" si="47"/>
        <v/>
      </c>
      <c r="G329" s="6">
        <v>31</v>
      </c>
      <c r="H329">
        <f t="shared" si="43"/>
        <v>1</v>
      </c>
      <c r="I329" s="5" t="s">
        <v>768</v>
      </c>
      <c r="J329" s="5" t="s">
        <v>762</v>
      </c>
      <c r="K329" s="5" t="s">
        <v>768</v>
      </c>
      <c r="L329" s="7" t="s">
        <v>788</v>
      </c>
      <c r="Q329" t="s">
        <v>619</v>
      </c>
      <c r="R329">
        <v>4</v>
      </c>
      <c r="S329">
        <v>1</v>
      </c>
      <c r="T329" t="str">
        <f t="shared" si="42"/>
        <v>e</v>
      </c>
      <c r="U329" t="s">
        <v>15</v>
      </c>
      <c r="AF329" t="s">
        <v>401</v>
      </c>
      <c r="AJ329">
        <v>1</v>
      </c>
      <c r="AM329" t="str">
        <f t="shared" si="45"/>
        <v>Possession</v>
      </c>
      <c r="AN329" t="str">
        <f t="shared" si="46"/>
        <v/>
      </c>
      <c r="AP329" t="str">
        <f t="shared" si="44"/>
        <v>Offensive</v>
      </c>
      <c r="BB329" s="23"/>
      <c r="BD329" s="21"/>
      <c r="BE329" s="21"/>
      <c r="BF329" s="21"/>
      <c r="BG329" s="21"/>
      <c r="BH329" s="21"/>
      <c r="BI329" s="21"/>
    </row>
    <row r="330" spans="1:61" x14ac:dyDescent="0.2">
      <c r="A330">
        <v>164</v>
      </c>
      <c r="B330" t="s">
        <v>887</v>
      </c>
      <c r="C330" t="str">
        <f t="shared" si="41"/>
        <v/>
      </c>
      <c r="D330" t="str">
        <f t="shared" si="47"/>
        <v/>
      </c>
      <c r="G330" s="6">
        <v>31</v>
      </c>
      <c r="H330">
        <f t="shared" si="43"/>
        <v>1</v>
      </c>
      <c r="R330">
        <v>70</v>
      </c>
      <c r="T330" t="str">
        <f t="shared" si="42"/>
        <v>o</v>
      </c>
      <c r="Y330" t="s">
        <v>714</v>
      </c>
      <c r="AA330" t="s">
        <v>706</v>
      </c>
      <c r="AJ330">
        <v>1</v>
      </c>
      <c r="AM330" t="str">
        <f t="shared" si="45"/>
        <v>Possession</v>
      </c>
      <c r="AN330" t="str">
        <f t="shared" si="46"/>
        <v/>
      </c>
      <c r="AP330" t="str">
        <f t="shared" si="44"/>
        <v>Defensive</v>
      </c>
      <c r="BB330" s="23"/>
      <c r="BD330" s="21"/>
      <c r="BE330" s="21"/>
      <c r="BF330" s="21"/>
      <c r="BG330" s="21"/>
      <c r="BH330" s="21"/>
      <c r="BI330" s="21"/>
    </row>
    <row r="331" spans="1:61" x14ac:dyDescent="0.2">
      <c r="A331">
        <v>165</v>
      </c>
      <c r="B331" t="s">
        <v>887</v>
      </c>
      <c r="C331" t="str">
        <f t="shared" si="41"/>
        <v/>
      </c>
      <c r="D331" t="str">
        <f t="shared" si="47"/>
        <v/>
      </c>
      <c r="G331" s="6">
        <v>31</v>
      </c>
      <c r="H331">
        <f t="shared" si="43"/>
        <v>1</v>
      </c>
      <c r="I331" s="5" t="s">
        <v>768</v>
      </c>
      <c r="J331" s="5" t="s">
        <v>788</v>
      </c>
      <c r="Q331" t="s">
        <v>620</v>
      </c>
      <c r="R331">
        <v>70</v>
      </c>
      <c r="S331">
        <v>1</v>
      </c>
      <c r="T331" t="str">
        <f t="shared" si="42"/>
        <v>e</v>
      </c>
      <c r="U331" t="s">
        <v>10</v>
      </c>
      <c r="V331" t="s">
        <v>200</v>
      </c>
      <c r="W331" t="s">
        <v>82</v>
      </c>
      <c r="X331" t="s">
        <v>706</v>
      </c>
      <c r="Y331" t="s">
        <v>714</v>
      </c>
      <c r="AA331" t="s">
        <v>706</v>
      </c>
      <c r="AF331" t="s">
        <v>623</v>
      </c>
      <c r="AJ331">
        <v>1</v>
      </c>
      <c r="AM331" t="str">
        <f t="shared" si="45"/>
        <v>Turnover</v>
      </c>
      <c r="AN331" t="str">
        <f t="shared" si="46"/>
        <v>Turnover_Takeaway</v>
      </c>
      <c r="AP331" t="str">
        <f t="shared" si="44"/>
        <v>Defensive</v>
      </c>
      <c r="BB331" s="23"/>
      <c r="BD331" s="21"/>
      <c r="BE331" s="21"/>
      <c r="BF331" s="21"/>
      <c r="BG331" s="21"/>
      <c r="BH331" s="21"/>
      <c r="BI331" s="21"/>
    </row>
    <row r="332" spans="1:61" x14ac:dyDescent="0.2">
      <c r="A332">
        <v>165</v>
      </c>
      <c r="B332" t="s">
        <v>887</v>
      </c>
      <c r="C332" t="str">
        <f t="shared" si="41"/>
        <v/>
      </c>
      <c r="D332" t="str">
        <f t="shared" si="47"/>
        <v/>
      </c>
      <c r="G332" s="6">
        <v>31</v>
      </c>
      <c r="H332">
        <f t="shared" si="43"/>
        <v>1</v>
      </c>
      <c r="R332">
        <v>4</v>
      </c>
      <c r="T332" t="str">
        <f t="shared" si="42"/>
        <v>o</v>
      </c>
      <c r="AJ332">
        <v>1</v>
      </c>
      <c r="AM332" t="str">
        <f t="shared" si="45"/>
        <v>Turnover</v>
      </c>
      <c r="AN332" t="str">
        <f t="shared" si="46"/>
        <v>Turnover_Takeaway</v>
      </c>
      <c r="AP332" t="str">
        <f t="shared" si="44"/>
        <v>Offensive</v>
      </c>
      <c r="BB332" s="23"/>
      <c r="BD332" s="21"/>
      <c r="BE332" s="21"/>
      <c r="BF332" s="21"/>
      <c r="BG332" s="21"/>
      <c r="BH332" s="21"/>
      <c r="BI332" s="21"/>
    </row>
    <row r="333" spans="1:61" x14ac:dyDescent="0.2">
      <c r="A333">
        <v>166</v>
      </c>
      <c r="B333" t="s">
        <v>887</v>
      </c>
      <c r="C333" t="str">
        <f t="shared" si="41"/>
        <v/>
      </c>
      <c r="D333" t="str">
        <f t="shared" si="47"/>
        <v/>
      </c>
      <c r="G333" s="6">
        <v>31</v>
      </c>
      <c r="H333">
        <f t="shared" si="43"/>
        <v>1</v>
      </c>
      <c r="I333" s="5" t="s">
        <v>768</v>
      </c>
      <c r="J333" s="5" t="s">
        <v>788</v>
      </c>
      <c r="K333" s="5" t="s">
        <v>768</v>
      </c>
      <c r="L333" s="7" t="s">
        <v>789</v>
      </c>
      <c r="Q333" t="s">
        <v>620</v>
      </c>
      <c r="R333">
        <v>70</v>
      </c>
      <c r="S333">
        <v>1</v>
      </c>
      <c r="T333" t="str">
        <f t="shared" si="42"/>
        <v>e</v>
      </c>
      <c r="U333" t="s">
        <v>257</v>
      </c>
      <c r="V333" t="s">
        <v>201</v>
      </c>
      <c r="W333" t="s">
        <v>90</v>
      </c>
      <c r="X333" t="s">
        <v>706</v>
      </c>
      <c r="AF333" t="s">
        <v>623</v>
      </c>
      <c r="AM333" t="str">
        <f t="shared" si="45"/>
        <v>Zone_Entry_Exit</v>
      </c>
      <c r="AN333" t="str">
        <f t="shared" si="46"/>
        <v>Zone_Exit</v>
      </c>
      <c r="AP333" t="str">
        <f t="shared" si="44"/>
        <v>Offensive</v>
      </c>
      <c r="BB333" s="23"/>
      <c r="BD333" s="21"/>
      <c r="BE333" s="21"/>
      <c r="BF333" s="21"/>
      <c r="BG333" s="21"/>
      <c r="BH333" s="21"/>
      <c r="BI333" s="21"/>
    </row>
    <row r="334" spans="1:61" x14ac:dyDescent="0.2">
      <c r="A334">
        <v>167</v>
      </c>
      <c r="B334" t="s">
        <v>887</v>
      </c>
      <c r="C334" t="str">
        <f t="shared" si="41"/>
        <v/>
      </c>
      <c r="D334" t="str">
        <f t="shared" si="47"/>
        <v/>
      </c>
      <c r="G334" s="6">
        <v>32</v>
      </c>
      <c r="H334">
        <f t="shared" si="43"/>
        <v>1</v>
      </c>
      <c r="I334" s="5" t="s">
        <v>768</v>
      </c>
      <c r="J334" s="5" t="s">
        <v>789</v>
      </c>
      <c r="K334" s="5" t="s">
        <v>768</v>
      </c>
      <c r="L334" s="7" t="s">
        <v>755</v>
      </c>
      <c r="Q334" t="s">
        <v>620</v>
      </c>
      <c r="R334">
        <v>70</v>
      </c>
      <c r="S334">
        <v>1</v>
      </c>
      <c r="T334" t="str">
        <f t="shared" si="42"/>
        <v>e</v>
      </c>
      <c r="U334" t="s">
        <v>15</v>
      </c>
      <c r="Y334" t="s">
        <v>767</v>
      </c>
      <c r="Z334" t="s">
        <v>677</v>
      </c>
      <c r="AA334" t="s">
        <v>706</v>
      </c>
      <c r="AF334" t="s">
        <v>635</v>
      </c>
      <c r="AJ334">
        <v>1</v>
      </c>
      <c r="AM334" t="str">
        <f t="shared" si="45"/>
        <v>Possession</v>
      </c>
      <c r="AN334" t="str">
        <f t="shared" si="46"/>
        <v/>
      </c>
      <c r="AP334" t="str">
        <f t="shared" si="44"/>
        <v>Offensive</v>
      </c>
      <c r="BB334" s="23"/>
      <c r="BD334" s="21"/>
      <c r="BE334" s="21"/>
      <c r="BF334" s="21"/>
      <c r="BG334" s="21"/>
      <c r="BH334" s="21"/>
      <c r="BI334" s="21"/>
    </row>
    <row r="335" spans="1:61" x14ac:dyDescent="0.2">
      <c r="A335">
        <v>167</v>
      </c>
      <c r="B335" t="s">
        <v>887</v>
      </c>
      <c r="C335" t="str">
        <f t="shared" si="41"/>
        <v/>
      </c>
      <c r="D335" t="str">
        <f t="shared" si="47"/>
        <v/>
      </c>
      <c r="G335" s="6">
        <v>32</v>
      </c>
      <c r="H335">
        <f t="shared" si="43"/>
        <v>1</v>
      </c>
      <c r="R335">
        <v>77</v>
      </c>
      <c r="T335" t="str">
        <f t="shared" si="42"/>
        <v>o</v>
      </c>
      <c r="Y335" t="s">
        <v>764</v>
      </c>
      <c r="AA335" t="s">
        <v>705</v>
      </c>
      <c r="AJ335">
        <v>1</v>
      </c>
      <c r="AM335" t="str">
        <f t="shared" si="45"/>
        <v>Possession</v>
      </c>
      <c r="AN335" t="str">
        <f t="shared" si="46"/>
        <v/>
      </c>
      <c r="AP335" t="str">
        <f t="shared" si="44"/>
        <v>Defensive</v>
      </c>
      <c r="BB335" s="23"/>
      <c r="BD335" s="21"/>
      <c r="BE335" s="21"/>
      <c r="BF335" s="21"/>
      <c r="BG335" s="21"/>
      <c r="BH335" s="21"/>
      <c r="BI335" s="21"/>
    </row>
    <row r="336" spans="1:61" x14ac:dyDescent="0.2">
      <c r="A336">
        <v>168</v>
      </c>
      <c r="B336" t="s">
        <v>887</v>
      </c>
      <c r="C336" t="str">
        <f t="shared" si="41"/>
        <v/>
      </c>
      <c r="D336" t="str">
        <f t="shared" si="47"/>
        <v/>
      </c>
      <c r="G336" s="6">
        <v>33</v>
      </c>
      <c r="H336">
        <f t="shared" si="43"/>
        <v>1</v>
      </c>
      <c r="I336" s="5" t="s">
        <v>768</v>
      </c>
      <c r="J336" s="5" t="s">
        <v>755</v>
      </c>
      <c r="K336" s="5" t="s">
        <v>768</v>
      </c>
      <c r="L336" s="7" t="s">
        <v>713</v>
      </c>
      <c r="Q336" t="s">
        <v>620</v>
      </c>
      <c r="R336">
        <v>70</v>
      </c>
      <c r="S336">
        <v>1</v>
      </c>
      <c r="T336" t="str">
        <f t="shared" si="42"/>
        <v>e</v>
      </c>
      <c r="U336" t="s">
        <v>257</v>
      </c>
      <c r="V336" t="s">
        <v>191</v>
      </c>
      <c r="W336" t="s">
        <v>87</v>
      </c>
      <c r="X336" t="s">
        <v>706</v>
      </c>
      <c r="Y336" t="s">
        <v>763</v>
      </c>
      <c r="Z336" t="s">
        <v>728</v>
      </c>
      <c r="AA336" t="s">
        <v>706</v>
      </c>
      <c r="AF336" t="s">
        <v>401</v>
      </c>
      <c r="AJ336">
        <v>1</v>
      </c>
      <c r="AM336" t="str">
        <f t="shared" si="45"/>
        <v>Zone_Entry_Exit</v>
      </c>
      <c r="AN336" t="str">
        <f t="shared" si="46"/>
        <v>Zone_Entry</v>
      </c>
      <c r="AP336" t="str">
        <f t="shared" si="44"/>
        <v>Offensive</v>
      </c>
      <c r="BB336" s="23"/>
      <c r="BD336" s="21"/>
      <c r="BE336" s="21"/>
      <c r="BF336" s="21"/>
      <c r="BG336" s="21"/>
      <c r="BH336" s="21"/>
      <c r="BI336" s="21"/>
    </row>
    <row r="337" spans="1:61" x14ac:dyDescent="0.2">
      <c r="A337">
        <v>168</v>
      </c>
      <c r="B337" t="s">
        <v>887</v>
      </c>
      <c r="C337" t="str">
        <f t="shared" si="41"/>
        <v/>
      </c>
      <c r="D337" t="str">
        <f t="shared" si="47"/>
        <v/>
      </c>
      <c r="G337" s="6">
        <v>33</v>
      </c>
      <c r="H337">
        <f t="shared" si="43"/>
        <v>1</v>
      </c>
      <c r="R337">
        <v>61</v>
      </c>
      <c r="S337">
        <v>1</v>
      </c>
      <c r="T337" t="str">
        <f t="shared" si="42"/>
        <v>e</v>
      </c>
      <c r="AM337" t="str">
        <f t="shared" si="45"/>
        <v>Zone_Entry_Exit</v>
      </c>
      <c r="AN337" t="str">
        <f t="shared" si="46"/>
        <v>Zone_Entry</v>
      </c>
      <c r="AP337" t="str">
        <f t="shared" si="44"/>
        <v>Offensive</v>
      </c>
      <c r="BB337" s="23"/>
      <c r="BD337" s="21"/>
      <c r="BE337" s="21"/>
      <c r="BF337" s="21"/>
      <c r="BG337" s="21"/>
      <c r="BH337" s="21"/>
      <c r="BI337" s="21"/>
    </row>
    <row r="338" spans="1:61" x14ac:dyDescent="0.2">
      <c r="A338">
        <v>168</v>
      </c>
      <c r="B338" t="s">
        <v>887</v>
      </c>
      <c r="C338" t="str">
        <f t="shared" si="41"/>
        <v/>
      </c>
      <c r="D338" t="str">
        <f t="shared" si="47"/>
        <v/>
      </c>
      <c r="G338" s="6">
        <v>33</v>
      </c>
      <c r="H338">
        <f t="shared" si="43"/>
        <v>1</v>
      </c>
      <c r="R338">
        <v>14</v>
      </c>
      <c r="S338">
        <v>1</v>
      </c>
      <c r="T338" t="str">
        <f t="shared" si="42"/>
        <v>e</v>
      </c>
      <c r="AM338" t="str">
        <f t="shared" si="45"/>
        <v>Zone_Entry_Exit</v>
      </c>
      <c r="AN338" t="str">
        <f t="shared" si="46"/>
        <v>Zone_Entry</v>
      </c>
      <c r="AP338" t="str">
        <f t="shared" si="44"/>
        <v>Offensive</v>
      </c>
      <c r="BB338" s="23"/>
      <c r="BD338" s="21"/>
      <c r="BE338" s="21"/>
      <c r="BF338" s="21"/>
      <c r="BG338" s="21"/>
      <c r="BH338" s="21"/>
      <c r="BI338" s="21"/>
    </row>
    <row r="339" spans="1:61" x14ac:dyDescent="0.2">
      <c r="A339">
        <v>168</v>
      </c>
      <c r="B339" t="s">
        <v>887</v>
      </c>
      <c r="C339" t="str">
        <f t="shared" si="41"/>
        <v/>
      </c>
      <c r="D339" t="str">
        <f t="shared" si="47"/>
        <v/>
      </c>
      <c r="G339" s="6">
        <v>33</v>
      </c>
      <c r="H339">
        <f t="shared" si="43"/>
        <v>1</v>
      </c>
      <c r="R339">
        <v>4</v>
      </c>
      <c r="T339" t="str">
        <f t="shared" si="42"/>
        <v>o</v>
      </c>
      <c r="Y339" t="s">
        <v>764</v>
      </c>
      <c r="AA339" t="s">
        <v>705</v>
      </c>
      <c r="AJ339">
        <v>1</v>
      </c>
      <c r="AM339" t="str">
        <f t="shared" si="45"/>
        <v>Zone_Entry_Exit</v>
      </c>
      <c r="AN339" t="str">
        <f t="shared" si="46"/>
        <v>Zone_Entry</v>
      </c>
      <c r="AP339" t="str">
        <f t="shared" si="44"/>
        <v>Defensive</v>
      </c>
      <c r="BB339" s="23"/>
      <c r="BD339" s="21"/>
      <c r="BE339" s="21"/>
      <c r="BF339" s="21"/>
      <c r="BG339" s="21"/>
      <c r="BH339" s="21"/>
      <c r="BI339" s="21"/>
    </row>
    <row r="340" spans="1:61" x14ac:dyDescent="0.2">
      <c r="A340">
        <v>168</v>
      </c>
      <c r="B340" t="s">
        <v>887</v>
      </c>
      <c r="C340" t="str">
        <f t="shared" si="41"/>
        <v/>
      </c>
      <c r="D340" t="str">
        <f t="shared" si="47"/>
        <v/>
      </c>
      <c r="G340" s="6">
        <v>33</v>
      </c>
      <c r="H340">
        <f t="shared" si="43"/>
        <v>1</v>
      </c>
      <c r="R340">
        <v>25</v>
      </c>
      <c r="T340" t="str">
        <f t="shared" si="42"/>
        <v>o</v>
      </c>
      <c r="AJ340">
        <v>1</v>
      </c>
      <c r="AM340" t="str">
        <f t="shared" si="45"/>
        <v>Zone_Entry_Exit</v>
      </c>
      <c r="AN340" t="str">
        <f t="shared" si="46"/>
        <v>Zone_Entry</v>
      </c>
      <c r="AP340" t="str">
        <f t="shared" si="44"/>
        <v>Defensive</v>
      </c>
      <c r="BB340" s="23"/>
      <c r="BD340" s="21"/>
      <c r="BE340" s="21"/>
      <c r="BF340" s="21"/>
      <c r="BG340" s="21"/>
      <c r="BH340" s="21"/>
      <c r="BI340" s="21"/>
    </row>
    <row r="341" spans="1:61" x14ac:dyDescent="0.2">
      <c r="A341">
        <v>168</v>
      </c>
      <c r="B341" t="s">
        <v>887</v>
      </c>
      <c r="C341" t="str">
        <f t="shared" si="41"/>
        <v/>
      </c>
      <c r="D341" t="str">
        <f t="shared" si="47"/>
        <v/>
      </c>
      <c r="G341" s="6">
        <v>33</v>
      </c>
      <c r="H341">
        <f t="shared" si="43"/>
        <v>1</v>
      </c>
      <c r="R341">
        <v>77</v>
      </c>
      <c r="T341" t="str">
        <f t="shared" si="42"/>
        <v>o</v>
      </c>
      <c r="AM341" t="str">
        <f t="shared" si="45"/>
        <v>Zone_Entry_Exit</v>
      </c>
      <c r="AN341" t="str">
        <f t="shared" si="46"/>
        <v>Zone_Entry</v>
      </c>
      <c r="AP341" t="str">
        <f t="shared" si="44"/>
        <v>Defensive</v>
      </c>
      <c r="BB341" s="23"/>
      <c r="BD341" s="21"/>
      <c r="BE341" s="21"/>
      <c r="BF341" s="21"/>
      <c r="BG341" s="21"/>
      <c r="BH341" s="21"/>
      <c r="BI341" s="21"/>
    </row>
    <row r="342" spans="1:61" x14ac:dyDescent="0.2">
      <c r="A342">
        <v>169</v>
      </c>
      <c r="B342" t="s">
        <v>887</v>
      </c>
      <c r="C342" t="str">
        <f t="shared" si="41"/>
        <v/>
      </c>
      <c r="D342" t="str">
        <f t="shared" si="47"/>
        <v/>
      </c>
      <c r="G342" s="6">
        <v>33</v>
      </c>
      <c r="H342">
        <f t="shared" si="43"/>
        <v>1</v>
      </c>
      <c r="I342" s="5" t="s">
        <v>768</v>
      </c>
      <c r="J342" s="5" t="s">
        <v>713</v>
      </c>
      <c r="Q342" t="s">
        <v>620</v>
      </c>
      <c r="R342">
        <v>70</v>
      </c>
      <c r="S342">
        <v>1</v>
      </c>
      <c r="T342" t="str">
        <f t="shared" si="42"/>
        <v>e</v>
      </c>
      <c r="U342" t="s">
        <v>8</v>
      </c>
      <c r="V342" t="s">
        <v>199</v>
      </c>
      <c r="W342" t="s">
        <v>69</v>
      </c>
      <c r="X342" t="s">
        <v>705</v>
      </c>
      <c r="AF342" t="s">
        <v>401</v>
      </c>
      <c r="AM342" t="str">
        <f t="shared" si="45"/>
        <v>Pass</v>
      </c>
      <c r="AN342" t="str">
        <f t="shared" si="46"/>
        <v>Pass_Missed</v>
      </c>
      <c r="AP342" t="str">
        <f t="shared" si="44"/>
        <v>Offensive</v>
      </c>
      <c r="BB342" s="23"/>
      <c r="BD342" s="21"/>
      <c r="BE342" s="21"/>
      <c r="BF342" s="21"/>
      <c r="BG342" s="21"/>
      <c r="BH342" s="21"/>
      <c r="BI342" s="21"/>
    </row>
    <row r="343" spans="1:61" x14ac:dyDescent="0.2">
      <c r="A343">
        <v>169</v>
      </c>
      <c r="B343" t="s">
        <v>887</v>
      </c>
      <c r="C343" t="str">
        <f t="shared" si="41"/>
        <v/>
      </c>
      <c r="D343" t="str">
        <f t="shared" si="47"/>
        <v/>
      </c>
      <c r="G343" s="6">
        <v>33</v>
      </c>
      <c r="H343">
        <f t="shared" si="43"/>
        <v>1</v>
      </c>
      <c r="R343">
        <v>14</v>
      </c>
      <c r="S343">
        <v>1</v>
      </c>
      <c r="T343" t="str">
        <f t="shared" si="42"/>
        <v>e</v>
      </c>
      <c r="AM343" t="str">
        <f t="shared" si="45"/>
        <v>Pass</v>
      </c>
      <c r="AN343" t="str">
        <f t="shared" si="46"/>
        <v>Pass_Missed</v>
      </c>
      <c r="AP343" t="str">
        <f t="shared" si="44"/>
        <v>Offensive</v>
      </c>
      <c r="BB343" s="23"/>
      <c r="BD343" s="21"/>
      <c r="BE343" s="21"/>
      <c r="BF343" s="21"/>
      <c r="BG343" s="21"/>
      <c r="BH343" s="21"/>
      <c r="BI343" s="21"/>
    </row>
    <row r="344" spans="1:61" x14ac:dyDescent="0.2">
      <c r="A344">
        <v>169</v>
      </c>
      <c r="B344" t="s">
        <v>887</v>
      </c>
      <c r="C344" t="str">
        <f t="shared" si="41"/>
        <v/>
      </c>
      <c r="D344" t="str">
        <f t="shared" si="47"/>
        <v/>
      </c>
      <c r="G344" s="6">
        <v>33</v>
      </c>
      <c r="H344">
        <f t="shared" si="43"/>
        <v>1</v>
      </c>
      <c r="R344">
        <v>89</v>
      </c>
      <c r="T344" t="str">
        <f t="shared" si="42"/>
        <v>o</v>
      </c>
      <c r="Y344" t="s">
        <v>722</v>
      </c>
      <c r="AM344" t="str">
        <f t="shared" si="45"/>
        <v>Pass</v>
      </c>
      <c r="AN344" t="str">
        <f t="shared" si="46"/>
        <v>Pass_Missed</v>
      </c>
      <c r="AP344" t="str">
        <f t="shared" si="44"/>
        <v>Defensive</v>
      </c>
      <c r="BB344" s="23"/>
      <c r="BD344" s="21"/>
      <c r="BE344" s="21"/>
      <c r="BF344" s="21"/>
      <c r="BG344" s="21"/>
      <c r="BH344" s="21"/>
      <c r="BI344" s="21"/>
    </row>
    <row r="345" spans="1:61" x14ac:dyDescent="0.2">
      <c r="A345">
        <v>170</v>
      </c>
      <c r="B345" t="s">
        <v>887</v>
      </c>
      <c r="C345" t="str">
        <f t="shared" si="41"/>
        <v/>
      </c>
      <c r="D345" t="str">
        <f t="shared" si="47"/>
        <v/>
      </c>
      <c r="G345" s="6">
        <v>33</v>
      </c>
      <c r="H345">
        <f t="shared" si="43"/>
        <v>1</v>
      </c>
      <c r="I345" s="5" t="s">
        <v>768</v>
      </c>
      <c r="J345" s="5" t="s">
        <v>790</v>
      </c>
      <c r="Q345" t="s">
        <v>620</v>
      </c>
      <c r="R345">
        <v>91</v>
      </c>
      <c r="S345">
        <v>1</v>
      </c>
      <c r="T345" t="str">
        <f t="shared" si="42"/>
        <v>e</v>
      </c>
      <c r="U345" t="s">
        <v>15</v>
      </c>
      <c r="V345" t="s">
        <v>698</v>
      </c>
      <c r="X345" t="s">
        <v>706</v>
      </c>
      <c r="Y345" t="s">
        <v>756</v>
      </c>
      <c r="AA345" t="s">
        <v>706</v>
      </c>
      <c r="AF345" t="s">
        <v>401</v>
      </c>
      <c r="AM345" t="str">
        <f t="shared" si="45"/>
        <v>Possession</v>
      </c>
      <c r="AN345" t="str">
        <f t="shared" si="46"/>
        <v>PuckRecovery</v>
      </c>
      <c r="AP345" t="str">
        <f t="shared" si="44"/>
        <v>Offensive</v>
      </c>
      <c r="BB345" s="23"/>
      <c r="BD345" s="21"/>
      <c r="BE345" s="21"/>
      <c r="BF345" s="21"/>
      <c r="BG345" s="21"/>
      <c r="BH345" s="21"/>
      <c r="BI345" s="21"/>
    </row>
    <row r="346" spans="1:61" x14ac:dyDescent="0.2">
      <c r="A346">
        <v>171</v>
      </c>
      <c r="B346" t="s">
        <v>887</v>
      </c>
      <c r="C346" t="str">
        <f t="shared" si="41"/>
        <v/>
      </c>
      <c r="D346" t="str">
        <f t="shared" si="47"/>
        <v/>
      </c>
      <c r="G346" s="6">
        <v>33</v>
      </c>
      <c r="H346">
        <f t="shared" si="43"/>
        <v>1</v>
      </c>
      <c r="I346" s="5" t="s">
        <v>768</v>
      </c>
      <c r="J346" s="5" t="s">
        <v>790</v>
      </c>
      <c r="Q346" t="s">
        <v>620</v>
      </c>
      <c r="R346">
        <v>91</v>
      </c>
      <c r="S346">
        <v>1</v>
      </c>
      <c r="T346" t="str">
        <f t="shared" si="42"/>
        <v>e</v>
      </c>
      <c r="U346" t="s">
        <v>10</v>
      </c>
      <c r="V346" t="s">
        <v>190</v>
      </c>
      <c r="W346" t="s">
        <v>424</v>
      </c>
      <c r="X346" t="s">
        <v>705</v>
      </c>
      <c r="Y346" t="s">
        <v>718</v>
      </c>
      <c r="AA346" t="s">
        <v>705</v>
      </c>
      <c r="AF346" t="s">
        <v>401</v>
      </c>
      <c r="AM346" t="str">
        <f t="shared" si="45"/>
        <v>Turnover</v>
      </c>
      <c r="AN346" t="str">
        <f t="shared" si="46"/>
        <v>Turnover_Giveaway</v>
      </c>
      <c r="AP346" t="str">
        <f t="shared" si="44"/>
        <v>Offensive</v>
      </c>
      <c r="BB346" s="23"/>
      <c r="BD346" s="21"/>
      <c r="BE346" s="21"/>
      <c r="BF346" s="21"/>
      <c r="BG346" s="21"/>
      <c r="BH346" s="21"/>
      <c r="BI346" s="21"/>
    </row>
    <row r="347" spans="1:61" x14ac:dyDescent="0.2">
      <c r="A347">
        <v>172</v>
      </c>
      <c r="B347" t="s">
        <v>887</v>
      </c>
      <c r="C347" t="str">
        <f t="shared" si="41"/>
        <v/>
      </c>
      <c r="D347" t="str">
        <f t="shared" si="47"/>
        <v/>
      </c>
      <c r="G347" s="6">
        <v>33</v>
      </c>
      <c r="H347">
        <f t="shared" si="43"/>
        <v>1</v>
      </c>
      <c r="I347" s="5" t="s">
        <v>768</v>
      </c>
      <c r="J347" s="5" t="s">
        <v>719</v>
      </c>
      <c r="Q347" t="s">
        <v>619</v>
      </c>
      <c r="R347">
        <v>80</v>
      </c>
      <c r="S347">
        <v>1</v>
      </c>
      <c r="T347" t="str">
        <f t="shared" si="42"/>
        <v>e</v>
      </c>
      <c r="U347" t="s">
        <v>15</v>
      </c>
      <c r="V347" t="s">
        <v>697</v>
      </c>
      <c r="X347" t="s">
        <v>706</v>
      </c>
      <c r="Y347" t="s">
        <v>712</v>
      </c>
      <c r="AA347" t="s">
        <v>706</v>
      </c>
      <c r="AF347" t="s">
        <v>623</v>
      </c>
      <c r="AJ347">
        <v>1</v>
      </c>
      <c r="AM347" t="str">
        <f t="shared" si="45"/>
        <v>Possession</v>
      </c>
      <c r="AN347" t="str">
        <f t="shared" si="46"/>
        <v>PuckRetrieval</v>
      </c>
      <c r="AP347" t="str">
        <f t="shared" si="44"/>
        <v>Offensive</v>
      </c>
      <c r="BB347" s="23"/>
      <c r="BD347" s="21"/>
      <c r="BE347" s="21"/>
      <c r="BF347" s="21"/>
      <c r="BG347" s="21"/>
      <c r="BH347" s="21"/>
      <c r="BI347" s="21"/>
    </row>
    <row r="348" spans="1:61" x14ac:dyDescent="0.2">
      <c r="A348">
        <v>172</v>
      </c>
      <c r="B348" t="s">
        <v>887</v>
      </c>
      <c r="C348" t="str">
        <f t="shared" si="41"/>
        <v/>
      </c>
      <c r="D348" t="str">
        <f t="shared" si="47"/>
        <v/>
      </c>
      <c r="G348" s="6">
        <v>33</v>
      </c>
      <c r="H348">
        <f t="shared" si="43"/>
        <v>1</v>
      </c>
      <c r="R348">
        <v>9</v>
      </c>
      <c r="T348" t="str">
        <f t="shared" si="42"/>
        <v>o</v>
      </c>
      <c r="Y348" t="s">
        <v>775</v>
      </c>
      <c r="Z348" t="s">
        <v>737</v>
      </c>
      <c r="AA348" t="s">
        <v>705</v>
      </c>
      <c r="AJ348">
        <v>1</v>
      </c>
      <c r="AM348" t="str">
        <f t="shared" si="45"/>
        <v>Possession</v>
      </c>
      <c r="AN348" t="str">
        <f t="shared" si="46"/>
        <v>PuckRetrieval</v>
      </c>
      <c r="AP348" t="str">
        <f t="shared" si="44"/>
        <v>Defensive</v>
      </c>
      <c r="BB348" s="23"/>
      <c r="BD348" s="21"/>
      <c r="BE348" s="21"/>
      <c r="BF348" s="21"/>
      <c r="BG348" s="21"/>
      <c r="BH348" s="21"/>
      <c r="BI348" s="21"/>
    </row>
    <row r="349" spans="1:61" x14ac:dyDescent="0.2">
      <c r="A349">
        <v>173</v>
      </c>
      <c r="B349" t="s">
        <v>887</v>
      </c>
      <c r="C349" t="str">
        <f t="shared" si="41"/>
        <v/>
      </c>
      <c r="D349" t="str">
        <f t="shared" si="47"/>
        <v/>
      </c>
      <c r="G349" s="6">
        <v>34</v>
      </c>
      <c r="H349">
        <f t="shared" si="43"/>
        <v>1</v>
      </c>
      <c r="I349" s="5" t="s">
        <v>768</v>
      </c>
      <c r="J349" s="5" t="s">
        <v>779</v>
      </c>
      <c r="K349" s="5" t="s">
        <v>768</v>
      </c>
      <c r="L349" s="7" t="s">
        <v>791</v>
      </c>
      <c r="Q349" t="s">
        <v>619</v>
      </c>
      <c r="R349">
        <v>80</v>
      </c>
      <c r="S349">
        <v>1</v>
      </c>
      <c r="T349" t="str">
        <f t="shared" si="42"/>
        <v>e</v>
      </c>
      <c r="U349" t="s">
        <v>257</v>
      </c>
      <c r="V349" t="s">
        <v>201</v>
      </c>
      <c r="W349" t="s">
        <v>90</v>
      </c>
      <c r="X349" t="s">
        <v>706</v>
      </c>
      <c r="AF349" t="s">
        <v>623</v>
      </c>
      <c r="AM349" t="str">
        <f t="shared" si="45"/>
        <v>Zone_Entry_Exit</v>
      </c>
      <c r="AN349" t="str">
        <f t="shared" si="46"/>
        <v>Zone_Exit</v>
      </c>
      <c r="AP349" t="str">
        <f t="shared" si="44"/>
        <v>Offensive</v>
      </c>
      <c r="BB349" s="23"/>
      <c r="BD349" s="21"/>
      <c r="BE349" s="21"/>
      <c r="BF349" s="21"/>
      <c r="BG349" s="21"/>
      <c r="BH349" s="21"/>
      <c r="BI349" s="21"/>
    </row>
    <row r="350" spans="1:61" x14ac:dyDescent="0.2">
      <c r="A350">
        <v>174</v>
      </c>
      <c r="B350" t="s">
        <v>887</v>
      </c>
      <c r="C350" t="str">
        <f t="shared" si="41"/>
        <v/>
      </c>
      <c r="D350" t="str">
        <f t="shared" si="47"/>
        <v/>
      </c>
      <c r="G350" s="6">
        <v>35</v>
      </c>
      <c r="H350">
        <f t="shared" si="43"/>
        <v>1</v>
      </c>
      <c r="I350" s="5" t="s">
        <v>768</v>
      </c>
      <c r="J350" s="5" t="s">
        <v>791</v>
      </c>
      <c r="K350" s="5" t="s">
        <v>768</v>
      </c>
      <c r="L350" s="7" t="s">
        <v>721</v>
      </c>
      <c r="Q350" t="s">
        <v>619</v>
      </c>
      <c r="R350">
        <v>80</v>
      </c>
      <c r="S350">
        <v>1</v>
      </c>
      <c r="T350" t="str">
        <f t="shared" si="42"/>
        <v>e</v>
      </c>
      <c r="U350" t="s">
        <v>15</v>
      </c>
      <c r="AF350" t="s">
        <v>635</v>
      </c>
      <c r="AJ350">
        <v>1</v>
      </c>
      <c r="AM350" t="str">
        <f t="shared" si="45"/>
        <v>Possession</v>
      </c>
      <c r="AN350" t="str">
        <f t="shared" si="46"/>
        <v/>
      </c>
      <c r="AP350" t="str">
        <f t="shared" si="44"/>
        <v>Offensive</v>
      </c>
      <c r="BB350" s="23"/>
      <c r="BD350" s="21"/>
      <c r="BE350" s="21"/>
      <c r="BF350" s="21"/>
      <c r="BG350" s="21"/>
      <c r="BH350" s="21"/>
      <c r="BI350" s="21"/>
    </row>
    <row r="351" spans="1:61" x14ac:dyDescent="0.2">
      <c r="A351">
        <v>174</v>
      </c>
      <c r="B351" t="s">
        <v>887</v>
      </c>
      <c r="C351" t="str">
        <f t="shared" si="41"/>
        <v/>
      </c>
      <c r="D351" t="str">
        <f t="shared" si="47"/>
        <v/>
      </c>
      <c r="G351" s="6">
        <v>35</v>
      </c>
      <c r="H351">
        <f t="shared" si="43"/>
        <v>1</v>
      </c>
      <c r="R351">
        <v>14</v>
      </c>
      <c r="T351" t="str">
        <f t="shared" si="42"/>
        <v>o</v>
      </c>
      <c r="AJ351">
        <v>1</v>
      </c>
      <c r="AM351" t="str">
        <f t="shared" si="45"/>
        <v>Possession</v>
      </c>
      <c r="AN351" t="str">
        <f t="shared" si="46"/>
        <v/>
      </c>
      <c r="AP351" t="str">
        <f t="shared" si="44"/>
        <v>Defensive</v>
      </c>
      <c r="BB351" s="23"/>
      <c r="BD351" s="21"/>
      <c r="BE351" s="21"/>
      <c r="BF351" s="21"/>
      <c r="BG351" s="21"/>
      <c r="BH351" s="21"/>
      <c r="BI351" s="21"/>
    </row>
    <row r="352" spans="1:61" x14ac:dyDescent="0.2">
      <c r="A352">
        <v>175</v>
      </c>
      <c r="B352" t="s">
        <v>887</v>
      </c>
      <c r="C352" t="str">
        <f t="shared" si="41"/>
        <v/>
      </c>
      <c r="D352" t="str">
        <f t="shared" si="47"/>
        <v/>
      </c>
      <c r="G352" s="6">
        <v>35</v>
      </c>
      <c r="H352">
        <f t="shared" si="43"/>
        <v>1</v>
      </c>
      <c r="I352" s="5" t="s">
        <v>768</v>
      </c>
      <c r="J352" s="5" t="s">
        <v>726</v>
      </c>
      <c r="K352" s="5" t="s">
        <v>768</v>
      </c>
      <c r="L352" s="7" t="s">
        <v>759</v>
      </c>
      <c r="Q352" t="s">
        <v>619</v>
      </c>
      <c r="R352">
        <v>89</v>
      </c>
      <c r="S352">
        <v>1</v>
      </c>
      <c r="T352" t="str">
        <f t="shared" si="42"/>
        <v>e</v>
      </c>
      <c r="U352" t="s">
        <v>15</v>
      </c>
      <c r="V352" t="s">
        <v>698</v>
      </c>
      <c r="X352" t="s">
        <v>706</v>
      </c>
      <c r="Y352" t="s">
        <v>752</v>
      </c>
      <c r="AF352" t="s">
        <v>635</v>
      </c>
      <c r="AM352" t="str">
        <f t="shared" si="45"/>
        <v>Possession</v>
      </c>
      <c r="AN352" t="str">
        <f t="shared" si="46"/>
        <v>PuckRecovery</v>
      </c>
      <c r="AP352" t="str">
        <f t="shared" si="44"/>
        <v>Offensive</v>
      </c>
      <c r="BB352" s="23"/>
      <c r="BD352" s="21"/>
      <c r="BE352" s="21"/>
      <c r="BF352" s="21"/>
      <c r="BG352" s="21"/>
      <c r="BH352" s="21"/>
      <c r="BI352" s="21"/>
    </row>
    <row r="353" spans="1:61" x14ac:dyDescent="0.2">
      <c r="A353">
        <v>176</v>
      </c>
      <c r="B353" t="s">
        <v>887</v>
      </c>
      <c r="C353" t="str">
        <f t="shared" si="41"/>
        <v/>
      </c>
      <c r="D353" t="str">
        <f t="shared" si="47"/>
        <v/>
      </c>
      <c r="G353" s="6">
        <v>36</v>
      </c>
      <c r="H353">
        <f t="shared" si="43"/>
        <v>1</v>
      </c>
      <c r="I353" s="5" t="s">
        <v>768</v>
      </c>
      <c r="J353" s="5" t="s">
        <v>759</v>
      </c>
      <c r="K353" s="5" t="s">
        <v>768</v>
      </c>
      <c r="L353" s="7" t="s">
        <v>727</v>
      </c>
      <c r="Q353" t="s">
        <v>619</v>
      </c>
      <c r="R353">
        <v>89</v>
      </c>
      <c r="S353">
        <v>1</v>
      </c>
      <c r="T353" t="str">
        <f t="shared" si="42"/>
        <v>e</v>
      </c>
      <c r="U353" t="s">
        <v>257</v>
      </c>
      <c r="V353" t="s">
        <v>191</v>
      </c>
      <c r="W353" t="s">
        <v>87</v>
      </c>
      <c r="X353" t="s">
        <v>706</v>
      </c>
      <c r="AF353" t="s">
        <v>401</v>
      </c>
      <c r="AM353" t="str">
        <f t="shared" si="45"/>
        <v>Zone_Entry_Exit</v>
      </c>
      <c r="AN353" t="str">
        <f t="shared" si="46"/>
        <v>Zone_Entry</v>
      </c>
      <c r="AP353" t="str">
        <f t="shared" si="44"/>
        <v>Offensive</v>
      </c>
      <c r="BB353" s="23"/>
      <c r="BD353" s="21"/>
      <c r="BE353" s="21"/>
      <c r="BF353" s="21"/>
      <c r="BG353" s="21"/>
      <c r="BH353" s="21"/>
      <c r="BI353" s="21"/>
    </row>
    <row r="354" spans="1:61" x14ac:dyDescent="0.2">
      <c r="A354">
        <v>176</v>
      </c>
      <c r="B354" t="s">
        <v>887</v>
      </c>
      <c r="C354" t="str">
        <f t="shared" si="41"/>
        <v/>
      </c>
      <c r="D354" t="str">
        <f t="shared" si="47"/>
        <v/>
      </c>
      <c r="G354" s="6">
        <v>36</v>
      </c>
      <c r="H354">
        <f t="shared" si="43"/>
        <v>1</v>
      </c>
      <c r="R354">
        <v>77</v>
      </c>
      <c r="S354">
        <v>1</v>
      </c>
      <c r="T354" t="str">
        <f t="shared" si="42"/>
        <v>e</v>
      </c>
      <c r="AM354" t="str">
        <f t="shared" si="45"/>
        <v>Zone_Entry_Exit</v>
      </c>
      <c r="AN354" t="str">
        <f t="shared" si="46"/>
        <v>Zone_Entry</v>
      </c>
      <c r="AP354" t="str">
        <f t="shared" si="44"/>
        <v>Offensive</v>
      </c>
      <c r="BB354" s="23"/>
      <c r="BD354" s="21"/>
      <c r="BE354" s="21"/>
      <c r="BF354" s="21"/>
      <c r="BG354" s="21"/>
      <c r="BH354" s="21"/>
      <c r="BI354" s="21"/>
    </row>
    <row r="355" spans="1:61" x14ac:dyDescent="0.2">
      <c r="A355">
        <v>176</v>
      </c>
      <c r="B355" t="s">
        <v>887</v>
      </c>
      <c r="C355" t="str">
        <f t="shared" si="41"/>
        <v/>
      </c>
      <c r="D355" t="str">
        <f t="shared" si="47"/>
        <v/>
      </c>
      <c r="G355" s="6">
        <v>36</v>
      </c>
      <c r="H355">
        <f t="shared" si="43"/>
        <v>1</v>
      </c>
      <c r="R355">
        <v>91</v>
      </c>
      <c r="T355" t="str">
        <f t="shared" si="42"/>
        <v>o</v>
      </c>
      <c r="AM355" t="str">
        <f t="shared" si="45"/>
        <v>Zone_Entry_Exit</v>
      </c>
      <c r="AN355" t="str">
        <f t="shared" si="46"/>
        <v>Zone_Entry</v>
      </c>
      <c r="AP355" t="str">
        <f t="shared" si="44"/>
        <v>Defensive</v>
      </c>
      <c r="BB355" s="23"/>
      <c r="BD355" s="21"/>
      <c r="BE355" s="21"/>
      <c r="BF355" s="21"/>
      <c r="BG355" s="21"/>
      <c r="BH355" s="21"/>
      <c r="BI355" s="21"/>
    </row>
    <row r="356" spans="1:61" x14ac:dyDescent="0.2">
      <c r="A356">
        <v>176</v>
      </c>
      <c r="B356" t="s">
        <v>887</v>
      </c>
      <c r="C356" t="str">
        <f t="shared" si="41"/>
        <v/>
      </c>
      <c r="D356" t="str">
        <f t="shared" si="47"/>
        <v/>
      </c>
      <c r="G356" s="6">
        <v>36</v>
      </c>
      <c r="H356">
        <f t="shared" si="43"/>
        <v>1</v>
      </c>
      <c r="R356">
        <v>9</v>
      </c>
      <c r="T356" t="str">
        <f t="shared" si="42"/>
        <v>o</v>
      </c>
      <c r="AM356" t="str">
        <f t="shared" si="45"/>
        <v>Zone_Entry_Exit</v>
      </c>
      <c r="AN356" t="str">
        <f t="shared" si="46"/>
        <v>Zone_Entry</v>
      </c>
      <c r="AP356" t="str">
        <f t="shared" si="44"/>
        <v>Defensive</v>
      </c>
      <c r="BB356" s="23"/>
      <c r="BD356" s="21"/>
      <c r="BE356" s="21"/>
      <c r="BF356" s="21"/>
      <c r="BG356" s="21"/>
      <c r="BH356" s="21"/>
      <c r="BI356" s="21"/>
    </row>
    <row r="357" spans="1:61" x14ac:dyDescent="0.2">
      <c r="A357">
        <v>177</v>
      </c>
      <c r="B357">
        <v>36</v>
      </c>
      <c r="C357">
        <f t="shared" si="41"/>
        <v>9036</v>
      </c>
      <c r="D357">
        <f t="shared" si="47"/>
        <v>9036</v>
      </c>
      <c r="G357" s="6">
        <v>36</v>
      </c>
      <c r="H357">
        <f t="shared" si="43"/>
        <v>1</v>
      </c>
      <c r="I357" s="5" t="s">
        <v>768</v>
      </c>
      <c r="J357" s="5" t="s">
        <v>727</v>
      </c>
      <c r="Q357" t="s">
        <v>619</v>
      </c>
      <c r="R357">
        <v>89</v>
      </c>
      <c r="S357">
        <v>1</v>
      </c>
      <c r="T357" t="str">
        <f t="shared" si="42"/>
        <v>e</v>
      </c>
      <c r="U357" t="s">
        <v>8</v>
      </c>
      <c r="V357" t="s">
        <v>199</v>
      </c>
      <c r="W357" t="s">
        <v>69</v>
      </c>
      <c r="X357" t="s">
        <v>705</v>
      </c>
      <c r="AF357" t="s">
        <v>401</v>
      </c>
      <c r="AM357" t="str">
        <f t="shared" si="45"/>
        <v>Pass</v>
      </c>
      <c r="AN357" t="str">
        <f t="shared" si="46"/>
        <v>Pass_Missed</v>
      </c>
      <c r="AP357" t="str">
        <f t="shared" si="44"/>
        <v>Offensive</v>
      </c>
      <c r="BB357" s="23"/>
      <c r="BD357" s="21"/>
      <c r="BE357" s="21"/>
      <c r="BF357" s="21"/>
      <c r="BG357" s="21"/>
      <c r="BH357" s="21"/>
      <c r="BI357" s="21"/>
    </row>
    <row r="358" spans="1:61" x14ac:dyDescent="0.2">
      <c r="A358">
        <v>177</v>
      </c>
      <c r="B358">
        <v>36</v>
      </c>
      <c r="C358">
        <f t="shared" si="41"/>
        <v>9036</v>
      </c>
      <c r="D358">
        <f t="shared" si="47"/>
        <v>9036</v>
      </c>
      <c r="G358" s="6">
        <v>36</v>
      </c>
      <c r="H358">
        <f t="shared" si="43"/>
        <v>1</v>
      </c>
      <c r="R358">
        <v>77</v>
      </c>
      <c r="S358">
        <v>1</v>
      </c>
      <c r="T358" t="str">
        <f t="shared" si="42"/>
        <v>e</v>
      </c>
      <c r="AM358" t="str">
        <f t="shared" si="45"/>
        <v>Pass</v>
      </c>
      <c r="AN358" t="str">
        <f t="shared" si="46"/>
        <v>Pass_Missed</v>
      </c>
      <c r="AP358" t="str">
        <f t="shared" si="44"/>
        <v>Offensive</v>
      </c>
      <c r="BB358" s="23"/>
      <c r="BD358" s="21"/>
      <c r="BE358" s="21"/>
      <c r="BF358" s="21"/>
      <c r="BG358" s="21"/>
      <c r="BH358" s="21"/>
      <c r="BI358" s="21"/>
    </row>
    <row r="359" spans="1:61" x14ac:dyDescent="0.2">
      <c r="A359">
        <v>177</v>
      </c>
      <c r="B359">
        <v>36</v>
      </c>
      <c r="C359">
        <f t="shared" si="41"/>
        <v>9036</v>
      </c>
      <c r="D359">
        <f t="shared" si="47"/>
        <v>9036</v>
      </c>
      <c r="G359" s="6">
        <v>36</v>
      </c>
      <c r="H359">
        <f t="shared" si="43"/>
        <v>1</v>
      </c>
      <c r="R359">
        <v>91</v>
      </c>
      <c r="T359" t="str">
        <f t="shared" si="42"/>
        <v>o</v>
      </c>
      <c r="Y359" t="s">
        <v>722</v>
      </c>
      <c r="AM359" t="str">
        <f t="shared" si="45"/>
        <v>Pass</v>
      </c>
      <c r="AN359" t="str">
        <f t="shared" si="46"/>
        <v>Pass_Missed</v>
      </c>
      <c r="AP359" t="str">
        <f t="shared" si="44"/>
        <v>Defensive</v>
      </c>
      <c r="BB359" s="23"/>
      <c r="BD359" s="21"/>
      <c r="BE359" s="21"/>
      <c r="BF359" s="21"/>
      <c r="BG359" s="21"/>
      <c r="BH359" s="21"/>
      <c r="BI359" s="21"/>
    </row>
    <row r="360" spans="1:61" x14ac:dyDescent="0.2">
      <c r="A360">
        <v>178</v>
      </c>
      <c r="B360">
        <v>36</v>
      </c>
      <c r="C360">
        <f t="shared" si="41"/>
        <v>9036</v>
      </c>
      <c r="D360">
        <f t="shared" si="47"/>
        <v>9036</v>
      </c>
      <c r="G360" s="6">
        <v>36</v>
      </c>
      <c r="H360">
        <f t="shared" si="43"/>
        <v>1</v>
      </c>
      <c r="I360" s="5" t="s">
        <v>768</v>
      </c>
      <c r="J360" s="5" t="s">
        <v>727</v>
      </c>
      <c r="Q360" t="s">
        <v>619</v>
      </c>
      <c r="R360">
        <v>89</v>
      </c>
      <c r="S360">
        <v>1</v>
      </c>
      <c r="T360" t="str">
        <f t="shared" si="42"/>
        <v>e</v>
      </c>
      <c r="U360" t="s">
        <v>10</v>
      </c>
      <c r="V360" t="s">
        <v>190</v>
      </c>
      <c r="W360" t="s">
        <v>76</v>
      </c>
      <c r="AF360" t="s">
        <v>401</v>
      </c>
      <c r="AM360" t="str">
        <f t="shared" si="45"/>
        <v>Turnover</v>
      </c>
      <c r="AN360" t="str">
        <f t="shared" si="46"/>
        <v>Turnover_Giveaway</v>
      </c>
      <c r="AP360" t="str">
        <f t="shared" si="44"/>
        <v>Offensive</v>
      </c>
      <c r="BB360" s="23"/>
      <c r="BD360" s="21"/>
      <c r="BE360" s="21"/>
      <c r="BF360" s="21"/>
      <c r="BG360" s="21"/>
      <c r="BH360" s="21"/>
      <c r="BI360" s="21"/>
    </row>
    <row r="361" spans="1:61" x14ac:dyDescent="0.2">
      <c r="A361">
        <v>178</v>
      </c>
      <c r="B361">
        <v>36</v>
      </c>
      <c r="C361">
        <f t="shared" si="41"/>
        <v>9036</v>
      </c>
      <c r="D361">
        <f t="shared" si="47"/>
        <v>9036</v>
      </c>
      <c r="G361" s="6">
        <v>36</v>
      </c>
      <c r="H361">
        <f t="shared" si="43"/>
        <v>1</v>
      </c>
      <c r="R361">
        <v>91</v>
      </c>
      <c r="T361" t="str">
        <f t="shared" si="42"/>
        <v>o</v>
      </c>
      <c r="AM361" t="str">
        <f t="shared" si="45"/>
        <v>Turnover</v>
      </c>
      <c r="AN361" t="str">
        <f t="shared" si="46"/>
        <v>Turnover_Giveaway</v>
      </c>
      <c r="AP361" t="str">
        <f t="shared" si="44"/>
        <v>Defensive</v>
      </c>
      <c r="BB361" s="23"/>
      <c r="BD361" s="21"/>
      <c r="BE361" s="21"/>
      <c r="BF361" s="21"/>
      <c r="BG361" s="21"/>
      <c r="BH361" s="21"/>
      <c r="BI361" s="21"/>
    </row>
    <row r="362" spans="1:61" x14ac:dyDescent="0.2">
      <c r="A362">
        <v>179</v>
      </c>
      <c r="B362" t="s">
        <v>887</v>
      </c>
      <c r="C362" t="str">
        <f t="shared" si="41"/>
        <v/>
      </c>
      <c r="D362" t="str">
        <f t="shared" si="47"/>
        <v/>
      </c>
      <c r="G362" s="6">
        <v>36</v>
      </c>
      <c r="H362">
        <f t="shared" si="43"/>
        <v>1</v>
      </c>
      <c r="I362" s="5" t="s">
        <v>768</v>
      </c>
      <c r="J362" s="5" t="s">
        <v>727</v>
      </c>
      <c r="K362" s="5" t="s">
        <v>768</v>
      </c>
      <c r="L362" s="7" t="s">
        <v>766</v>
      </c>
      <c r="Q362" t="s">
        <v>620</v>
      </c>
      <c r="R362">
        <v>9</v>
      </c>
      <c r="S362">
        <v>1</v>
      </c>
      <c r="T362" t="str">
        <f t="shared" si="42"/>
        <v>e</v>
      </c>
      <c r="U362" t="s">
        <v>15</v>
      </c>
      <c r="V362" t="s">
        <v>697</v>
      </c>
      <c r="X362" t="s">
        <v>706</v>
      </c>
      <c r="Y362" t="s">
        <v>712</v>
      </c>
      <c r="AA362" t="s">
        <v>706</v>
      </c>
      <c r="AF362" t="s">
        <v>623</v>
      </c>
      <c r="AM362" t="str">
        <f t="shared" si="45"/>
        <v>Possession</v>
      </c>
      <c r="AN362" t="str">
        <f t="shared" si="46"/>
        <v>PuckRetrieval</v>
      </c>
      <c r="AP362" t="str">
        <f t="shared" si="44"/>
        <v>Offensive</v>
      </c>
      <c r="BB362" s="23"/>
      <c r="BD362" s="21"/>
      <c r="BE362" s="21"/>
      <c r="BF362" s="21"/>
      <c r="BG362" s="21"/>
      <c r="BH362" s="21"/>
      <c r="BI362" s="21"/>
    </row>
    <row r="363" spans="1:61" x14ac:dyDescent="0.2">
      <c r="A363">
        <v>180</v>
      </c>
      <c r="B363" t="s">
        <v>887</v>
      </c>
      <c r="C363" t="str">
        <f t="shared" si="41"/>
        <v/>
      </c>
      <c r="D363" t="str">
        <f t="shared" si="47"/>
        <v/>
      </c>
      <c r="G363" s="6">
        <v>36</v>
      </c>
      <c r="H363">
        <f t="shared" si="43"/>
        <v>1</v>
      </c>
      <c r="I363" s="5" t="s">
        <v>768</v>
      </c>
      <c r="J363" s="5" t="s">
        <v>766</v>
      </c>
      <c r="Q363" t="s">
        <v>620</v>
      </c>
      <c r="R363">
        <v>9</v>
      </c>
      <c r="S363">
        <v>1</v>
      </c>
      <c r="T363" t="str">
        <f t="shared" si="42"/>
        <v>e</v>
      </c>
      <c r="U363" t="s">
        <v>8</v>
      </c>
      <c r="V363" t="s">
        <v>199</v>
      </c>
      <c r="W363" t="s">
        <v>70</v>
      </c>
      <c r="X363" t="s">
        <v>705</v>
      </c>
      <c r="AF363" t="s">
        <v>623</v>
      </c>
      <c r="AM363" t="str">
        <f t="shared" si="45"/>
        <v>Pass</v>
      </c>
      <c r="AN363" t="str">
        <f t="shared" si="46"/>
        <v>Pass_Missed</v>
      </c>
      <c r="AP363" t="str">
        <f t="shared" si="44"/>
        <v>Offensive</v>
      </c>
      <c r="BB363" s="23"/>
      <c r="BD363" s="21"/>
      <c r="BE363" s="21"/>
      <c r="BF363" s="21"/>
      <c r="BG363" s="21"/>
      <c r="BH363" s="21"/>
      <c r="BI363" s="21"/>
    </row>
    <row r="364" spans="1:61" x14ac:dyDescent="0.2">
      <c r="A364">
        <v>180</v>
      </c>
      <c r="B364" t="s">
        <v>887</v>
      </c>
      <c r="C364" t="str">
        <f t="shared" si="41"/>
        <v/>
      </c>
      <c r="D364" t="str">
        <f t="shared" si="47"/>
        <v/>
      </c>
      <c r="G364" s="6">
        <v>36</v>
      </c>
      <c r="H364">
        <f t="shared" si="43"/>
        <v>1</v>
      </c>
      <c r="R364">
        <v>61</v>
      </c>
      <c r="S364">
        <v>1</v>
      </c>
      <c r="T364" t="str">
        <f t="shared" si="42"/>
        <v>e</v>
      </c>
      <c r="AM364" t="str">
        <f t="shared" si="45"/>
        <v>Pass</v>
      </c>
      <c r="AN364" t="str">
        <f t="shared" si="46"/>
        <v>Pass_Missed</v>
      </c>
      <c r="AP364" t="str">
        <f t="shared" si="44"/>
        <v>Offensive</v>
      </c>
      <c r="BB364" s="23"/>
      <c r="BD364" s="21"/>
      <c r="BE364" s="21"/>
      <c r="BF364" s="21"/>
      <c r="BG364" s="21"/>
      <c r="BH364" s="21"/>
      <c r="BI364" s="21"/>
    </row>
    <row r="365" spans="1:61" x14ac:dyDescent="0.2">
      <c r="A365">
        <v>181</v>
      </c>
      <c r="B365" t="s">
        <v>887</v>
      </c>
      <c r="C365" t="str">
        <f t="shared" si="41"/>
        <v/>
      </c>
      <c r="D365" t="str">
        <f t="shared" si="47"/>
        <v/>
      </c>
      <c r="G365" s="6">
        <v>36</v>
      </c>
      <c r="H365">
        <f t="shared" si="43"/>
        <v>1</v>
      </c>
      <c r="I365" s="5" t="s">
        <v>768</v>
      </c>
      <c r="J365" s="5" t="s">
        <v>766</v>
      </c>
      <c r="Q365" t="s">
        <v>620</v>
      </c>
      <c r="R365">
        <v>9</v>
      </c>
      <c r="S365">
        <v>1</v>
      </c>
      <c r="T365" t="str">
        <f t="shared" si="42"/>
        <v>e</v>
      </c>
      <c r="U365" t="s">
        <v>257</v>
      </c>
      <c r="V365" t="s">
        <v>201</v>
      </c>
      <c r="W365" t="s">
        <v>409</v>
      </c>
      <c r="AF365" t="s">
        <v>623</v>
      </c>
      <c r="AM365" t="str">
        <f t="shared" si="45"/>
        <v>Zone_Entry_Exit</v>
      </c>
      <c r="AN365" t="str">
        <f t="shared" si="46"/>
        <v>Zone_Exit</v>
      </c>
      <c r="AP365" t="str">
        <f t="shared" si="44"/>
        <v>Offensive</v>
      </c>
      <c r="BB365" s="23"/>
      <c r="BD365" s="21"/>
      <c r="BE365" s="21"/>
      <c r="BF365" s="21"/>
      <c r="BG365" s="21"/>
      <c r="BH365" s="21"/>
      <c r="BI365" s="21"/>
    </row>
    <row r="366" spans="1:61" x14ac:dyDescent="0.2">
      <c r="A366">
        <v>182</v>
      </c>
      <c r="B366" t="s">
        <v>887</v>
      </c>
      <c r="C366" t="str">
        <f t="shared" si="41"/>
        <v/>
      </c>
      <c r="D366" t="str">
        <f t="shared" si="47"/>
        <v/>
      </c>
      <c r="G366" s="6">
        <v>37</v>
      </c>
      <c r="H366">
        <f t="shared" si="43"/>
        <v>1</v>
      </c>
      <c r="I366" s="5" t="s">
        <v>768</v>
      </c>
      <c r="J366" s="5" t="s">
        <v>766</v>
      </c>
      <c r="Q366" t="s">
        <v>620</v>
      </c>
      <c r="R366">
        <v>9</v>
      </c>
      <c r="S366">
        <v>1</v>
      </c>
      <c r="T366" t="str">
        <f t="shared" si="42"/>
        <v>e</v>
      </c>
      <c r="U366" t="s">
        <v>257</v>
      </c>
      <c r="V366" t="s">
        <v>191</v>
      </c>
      <c r="W366" t="s">
        <v>408</v>
      </c>
      <c r="AF366" t="s">
        <v>623</v>
      </c>
      <c r="AM366" t="str">
        <f t="shared" si="45"/>
        <v>Zone_Entry_Exit</v>
      </c>
      <c r="AN366" t="str">
        <f t="shared" si="46"/>
        <v>Zone_Entry</v>
      </c>
      <c r="AP366" t="str">
        <f t="shared" si="44"/>
        <v>Offensive</v>
      </c>
      <c r="BB366" s="23"/>
      <c r="BD366" s="21"/>
      <c r="BE366" s="21"/>
      <c r="BF366" s="21"/>
      <c r="BG366" s="21"/>
      <c r="BH366" s="21"/>
      <c r="BI366" s="21"/>
    </row>
    <row r="367" spans="1:61" x14ac:dyDescent="0.2">
      <c r="A367">
        <v>183</v>
      </c>
      <c r="B367" t="s">
        <v>887</v>
      </c>
      <c r="C367" t="str">
        <f t="shared" si="41"/>
        <v/>
      </c>
      <c r="D367" t="str">
        <f t="shared" si="47"/>
        <v/>
      </c>
      <c r="G367" s="6">
        <v>37</v>
      </c>
      <c r="H367">
        <f t="shared" si="43"/>
        <v>1</v>
      </c>
      <c r="I367" s="5" t="s">
        <v>768</v>
      </c>
      <c r="J367" s="5" t="s">
        <v>766</v>
      </c>
      <c r="Q367" t="s">
        <v>620</v>
      </c>
      <c r="R367">
        <v>9</v>
      </c>
      <c r="S367">
        <v>1</v>
      </c>
      <c r="T367" t="str">
        <f t="shared" si="42"/>
        <v>e</v>
      </c>
      <c r="U367" t="s">
        <v>10</v>
      </c>
      <c r="V367" t="s">
        <v>190</v>
      </c>
      <c r="W367" t="s">
        <v>76</v>
      </c>
      <c r="AF367" t="s">
        <v>623</v>
      </c>
      <c r="AM367" t="str">
        <f t="shared" si="45"/>
        <v>Turnover</v>
      </c>
      <c r="AN367" t="str">
        <f t="shared" si="46"/>
        <v>Turnover_Giveaway</v>
      </c>
      <c r="AP367" t="str">
        <f t="shared" si="44"/>
        <v>Offensive</v>
      </c>
      <c r="BB367" s="23"/>
      <c r="BD367" s="21"/>
      <c r="BE367" s="21"/>
      <c r="BF367" s="21"/>
      <c r="BG367" s="21"/>
      <c r="BH367" s="21"/>
      <c r="BI367" s="21"/>
    </row>
    <row r="368" spans="1:61" x14ac:dyDescent="0.2">
      <c r="A368">
        <v>184</v>
      </c>
      <c r="B368" t="s">
        <v>887</v>
      </c>
      <c r="C368" t="str">
        <f t="shared" si="41"/>
        <v/>
      </c>
      <c r="D368" t="str">
        <f t="shared" si="47"/>
        <v/>
      </c>
      <c r="G368" s="6">
        <v>37</v>
      </c>
      <c r="H368">
        <f t="shared" si="43"/>
        <v>1</v>
      </c>
      <c r="I368" s="5" t="s">
        <v>768</v>
      </c>
      <c r="J368" s="5" t="s">
        <v>732</v>
      </c>
      <c r="K368" s="5" t="s">
        <v>768</v>
      </c>
      <c r="L368" s="7" t="s">
        <v>768</v>
      </c>
      <c r="Q368" t="s">
        <v>619</v>
      </c>
      <c r="R368">
        <v>4</v>
      </c>
      <c r="S368">
        <v>1</v>
      </c>
      <c r="T368" t="str">
        <f t="shared" si="42"/>
        <v>e</v>
      </c>
      <c r="U368" t="s">
        <v>15</v>
      </c>
      <c r="V368" t="s">
        <v>697</v>
      </c>
      <c r="X368" t="s">
        <v>706</v>
      </c>
      <c r="Y368" t="s">
        <v>712</v>
      </c>
      <c r="AA368" t="s">
        <v>706</v>
      </c>
      <c r="AF368" t="s">
        <v>623</v>
      </c>
      <c r="AM368" t="str">
        <f t="shared" si="45"/>
        <v>Possession</v>
      </c>
      <c r="AN368" t="str">
        <f t="shared" si="46"/>
        <v>PuckRetrieval</v>
      </c>
      <c r="AP368" t="str">
        <f t="shared" si="44"/>
        <v>Offensive</v>
      </c>
      <c r="BB368" s="23"/>
      <c r="BD368" s="21"/>
      <c r="BE368" s="21"/>
      <c r="BF368" s="21"/>
      <c r="BG368" s="21"/>
      <c r="BH368" s="21"/>
      <c r="BI368" s="21"/>
    </row>
    <row r="369" spans="1:61" x14ac:dyDescent="0.2">
      <c r="A369">
        <v>185</v>
      </c>
      <c r="B369" t="s">
        <v>887</v>
      </c>
      <c r="C369" t="str">
        <f t="shared" si="41"/>
        <v/>
      </c>
      <c r="D369" t="str">
        <f t="shared" si="47"/>
        <v/>
      </c>
      <c r="G369" s="6">
        <v>37</v>
      </c>
      <c r="H369">
        <f t="shared" si="43"/>
        <v>1</v>
      </c>
      <c r="I369" s="5" t="s">
        <v>768</v>
      </c>
      <c r="J369" s="5" t="s">
        <v>768</v>
      </c>
      <c r="Q369" t="s">
        <v>619</v>
      </c>
      <c r="R369">
        <v>4</v>
      </c>
      <c r="S369">
        <v>1</v>
      </c>
      <c r="T369" t="str">
        <f t="shared" si="42"/>
        <v>e</v>
      </c>
      <c r="U369" t="s">
        <v>8</v>
      </c>
      <c r="V369" t="s">
        <v>189</v>
      </c>
      <c r="W369" t="s">
        <v>70</v>
      </c>
      <c r="X369" t="s">
        <v>706</v>
      </c>
      <c r="AF369" t="s">
        <v>623</v>
      </c>
      <c r="AM369" t="str">
        <f t="shared" si="45"/>
        <v>Pass</v>
      </c>
      <c r="AN369" t="str">
        <f t="shared" si="46"/>
        <v>Pass_Completed</v>
      </c>
      <c r="AP369" t="str">
        <f t="shared" si="44"/>
        <v>Offensive</v>
      </c>
      <c r="BB369" s="23"/>
      <c r="BD369" s="21"/>
      <c r="BE369" s="21"/>
      <c r="BF369" s="21"/>
      <c r="BG369" s="21"/>
      <c r="BH369" s="21"/>
      <c r="BI369" s="21"/>
    </row>
    <row r="370" spans="1:61" x14ac:dyDescent="0.2">
      <c r="A370">
        <v>185</v>
      </c>
      <c r="B370" t="s">
        <v>887</v>
      </c>
      <c r="C370" t="str">
        <f t="shared" si="41"/>
        <v/>
      </c>
      <c r="D370" t="str">
        <f t="shared" si="47"/>
        <v/>
      </c>
      <c r="G370" s="6">
        <v>37</v>
      </c>
      <c r="H370">
        <f t="shared" si="43"/>
        <v>1</v>
      </c>
      <c r="R370">
        <v>77</v>
      </c>
      <c r="S370">
        <v>1</v>
      </c>
      <c r="T370" t="str">
        <f t="shared" si="42"/>
        <v>e</v>
      </c>
      <c r="AJ370">
        <v>1</v>
      </c>
      <c r="AM370" t="str">
        <f t="shared" si="45"/>
        <v>Pass</v>
      </c>
      <c r="AN370" t="str">
        <f t="shared" si="46"/>
        <v>Pass_Completed</v>
      </c>
      <c r="AP370" t="str">
        <f t="shared" si="44"/>
        <v>Offensive</v>
      </c>
      <c r="BB370" s="23"/>
      <c r="BD370" s="21"/>
      <c r="BE370" s="21"/>
      <c r="BF370" s="21"/>
      <c r="BG370" s="21"/>
      <c r="BH370" s="21"/>
      <c r="BI370" s="21"/>
    </row>
    <row r="371" spans="1:61" x14ac:dyDescent="0.2">
      <c r="A371">
        <v>185</v>
      </c>
      <c r="B371" t="s">
        <v>887</v>
      </c>
      <c r="C371" t="str">
        <f t="shared" si="41"/>
        <v/>
      </c>
      <c r="D371" t="str">
        <f t="shared" si="47"/>
        <v/>
      </c>
      <c r="G371" s="6">
        <v>37</v>
      </c>
      <c r="H371">
        <f t="shared" si="43"/>
        <v>1</v>
      </c>
      <c r="R371">
        <v>14</v>
      </c>
      <c r="T371" t="str">
        <f t="shared" si="42"/>
        <v>o</v>
      </c>
      <c r="AJ371">
        <v>1</v>
      </c>
      <c r="AM371" t="str">
        <f t="shared" si="45"/>
        <v>Pass</v>
      </c>
      <c r="AN371" t="str">
        <f t="shared" si="46"/>
        <v>Pass_Completed</v>
      </c>
      <c r="AP371" t="str">
        <f t="shared" si="44"/>
        <v>Defensive</v>
      </c>
      <c r="BB371" s="23"/>
      <c r="BD371" s="21"/>
      <c r="BE371" s="21"/>
      <c r="BF371" s="21"/>
      <c r="BG371" s="21"/>
      <c r="BH371" s="21"/>
      <c r="BI371" s="21"/>
    </row>
    <row r="372" spans="1:61" x14ac:dyDescent="0.2">
      <c r="A372">
        <v>186</v>
      </c>
      <c r="B372" t="s">
        <v>887</v>
      </c>
      <c r="C372" t="str">
        <f t="shared" si="41"/>
        <v/>
      </c>
      <c r="D372" t="str">
        <f t="shared" si="47"/>
        <v/>
      </c>
      <c r="G372" s="6">
        <v>37</v>
      </c>
      <c r="H372">
        <f t="shared" si="43"/>
        <v>1</v>
      </c>
      <c r="I372" s="5" t="s">
        <v>768</v>
      </c>
      <c r="J372" s="5" t="s">
        <v>768</v>
      </c>
      <c r="K372" s="5" t="s">
        <v>768</v>
      </c>
      <c r="L372" s="7" t="s">
        <v>733</v>
      </c>
      <c r="Q372" t="s">
        <v>619</v>
      </c>
      <c r="R372">
        <v>77</v>
      </c>
      <c r="S372">
        <v>1</v>
      </c>
      <c r="T372" t="str">
        <f t="shared" si="42"/>
        <v>e</v>
      </c>
      <c r="U372" t="s">
        <v>15</v>
      </c>
      <c r="Y372" t="s">
        <v>745</v>
      </c>
      <c r="AA372" t="s">
        <v>705</v>
      </c>
      <c r="AF372" t="s">
        <v>623</v>
      </c>
      <c r="AJ372">
        <v>1</v>
      </c>
      <c r="AM372" t="str">
        <f t="shared" si="45"/>
        <v>Possession</v>
      </c>
      <c r="AN372" t="str">
        <f t="shared" si="46"/>
        <v/>
      </c>
      <c r="AP372" t="str">
        <f t="shared" si="44"/>
        <v>Offensive</v>
      </c>
      <c r="BB372" s="23"/>
      <c r="BD372" s="21"/>
      <c r="BE372" s="21"/>
      <c r="BF372" s="21"/>
      <c r="BG372" s="21"/>
      <c r="BH372" s="21"/>
      <c r="BI372" s="21"/>
    </row>
    <row r="373" spans="1:61" x14ac:dyDescent="0.2">
      <c r="A373">
        <v>186</v>
      </c>
      <c r="B373" t="s">
        <v>887</v>
      </c>
      <c r="C373" t="str">
        <f t="shared" si="41"/>
        <v/>
      </c>
      <c r="D373" t="str">
        <f t="shared" si="47"/>
        <v/>
      </c>
      <c r="G373" s="6">
        <v>37</v>
      </c>
      <c r="H373">
        <f t="shared" si="43"/>
        <v>1</v>
      </c>
      <c r="R373">
        <v>14</v>
      </c>
      <c r="T373" t="str">
        <f t="shared" si="42"/>
        <v>o</v>
      </c>
      <c r="Y373" t="s">
        <v>714</v>
      </c>
      <c r="AA373" t="s">
        <v>706</v>
      </c>
      <c r="AF373" t="s">
        <v>623</v>
      </c>
      <c r="AJ373">
        <v>1</v>
      </c>
      <c r="AM373" t="str">
        <f t="shared" si="45"/>
        <v>Possession</v>
      </c>
      <c r="AN373" t="str">
        <f t="shared" si="46"/>
        <v/>
      </c>
      <c r="AP373" t="str">
        <f t="shared" si="44"/>
        <v>Defensive</v>
      </c>
      <c r="BB373" s="23"/>
      <c r="BD373" s="21"/>
      <c r="BE373" s="21"/>
      <c r="BF373" s="21"/>
      <c r="BG373" s="21"/>
      <c r="BH373" s="21"/>
      <c r="BI373" s="21"/>
    </row>
    <row r="374" spans="1:61" x14ac:dyDescent="0.2">
      <c r="A374">
        <v>187</v>
      </c>
      <c r="B374" t="s">
        <v>887</v>
      </c>
      <c r="C374" t="str">
        <f t="shared" si="41"/>
        <v/>
      </c>
      <c r="D374" t="str">
        <f t="shared" si="47"/>
        <v/>
      </c>
      <c r="G374" s="6">
        <v>37</v>
      </c>
      <c r="H374">
        <f t="shared" si="43"/>
        <v>1</v>
      </c>
      <c r="I374" s="5" t="s">
        <v>768</v>
      </c>
      <c r="J374" s="5" t="s">
        <v>733</v>
      </c>
      <c r="Q374" t="s">
        <v>620</v>
      </c>
      <c r="R374">
        <v>14</v>
      </c>
      <c r="S374">
        <v>1</v>
      </c>
      <c r="T374" t="str">
        <f t="shared" si="42"/>
        <v>e</v>
      </c>
      <c r="U374" t="s">
        <v>10</v>
      </c>
      <c r="V374" t="s">
        <v>200</v>
      </c>
      <c r="W374" t="s">
        <v>82</v>
      </c>
      <c r="AF374" t="s">
        <v>401</v>
      </c>
      <c r="AJ374">
        <v>1</v>
      </c>
      <c r="AM374" t="str">
        <f t="shared" si="45"/>
        <v>Turnover</v>
      </c>
      <c r="AN374" t="str">
        <f t="shared" si="46"/>
        <v>Turnover_Takeaway</v>
      </c>
      <c r="AP374" t="str">
        <f t="shared" si="44"/>
        <v>Defensive</v>
      </c>
      <c r="BB374" s="23"/>
      <c r="BD374" s="21"/>
      <c r="BE374" s="21"/>
      <c r="BF374" s="21"/>
      <c r="BG374" s="21"/>
      <c r="BH374" s="21"/>
      <c r="BI374" s="21"/>
    </row>
    <row r="375" spans="1:61" x14ac:dyDescent="0.2">
      <c r="A375">
        <v>187</v>
      </c>
      <c r="B375" t="s">
        <v>887</v>
      </c>
      <c r="C375" t="str">
        <f t="shared" si="41"/>
        <v/>
      </c>
      <c r="D375" t="str">
        <f t="shared" si="47"/>
        <v/>
      </c>
      <c r="G375" s="6">
        <v>37</v>
      </c>
      <c r="H375">
        <f t="shared" si="43"/>
        <v>1</v>
      </c>
      <c r="R375">
        <v>77</v>
      </c>
      <c r="T375" t="str">
        <f t="shared" si="42"/>
        <v>o</v>
      </c>
      <c r="AJ375">
        <v>1</v>
      </c>
      <c r="AM375" t="str">
        <f t="shared" si="45"/>
        <v>Turnover</v>
      </c>
      <c r="AN375" t="str">
        <f t="shared" si="46"/>
        <v>Turnover_Takeaway</v>
      </c>
      <c r="AP375" t="str">
        <f t="shared" si="44"/>
        <v>Offensive</v>
      </c>
      <c r="BB375" s="23"/>
      <c r="BD375" s="21"/>
      <c r="BE375" s="21"/>
      <c r="BF375" s="21"/>
      <c r="BG375" s="21"/>
      <c r="BH375" s="21"/>
      <c r="BI375" s="21"/>
    </row>
    <row r="376" spans="1:61" x14ac:dyDescent="0.2">
      <c r="A376">
        <v>188</v>
      </c>
      <c r="B376" t="s">
        <v>887</v>
      </c>
      <c r="C376" t="str">
        <f t="shared" si="41"/>
        <v/>
      </c>
      <c r="D376" t="str">
        <f t="shared" si="47"/>
        <v/>
      </c>
      <c r="G376" s="6">
        <v>37</v>
      </c>
      <c r="H376">
        <f t="shared" si="43"/>
        <v>1</v>
      </c>
      <c r="I376" s="5" t="s">
        <v>768</v>
      </c>
      <c r="J376" s="5" t="s">
        <v>734</v>
      </c>
      <c r="Q376" t="s">
        <v>620</v>
      </c>
      <c r="R376">
        <v>70</v>
      </c>
      <c r="S376">
        <v>1</v>
      </c>
      <c r="T376" t="str">
        <f t="shared" si="42"/>
        <v>e</v>
      </c>
      <c r="U376" t="s">
        <v>15</v>
      </c>
      <c r="V376" t="s">
        <v>697</v>
      </c>
      <c r="X376" t="s">
        <v>706</v>
      </c>
      <c r="Y376" t="s">
        <v>712</v>
      </c>
      <c r="AA376" t="s">
        <v>706</v>
      </c>
      <c r="AF376" t="s">
        <v>401</v>
      </c>
      <c r="AM376" t="str">
        <f t="shared" si="45"/>
        <v>Possession</v>
      </c>
      <c r="AN376" t="str">
        <f t="shared" si="46"/>
        <v>PuckRetrieval</v>
      </c>
      <c r="AP376" t="str">
        <f t="shared" si="44"/>
        <v>Offensive</v>
      </c>
      <c r="BB376" s="23"/>
      <c r="BD376" s="21"/>
      <c r="BE376" s="21"/>
      <c r="BF376" s="21"/>
      <c r="BG376" s="21"/>
      <c r="BH376" s="21"/>
      <c r="BI376" s="21"/>
    </row>
    <row r="377" spans="1:61" x14ac:dyDescent="0.2">
      <c r="A377">
        <v>188</v>
      </c>
      <c r="B377" t="s">
        <v>887</v>
      </c>
      <c r="C377" t="str">
        <f t="shared" si="41"/>
        <v/>
      </c>
      <c r="D377" t="str">
        <f t="shared" si="47"/>
        <v/>
      </c>
      <c r="G377" s="6">
        <v>37</v>
      </c>
      <c r="H377">
        <f t="shared" si="43"/>
        <v>1</v>
      </c>
      <c r="R377">
        <v>4</v>
      </c>
      <c r="T377" t="str">
        <f t="shared" si="42"/>
        <v>o</v>
      </c>
      <c r="AM377" t="str">
        <f t="shared" si="45"/>
        <v>Possession</v>
      </c>
      <c r="AN377" t="str">
        <f t="shared" si="46"/>
        <v>PuckRetrieval</v>
      </c>
      <c r="AP377" t="str">
        <f t="shared" si="44"/>
        <v>Defensive</v>
      </c>
      <c r="BB377" s="23"/>
      <c r="BD377" s="21"/>
      <c r="BE377" s="21"/>
      <c r="BF377" s="21"/>
      <c r="BG377" s="21"/>
      <c r="BH377" s="21"/>
      <c r="BI377" s="21"/>
    </row>
    <row r="378" spans="1:61" x14ac:dyDescent="0.2">
      <c r="A378">
        <v>189</v>
      </c>
      <c r="B378" t="s">
        <v>887</v>
      </c>
      <c r="C378" t="str">
        <f t="shared" si="41"/>
        <v/>
      </c>
      <c r="D378" t="str">
        <f t="shared" si="47"/>
        <v/>
      </c>
      <c r="G378" s="6">
        <v>37</v>
      </c>
      <c r="H378">
        <f t="shared" si="43"/>
        <v>1</v>
      </c>
      <c r="I378" s="5" t="s">
        <v>768</v>
      </c>
      <c r="J378" s="5" t="s">
        <v>734</v>
      </c>
      <c r="K378" s="5" t="s">
        <v>768</v>
      </c>
      <c r="L378" s="7" t="s">
        <v>735</v>
      </c>
      <c r="Q378" t="s">
        <v>620</v>
      </c>
      <c r="R378">
        <v>70</v>
      </c>
      <c r="S378">
        <v>1</v>
      </c>
      <c r="T378" t="str">
        <f t="shared" si="42"/>
        <v>e</v>
      </c>
      <c r="U378" t="s">
        <v>15</v>
      </c>
      <c r="Y378" t="s">
        <v>728</v>
      </c>
      <c r="Z378" t="s">
        <v>767</v>
      </c>
      <c r="AA378" t="s">
        <v>705</v>
      </c>
      <c r="AF378" t="s">
        <v>401</v>
      </c>
      <c r="AJ378">
        <v>1</v>
      </c>
      <c r="AM378" t="str">
        <f t="shared" si="45"/>
        <v>Possession</v>
      </c>
      <c r="AN378" t="str">
        <f t="shared" si="46"/>
        <v/>
      </c>
      <c r="AP378" t="str">
        <f t="shared" si="44"/>
        <v>Offensive</v>
      </c>
      <c r="BB378" s="23"/>
      <c r="BD378" s="21"/>
      <c r="BE378" s="21"/>
      <c r="BF378" s="21"/>
      <c r="BG378" s="21"/>
      <c r="BH378" s="21"/>
      <c r="BI378" s="21"/>
    </row>
    <row r="379" spans="1:61" x14ac:dyDescent="0.2">
      <c r="A379">
        <v>189</v>
      </c>
      <c r="B379" t="s">
        <v>887</v>
      </c>
      <c r="C379" t="str">
        <f t="shared" si="41"/>
        <v/>
      </c>
      <c r="D379" t="str">
        <f t="shared" si="47"/>
        <v/>
      </c>
      <c r="G379" s="6">
        <v>37</v>
      </c>
      <c r="H379">
        <f t="shared" si="43"/>
        <v>1</v>
      </c>
      <c r="R379">
        <v>4</v>
      </c>
      <c r="T379" t="str">
        <f t="shared" si="42"/>
        <v>o</v>
      </c>
      <c r="Y379" t="s">
        <v>714</v>
      </c>
      <c r="AA379" t="s">
        <v>706</v>
      </c>
      <c r="AJ379">
        <v>1</v>
      </c>
      <c r="AM379" t="str">
        <f t="shared" si="45"/>
        <v>Possession</v>
      </c>
      <c r="AN379" t="str">
        <f t="shared" si="46"/>
        <v/>
      </c>
      <c r="AP379" t="str">
        <f t="shared" si="44"/>
        <v>Defensive</v>
      </c>
      <c r="BB379" s="23"/>
      <c r="BD379" s="21"/>
      <c r="BE379" s="21"/>
      <c r="BF379" s="21"/>
      <c r="BG379" s="21"/>
      <c r="BH379" s="21"/>
      <c r="BI379" s="21"/>
    </row>
    <row r="380" spans="1:61" x14ac:dyDescent="0.2">
      <c r="A380">
        <v>190</v>
      </c>
      <c r="B380" t="s">
        <v>887</v>
      </c>
      <c r="C380" t="str">
        <f t="shared" si="41"/>
        <v/>
      </c>
      <c r="D380" t="str">
        <f t="shared" si="47"/>
        <v/>
      </c>
      <c r="G380" s="6">
        <v>37</v>
      </c>
      <c r="H380">
        <f t="shared" si="43"/>
        <v>1</v>
      </c>
      <c r="I380" s="5" t="s">
        <v>768</v>
      </c>
      <c r="J380" s="5" t="s">
        <v>735</v>
      </c>
      <c r="Q380" t="s">
        <v>619</v>
      </c>
      <c r="R380">
        <v>4</v>
      </c>
      <c r="S380">
        <v>1</v>
      </c>
      <c r="T380" t="str">
        <f t="shared" si="42"/>
        <v>e</v>
      </c>
      <c r="U380" t="s">
        <v>10</v>
      </c>
      <c r="V380" t="s">
        <v>200</v>
      </c>
      <c r="W380" t="s">
        <v>82</v>
      </c>
      <c r="AF380" t="s">
        <v>623</v>
      </c>
      <c r="AJ380">
        <v>1</v>
      </c>
      <c r="AM380" t="str">
        <f t="shared" si="45"/>
        <v>Turnover</v>
      </c>
      <c r="AN380" t="str">
        <f t="shared" si="46"/>
        <v>Turnover_Takeaway</v>
      </c>
      <c r="AP380" t="str">
        <f t="shared" si="44"/>
        <v>Defensive</v>
      </c>
      <c r="BB380" s="23"/>
      <c r="BD380" s="21"/>
      <c r="BE380" s="21"/>
      <c r="BF380" s="21"/>
      <c r="BG380" s="21"/>
      <c r="BH380" s="21"/>
      <c r="BI380" s="21"/>
    </row>
    <row r="381" spans="1:61" x14ac:dyDescent="0.2">
      <c r="A381">
        <v>190</v>
      </c>
      <c r="B381" t="s">
        <v>887</v>
      </c>
      <c r="C381" t="str">
        <f t="shared" si="41"/>
        <v/>
      </c>
      <c r="D381" t="str">
        <f t="shared" si="47"/>
        <v/>
      </c>
      <c r="G381" s="6">
        <v>37</v>
      </c>
      <c r="H381">
        <f t="shared" si="43"/>
        <v>1</v>
      </c>
      <c r="R381">
        <v>70</v>
      </c>
      <c r="T381" t="str">
        <f t="shared" si="42"/>
        <v>o</v>
      </c>
      <c r="AJ381">
        <v>1</v>
      </c>
      <c r="AM381" t="str">
        <f t="shared" si="45"/>
        <v>Turnover</v>
      </c>
      <c r="AN381" t="str">
        <f t="shared" si="46"/>
        <v>Turnover_Takeaway</v>
      </c>
      <c r="AP381" t="str">
        <f t="shared" si="44"/>
        <v>Offensive</v>
      </c>
      <c r="BB381" s="23"/>
      <c r="BD381" s="21"/>
      <c r="BE381" s="21"/>
      <c r="BF381" s="21"/>
      <c r="BG381" s="21"/>
      <c r="BH381" s="21"/>
      <c r="BI381" s="21"/>
    </row>
    <row r="382" spans="1:61" x14ac:dyDescent="0.2">
      <c r="A382">
        <v>191</v>
      </c>
      <c r="B382">
        <v>37</v>
      </c>
      <c r="C382">
        <f t="shared" si="41"/>
        <v>9037</v>
      </c>
      <c r="D382">
        <f t="shared" si="47"/>
        <v>9037</v>
      </c>
      <c r="G382" s="6">
        <v>37</v>
      </c>
      <c r="H382">
        <f t="shared" si="43"/>
        <v>1</v>
      </c>
      <c r="I382" s="5" t="s">
        <v>768</v>
      </c>
      <c r="J382" s="5" t="s">
        <v>447</v>
      </c>
      <c r="Q382" t="s">
        <v>619</v>
      </c>
      <c r="R382">
        <v>4</v>
      </c>
      <c r="S382">
        <v>1</v>
      </c>
      <c r="T382" t="str">
        <f t="shared" si="42"/>
        <v>e</v>
      </c>
      <c r="U382" t="s">
        <v>8</v>
      </c>
      <c r="V382" t="s">
        <v>189</v>
      </c>
      <c r="W382" t="s">
        <v>71</v>
      </c>
      <c r="X382" t="s">
        <v>706</v>
      </c>
      <c r="Y382" t="s">
        <v>678</v>
      </c>
      <c r="AB382" t="s">
        <v>793</v>
      </c>
      <c r="AF382" t="s">
        <v>623</v>
      </c>
      <c r="AM382" t="str">
        <f t="shared" si="45"/>
        <v>Pass</v>
      </c>
      <c r="AN382" t="str">
        <f t="shared" si="46"/>
        <v>Pass_Completed</v>
      </c>
      <c r="AP382" t="str">
        <f t="shared" si="44"/>
        <v>Offensive</v>
      </c>
      <c r="BB382" s="23"/>
      <c r="BD382" s="21"/>
      <c r="BE382" s="21"/>
      <c r="BF382" s="21"/>
      <c r="BG382" s="21"/>
      <c r="BH382" s="21"/>
      <c r="BI382" s="21"/>
    </row>
    <row r="383" spans="1:61" x14ac:dyDescent="0.2">
      <c r="A383">
        <v>191</v>
      </c>
      <c r="B383">
        <v>37</v>
      </c>
      <c r="C383">
        <f t="shared" si="41"/>
        <v>9037</v>
      </c>
      <c r="D383">
        <f t="shared" si="47"/>
        <v>9037</v>
      </c>
      <c r="G383" s="6">
        <v>37</v>
      </c>
      <c r="H383">
        <f t="shared" si="43"/>
        <v>1</v>
      </c>
      <c r="R383">
        <v>77</v>
      </c>
      <c r="S383">
        <v>1</v>
      </c>
      <c r="T383" t="str">
        <f t="shared" si="42"/>
        <v>e</v>
      </c>
      <c r="AM383" t="str">
        <f t="shared" si="45"/>
        <v>Pass</v>
      </c>
      <c r="AN383" t="str">
        <f t="shared" si="46"/>
        <v>Pass_Completed</v>
      </c>
      <c r="AP383" t="str">
        <f t="shared" si="44"/>
        <v>Offensive</v>
      </c>
      <c r="BB383" s="23"/>
      <c r="BD383" s="21"/>
      <c r="BE383" s="21"/>
      <c r="BF383" s="21"/>
      <c r="BG383" s="21"/>
      <c r="BH383" s="21"/>
      <c r="BI383" s="21"/>
    </row>
    <row r="384" spans="1:61" x14ac:dyDescent="0.2">
      <c r="A384">
        <v>191</v>
      </c>
      <c r="B384">
        <v>37</v>
      </c>
      <c r="C384">
        <f t="shared" si="41"/>
        <v>9037</v>
      </c>
      <c r="D384">
        <f t="shared" si="47"/>
        <v>9037</v>
      </c>
      <c r="G384" s="6">
        <v>37</v>
      </c>
      <c r="H384">
        <f t="shared" si="43"/>
        <v>1</v>
      </c>
      <c r="R384">
        <v>75</v>
      </c>
      <c r="T384" t="str">
        <f t="shared" si="42"/>
        <v>o</v>
      </c>
      <c r="Y384" t="s">
        <v>737</v>
      </c>
      <c r="AM384" t="str">
        <f t="shared" si="45"/>
        <v>Pass</v>
      </c>
      <c r="AN384" t="str">
        <f t="shared" si="46"/>
        <v>Pass_Completed</v>
      </c>
      <c r="AP384" t="str">
        <f t="shared" si="44"/>
        <v>Defensive</v>
      </c>
      <c r="BB384" s="23"/>
      <c r="BD384" s="21"/>
      <c r="BE384" s="21"/>
      <c r="BF384" s="21"/>
      <c r="BG384" s="21"/>
      <c r="BH384" s="21"/>
      <c r="BI384" s="21"/>
    </row>
    <row r="385" spans="1:61" x14ac:dyDescent="0.2">
      <c r="A385">
        <v>192</v>
      </c>
      <c r="B385">
        <v>37</v>
      </c>
      <c r="C385">
        <f t="shared" si="41"/>
        <v>9037</v>
      </c>
      <c r="D385">
        <f t="shared" si="47"/>
        <v>9037</v>
      </c>
      <c r="G385" s="6">
        <v>37</v>
      </c>
      <c r="H385">
        <f t="shared" si="43"/>
        <v>1</v>
      </c>
      <c r="I385" s="5" t="s">
        <v>768</v>
      </c>
      <c r="J385" s="5" t="s">
        <v>447</v>
      </c>
      <c r="Q385" t="s">
        <v>619</v>
      </c>
      <c r="R385">
        <v>4</v>
      </c>
      <c r="S385">
        <v>1</v>
      </c>
      <c r="T385" t="str">
        <f t="shared" si="42"/>
        <v>e</v>
      </c>
      <c r="U385" t="s">
        <v>257</v>
      </c>
      <c r="V385" t="s">
        <v>201</v>
      </c>
      <c r="W385" t="s">
        <v>91</v>
      </c>
      <c r="X385" t="s">
        <v>706</v>
      </c>
      <c r="AF385" t="s">
        <v>623</v>
      </c>
      <c r="AM385" t="str">
        <f t="shared" si="45"/>
        <v>Zone_Entry_Exit</v>
      </c>
      <c r="AN385" t="str">
        <f t="shared" si="46"/>
        <v>Zone_Exit</v>
      </c>
      <c r="AP385" t="str">
        <f t="shared" si="44"/>
        <v>Offensive</v>
      </c>
      <c r="BB385" s="23"/>
      <c r="BD385" s="21"/>
      <c r="BE385" s="21"/>
      <c r="BF385" s="21"/>
      <c r="BG385" s="21"/>
      <c r="BH385" s="21"/>
      <c r="BI385" s="21"/>
    </row>
    <row r="386" spans="1:61" x14ac:dyDescent="0.2">
      <c r="A386">
        <v>192</v>
      </c>
      <c r="B386">
        <v>37</v>
      </c>
      <c r="C386">
        <f t="shared" si="41"/>
        <v>9037</v>
      </c>
      <c r="D386">
        <f t="shared" si="47"/>
        <v>9037</v>
      </c>
      <c r="G386" s="6">
        <v>37</v>
      </c>
      <c r="H386">
        <f t="shared" si="43"/>
        <v>1</v>
      </c>
      <c r="R386">
        <v>77</v>
      </c>
      <c r="S386">
        <v>1</v>
      </c>
      <c r="T386" t="str">
        <f t="shared" si="42"/>
        <v>e</v>
      </c>
      <c r="AM386" t="str">
        <f t="shared" si="45"/>
        <v>Zone_Entry_Exit</v>
      </c>
      <c r="AN386" t="str">
        <f t="shared" si="46"/>
        <v>Zone_Exit</v>
      </c>
      <c r="AP386" t="str">
        <f t="shared" si="44"/>
        <v>Offensive</v>
      </c>
      <c r="BB386" s="23"/>
      <c r="BD386" s="21"/>
      <c r="BE386" s="21"/>
      <c r="BF386" s="21"/>
      <c r="BG386" s="21"/>
      <c r="BH386" s="21"/>
      <c r="BI386" s="21"/>
    </row>
    <row r="387" spans="1:61" x14ac:dyDescent="0.2">
      <c r="A387">
        <v>192</v>
      </c>
      <c r="B387">
        <v>37</v>
      </c>
      <c r="C387">
        <f t="shared" ref="C387:C450" si="48">IF(B387&lt;&gt;"",9000+B387,"")</f>
        <v>9037</v>
      </c>
      <c r="D387">
        <f t="shared" si="47"/>
        <v>9037</v>
      </c>
      <c r="G387" s="6">
        <v>37</v>
      </c>
      <c r="H387">
        <f t="shared" si="43"/>
        <v>1</v>
      </c>
      <c r="R387">
        <v>75</v>
      </c>
      <c r="T387" t="str">
        <f t="shared" ref="T387:T450" si="49">IF(S387="x","",IF(S387=1,"e","o"))</f>
        <v>o</v>
      </c>
      <c r="AM387" t="str">
        <f t="shared" si="45"/>
        <v>Zone_Entry_Exit</v>
      </c>
      <c r="AN387" t="str">
        <f t="shared" si="46"/>
        <v>Zone_Exit</v>
      </c>
      <c r="AP387" t="str">
        <f t="shared" si="44"/>
        <v>Defensive</v>
      </c>
      <c r="BB387" s="23"/>
      <c r="BD387" s="21"/>
      <c r="BE387" s="21"/>
      <c r="BF387" s="21"/>
      <c r="BG387" s="21"/>
      <c r="BH387" s="21"/>
      <c r="BI387" s="21"/>
    </row>
    <row r="388" spans="1:61" x14ac:dyDescent="0.2">
      <c r="A388">
        <v>193</v>
      </c>
      <c r="B388" t="s">
        <v>887</v>
      </c>
      <c r="C388" t="str">
        <f t="shared" si="48"/>
        <v/>
      </c>
      <c r="D388" t="str">
        <f t="shared" si="47"/>
        <v/>
      </c>
      <c r="G388" s="6">
        <v>38</v>
      </c>
      <c r="H388">
        <f t="shared" ref="H388:H451" si="50">IF(U388="Intermission",H387+1,H387)</f>
        <v>1</v>
      </c>
      <c r="I388" s="5" t="s">
        <v>768</v>
      </c>
      <c r="J388" s="5" t="s">
        <v>801</v>
      </c>
      <c r="K388" s="5" t="s">
        <v>768</v>
      </c>
      <c r="L388" s="7" t="s">
        <v>740</v>
      </c>
      <c r="Q388" t="s">
        <v>619</v>
      </c>
      <c r="R388">
        <v>77</v>
      </c>
      <c r="S388">
        <v>1</v>
      </c>
      <c r="T388" t="str">
        <f t="shared" si="49"/>
        <v>e</v>
      </c>
      <c r="U388" t="s">
        <v>15</v>
      </c>
      <c r="Y388" t="s">
        <v>728</v>
      </c>
      <c r="AA388" t="s">
        <v>706</v>
      </c>
      <c r="AF388" t="s">
        <v>635</v>
      </c>
      <c r="AJ388">
        <v>1</v>
      </c>
      <c r="AM388" t="str">
        <f t="shared" si="45"/>
        <v>Possession</v>
      </c>
      <c r="AN388" t="str">
        <f t="shared" si="46"/>
        <v/>
      </c>
      <c r="AP388" t="str">
        <f t="shared" si="44"/>
        <v>Offensive</v>
      </c>
      <c r="BB388" s="23"/>
      <c r="BD388" s="21"/>
      <c r="BE388" s="21"/>
      <c r="BF388" s="21"/>
      <c r="BG388" s="21"/>
      <c r="BH388" s="21"/>
      <c r="BI388" s="21"/>
    </row>
    <row r="389" spans="1:61" x14ac:dyDescent="0.2">
      <c r="A389">
        <v>193</v>
      </c>
      <c r="B389" t="s">
        <v>887</v>
      </c>
      <c r="C389" t="str">
        <f t="shared" si="48"/>
        <v/>
      </c>
      <c r="D389" t="str">
        <f t="shared" si="47"/>
        <v/>
      </c>
      <c r="G389" s="6">
        <v>38</v>
      </c>
      <c r="H389">
        <f t="shared" si="50"/>
        <v>1</v>
      </c>
      <c r="R389">
        <v>91</v>
      </c>
      <c r="T389" t="str">
        <f t="shared" si="49"/>
        <v>o</v>
      </c>
      <c r="Y389" t="s">
        <v>802</v>
      </c>
      <c r="AA389" t="s">
        <v>705</v>
      </c>
      <c r="AJ389">
        <v>1</v>
      </c>
      <c r="AM389" t="str">
        <f t="shared" si="45"/>
        <v>Possession</v>
      </c>
      <c r="AN389" t="str">
        <f t="shared" si="46"/>
        <v/>
      </c>
      <c r="AP389" t="str">
        <f t="shared" si="44"/>
        <v>Defensive</v>
      </c>
      <c r="BB389" s="23"/>
      <c r="BD389" s="21"/>
      <c r="BE389" s="21"/>
      <c r="BF389" s="21"/>
      <c r="BG389" s="21"/>
      <c r="BH389" s="21"/>
      <c r="BI389" s="21"/>
    </row>
    <row r="390" spans="1:61" x14ac:dyDescent="0.2">
      <c r="A390">
        <v>194</v>
      </c>
      <c r="B390" t="s">
        <v>887</v>
      </c>
      <c r="C390" t="str">
        <f t="shared" si="48"/>
        <v/>
      </c>
      <c r="D390" t="str">
        <f t="shared" si="47"/>
        <v/>
      </c>
      <c r="G390" s="6">
        <v>39</v>
      </c>
      <c r="H390">
        <f t="shared" si="50"/>
        <v>1</v>
      </c>
      <c r="I390" s="5" t="s">
        <v>768</v>
      </c>
      <c r="J390" s="5" t="s">
        <v>740</v>
      </c>
      <c r="K390" s="5" t="s">
        <v>768</v>
      </c>
      <c r="L390" s="7" t="s">
        <v>446</v>
      </c>
      <c r="Q390" t="s">
        <v>619</v>
      </c>
      <c r="R390">
        <v>77</v>
      </c>
      <c r="S390">
        <v>1</v>
      </c>
      <c r="T390" t="str">
        <f t="shared" si="49"/>
        <v>e</v>
      </c>
      <c r="U390" t="s">
        <v>257</v>
      </c>
      <c r="V390" t="s">
        <v>191</v>
      </c>
      <c r="W390" t="s">
        <v>87</v>
      </c>
      <c r="X390" t="s">
        <v>706</v>
      </c>
      <c r="Y390" t="s">
        <v>677</v>
      </c>
      <c r="Z390" t="s">
        <v>767</v>
      </c>
      <c r="AA390" t="s">
        <v>706</v>
      </c>
      <c r="AF390" t="s">
        <v>401</v>
      </c>
      <c r="AJ390">
        <v>1</v>
      </c>
      <c r="AM390" t="str">
        <f t="shared" si="45"/>
        <v>Zone_Entry_Exit</v>
      </c>
      <c r="AN390" t="str">
        <f t="shared" si="46"/>
        <v>Zone_Entry</v>
      </c>
      <c r="AP390" t="str">
        <f t="shared" ref="AP390:AP453" si="51">IF(AND(T390="e",OR(AM390="Save",AN390="Turnover_Takeaway",AN390="Play_Defensive")),"Defensive",IF(AND(T390="o",OR(AM390="Save",AN390="Turnover_Takeaway",AN390="Play_Defensive")),"Offensive",IF(OR(AM390="Deadice",AM390="Stoppage",AM390="Intermission"),"",IF(T390="e","Offensive",IF(T390="o","Defensive","")))))</f>
        <v>Offensive</v>
      </c>
      <c r="BB390" s="23"/>
      <c r="BD390" s="21"/>
      <c r="BE390" s="21"/>
      <c r="BF390" s="21"/>
      <c r="BG390" s="21"/>
      <c r="BH390" s="21"/>
      <c r="BI390" s="21"/>
    </row>
    <row r="391" spans="1:61" x14ac:dyDescent="0.2">
      <c r="A391">
        <v>194</v>
      </c>
      <c r="B391" t="s">
        <v>887</v>
      </c>
      <c r="C391" t="str">
        <f t="shared" si="48"/>
        <v/>
      </c>
      <c r="D391" t="str">
        <f t="shared" si="47"/>
        <v/>
      </c>
      <c r="G391" s="6">
        <v>39</v>
      </c>
      <c r="H391">
        <f t="shared" si="50"/>
        <v>1</v>
      </c>
      <c r="R391">
        <v>9</v>
      </c>
      <c r="T391" t="str">
        <f t="shared" si="49"/>
        <v>o</v>
      </c>
      <c r="Y391" t="s">
        <v>781</v>
      </c>
      <c r="Z391" t="s">
        <v>764</v>
      </c>
      <c r="AA391" t="s">
        <v>705</v>
      </c>
      <c r="AJ391">
        <v>1</v>
      </c>
      <c r="AM391" t="str">
        <f t="shared" ref="AM391:AM454" si="52">IF(U391&lt;&gt;"",U391,IF($A391=$A390,AM390,""))</f>
        <v>Zone_Entry_Exit</v>
      </c>
      <c r="AN391" t="str">
        <f t="shared" ref="AN391:AN454" si="53">IF(V391&lt;&gt;"",V391,IF($A391=$A390,AN390,""))</f>
        <v>Zone_Entry</v>
      </c>
      <c r="AP391" t="str">
        <f t="shared" si="51"/>
        <v>Defensive</v>
      </c>
      <c r="BB391" s="23"/>
      <c r="BD391" s="21"/>
      <c r="BE391" s="21"/>
      <c r="BF391" s="21"/>
      <c r="BG391" s="21"/>
      <c r="BH391" s="21"/>
      <c r="BI391" s="21"/>
    </row>
    <row r="392" spans="1:61" x14ac:dyDescent="0.2">
      <c r="A392">
        <v>195</v>
      </c>
      <c r="B392" t="s">
        <v>887</v>
      </c>
      <c r="C392" t="str">
        <f t="shared" si="48"/>
        <v/>
      </c>
      <c r="D392" t="str">
        <f t="shared" ref="D392:D455" si="54">IF(C392&lt;&gt;"",C392,B392)</f>
        <v/>
      </c>
      <c r="H392">
        <f t="shared" si="50"/>
        <v>1</v>
      </c>
      <c r="I392" s="5" t="s">
        <v>768</v>
      </c>
      <c r="J392" s="5" t="s">
        <v>446</v>
      </c>
      <c r="Q392" t="s">
        <v>620</v>
      </c>
      <c r="R392">
        <v>9</v>
      </c>
      <c r="S392">
        <v>1</v>
      </c>
      <c r="T392" t="str">
        <f t="shared" si="49"/>
        <v>e</v>
      </c>
      <c r="U392" t="s">
        <v>10</v>
      </c>
      <c r="V392" t="s">
        <v>200</v>
      </c>
      <c r="W392" t="s">
        <v>82</v>
      </c>
      <c r="AF392" t="s">
        <v>623</v>
      </c>
      <c r="AJ392">
        <v>1</v>
      </c>
      <c r="AM392" t="str">
        <f t="shared" si="52"/>
        <v>Turnover</v>
      </c>
      <c r="AN392" t="str">
        <f t="shared" si="53"/>
        <v>Turnover_Takeaway</v>
      </c>
      <c r="AP392" t="str">
        <f t="shared" si="51"/>
        <v>Defensive</v>
      </c>
      <c r="BB392" s="23"/>
      <c r="BD392" s="21"/>
      <c r="BE392" s="21"/>
      <c r="BF392" s="21"/>
      <c r="BG392" s="21"/>
      <c r="BH392" s="21"/>
      <c r="BI392" s="21"/>
    </row>
    <row r="393" spans="1:61" x14ac:dyDescent="0.2">
      <c r="A393">
        <v>195</v>
      </c>
      <c r="B393" t="s">
        <v>887</v>
      </c>
      <c r="C393" t="str">
        <f t="shared" si="48"/>
        <v/>
      </c>
      <c r="D393" t="str">
        <f t="shared" si="54"/>
        <v/>
      </c>
      <c r="H393">
        <f t="shared" si="50"/>
        <v>1</v>
      </c>
      <c r="R393">
        <v>77</v>
      </c>
      <c r="T393" t="str">
        <f t="shared" si="49"/>
        <v>o</v>
      </c>
      <c r="AJ393">
        <v>1</v>
      </c>
      <c r="AM393" t="str">
        <f t="shared" si="52"/>
        <v>Turnover</v>
      </c>
      <c r="AN393" t="str">
        <f t="shared" si="53"/>
        <v>Turnover_Takeaway</v>
      </c>
      <c r="AP393" t="str">
        <f t="shared" si="51"/>
        <v>Offensive</v>
      </c>
      <c r="BB393" s="23"/>
      <c r="BD393" s="21"/>
      <c r="BE393" s="21"/>
      <c r="BF393" s="21"/>
      <c r="BG393" s="21"/>
      <c r="BH393" s="21"/>
      <c r="BI393" s="21"/>
    </row>
    <row r="394" spans="1:61" x14ac:dyDescent="0.2">
      <c r="A394">
        <v>196</v>
      </c>
      <c r="B394" t="s">
        <v>887</v>
      </c>
      <c r="C394" t="str">
        <f t="shared" si="48"/>
        <v/>
      </c>
      <c r="D394" t="str">
        <f t="shared" si="54"/>
        <v/>
      </c>
      <c r="H394">
        <f t="shared" si="50"/>
        <v>1</v>
      </c>
      <c r="I394" s="5" t="s">
        <v>768</v>
      </c>
      <c r="J394" s="5" t="s">
        <v>446</v>
      </c>
      <c r="Q394" t="s">
        <v>620</v>
      </c>
      <c r="R394">
        <v>9</v>
      </c>
      <c r="S394">
        <v>1</v>
      </c>
      <c r="T394" t="str">
        <f t="shared" si="49"/>
        <v>e</v>
      </c>
      <c r="U394" t="s">
        <v>8</v>
      </c>
      <c r="V394" t="s">
        <v>189</v>
      </c>
      <c r="W394" t="s">
        <v>69</v>
      </c>
      <c r="X394" t="s">
        <v>706</v>
      </c>
      <c r="AA394" t="s">
        <v>706</v>
      </c>
      <c r="AF394" t="s">
        <v>623</v>
      </c>
      <c r="AM394" t="str">
        <f t="shared" si="52"/>
        <v>Pass</v>
      </c>
      <c r="AN394" t="str">
        <f t="shared" si="53"/>
        <v>Pass_Completed</v>
      </c>
      <c r="AP394" t="str">
        <f t="shared" si="51"/>
        <v>Offensive</v>
      </c>
      <c r="BB394" s="23"/>
      <c r="BD394" s="21"/>
      <c r="BE394" s="21"/>
      <c r="BF394" s="21"/>
      <c r="BG394" s="21"/>
      <c r="BH394" s="21"/>
      <c r="BI394" s="21"/>
    </row>
    <row r="395" spans="1:61" x14ac:dyDescent="0.2">
      <c r="A395">
        <v>196</v>
      </c>
      <c r="B395" t="s">
        <v>887</v>
      </c>
      <c r="C395" t="str">
        <f t="shared" si="48"/>
        <v/>
      </c>
      <c r="D395" t="str">
        <f t="shared" si="54"/>
        <v/>
      </c>
      <c r="H395">
        <f t="shared" si="50"/>
        <v>1</v>
      </c>
      <c r="R395">
        <v>14</v>
      </c>
      <c r="S395">
        <v>1</v>
      </c>
      <c r="T395" t="str">
        <f t="shared" si="49"/>
        <v>e</v>
      </c>
      <c r="AM395" t="str">
        <f t="shared" si="52"/>
        <v>Pass</v>
      </c>
      <c r="AN395" t="str">
        <f t="shared" si="53"/>
        <v>Pass_Completed</v>
      </c>
      <c r="AP395" t="str">
        <f t="shared" si="51"/>
        <v>Offensive</v>
      </c>
      <c r="BB395" s="23"/>
      <c r="BD395" s="21"/>
      <c r="BE395" s="21"/>
      <c r="BF395" s="21"/>
      <c r="BG395" s="21"/>
      <c r="BH395" s="21"/>
      <c r="BI395" s="21"/>
    </row>
    <row r="396" spans="1:61" x14ac:dyDescent="0.2">
      <c r="A396">
        <v>197</v>
      </c>
      <c r="B396">
        <v>38</v>
      </c>
      <c r="C396">
        <f t="shared" si="48"/>
        <v>9038</v>
      </c>
      <c r="D396">
        <f t="shared" si="54"/>
        <v>9038</v>
      </c>
      <c r="H396">
        <f t="shared" si="50"/>
        <v>1</v>
      </c>
      <c r="I396" s="5" t="s">
        <v>733</v>
      </c>
      <c r="J396" s="5" t="s">
        <v>622</v>
      </c>
      <c r="Q396" t="s">
        <v>620</v>
      </c>
      <c r="R396">
        <v>14</v>
      </c>
      <c r="S396">
        <v>1</v>
      </c>
      <c r="T396" t="str">
        <f t="shared" si="49"/>
        <v>e</v>
      </c>
      <c r="U396" t="s">
        <v>8</v>
      </c>
      <c r="V396" t="s">
        <v>189</v>
      </c>
      <c r="W396" t="s">
        <v>71</v>
      </c>
      <c r="X396" t="s">
        <v>706</v>
      </c>
      <c r="AF396" t="s">
        <v>623</v>
      </c>
      <c r="AJ396">
        <v>1</v>
      </c>
      <c r="AM396" t="str">
        <f t="shared" si="52"/>
        <v>Pass</v>
      </c>
      <c r="AN396" t="str">
        <f t="shared" si="53"/>
        <v>Pass_Completed</v>
      </c>
      <c r="AP396" t="str">
        <f t="shared" si="51"/>
        <v>Offensive</v>
      </c>
      <c r="BB396" s="23"/>
      <c r="BD396" s="21"/>
      <c r="BE396" s="21"/>
      <c r="BF396" s="21"/>
      <c r="BG396" s="21"/>
      <c r="BH396" s="21"/>
      <c r="BI396" s="21"/>
    </row>
    <row r="397" spans="1:61" x14ac:dyDescent="0.2">
      <c r="A397">
        <v>197</v>
      </c>
      <c r="B397">
        <v>38</v>
      </c>
      <c r="C397">
        <f t="shared" si="48"/>
        <v>9038</v>
      </c>
      <c r="D397">
        <f t="shared" si="54"/>
        <v>9038</v>
      </c>
      <c r="H397">
        <f t="shared" si="50"/>
        <v>1</v>
      </c>
      <c r="R397">
        <v>70</v>
      </c>
      <c r="S397">
        <v>1</v>
      </c>
      <c r="T397" t="str">
        <f t="shared" si="49"/>
        <v>e</v>
      </c>
      <c r="AM397" t="str">
        <f t="shared" si="52"/>
        <v>Pass</v>
      </c>
      <c r="AN397" t="str">
        <f t="shared" si="53"/>
        <v>Pass_Completed</v>
      </c>
      <c r="AP397" t="str">
        <f t="shared" si="51"/>
        <v>Offensive</v>
      </c>
      <c r="BB397" s="23"/>
      <c r="BD397" s="21"/>
      <c r="BE397" s="21"/>
      <c r="BF397" s="21"/>
      <c r="BG397" s="21"/>
      <c r="BH397" s="21"/>
      <c r="BI397" s="21"/>
    </row>
    <row r="398" spans="1:61" x14ac:dyDescent="0.2">
      <c r="A398">
        <v>197</v>
      </c>
      <c r="B398">
        <v>38</v>
      </c>
      <c r="C398">
        <f t="shared" si="48"/>
        <v>9038</v>
      </c>
      <c r="D398">
        <f t="shared" si="54"/>
        <v>9038</v>
      </c>
      <c r="H398">
        <f t="shared" si="50"/>
        <v>1</v>
      </c>
      <c r="R398">
        <v>25</v>
      </c>
      <c r="T398" t="str">
        <f t="shared" si="49"/>
        <v>o</v>
      </c>
      <c r="AJ398">
        <v>1</v>
      </c>
      <c r="AM398" t="str">
        <f t="shared" si="52"/>
        <v>Pass</v>
      </c>
      <c r="AN398" t="str">
        <f t="shared" si="53"/>
        <v>Pass_Completed</v>
      </c>
      <c r="AP398" t="str">
        <f t="shared" si="51"/>
        <v>Defensive</v>
      </c>
      <c r="BB398" s="23"/>
      <c r="BD398" s="21"/>
      <c r="BE398" s="21"/>
      <c r="BF398" s="21"/>
      <c r="BG398" s="21"/>
      <c r="BH398" s="21"/>
      <c r="BI398" s="21"/>
    </row>
    <row r="399" spans="1:61" x14ac:dyDescent="0.2">
      <c r="A399">
        <v>198</v>
      </c>
      <c r="B399">
        <v>38</v>
      </c>
      <c r="C399">
        <f t="shared" si="48"/>
        <v>9038</v>
      </c>
      <c r="D399">
        <f t="shared" si="54"/>
        <v>9038</v>
      </c>
      <c r="H399">
        <f t="shared" si="50"/>
        <v>1</v>
      </c>
      <c r="I399" s="5" t="s">
        <v>733</v>
      </c>
      <c r="J399" s="5" t="s">
        <v>622</v>
      </c>
      <c r="R399">
        <v>14</v>
      </c>
      <c r="S399">
        <v>1</v>
      </c>
      <c r="T399" t="str">
        <f t="shared" si="49"/>
        <v>e</v>
      </c>
      <c r="U399" t="s">
        <v>257</v>
      </c>
      <c r="V399" t="s">
        <v>201</v>
      </c>
      <c r="W399" t="s">
        <v>91</v>
      </c>
      <c r="X399" t="s">
        <v>706</v>
      </c>
      <c r="AF399" t="s">
        <v>623</v>
      </c>
      <c r="AM399" t="str">
        <f t="shared" si="52"/>
        <v>Zone_Entry_Exit</v>
      </c>
      <c r="AN399" t="str">
        <f t="shared" si="53"/>
        <v>Zone_Exit</v>
      </c>
      <c r="AP399" t="str">
        <f t="shared" si="51"/>
        <v>Offensive</v>
      </c>
      <c r="BB399" s="23"/>
      <c r="BD399" s="21"/>
      <c r="BE399" s="21"/>
      <c r="BF399" s="21"/>
      <c r="BG399" s="21"/>
      <c r="BH399" s="21"/>
      <c r="BI399" s="21"/>
    </row>
    <row r="400" spans="1:61" x14ac:dyDescent="0.2">
      <c r="A400">
        <v>198</v>
      </c>
      <c r="B400">
        <v>38</v>
      </c>
      <c r="C400">
        <f t="shared" si="48"/>
        <v>9038</v>
      </c>
      <c r="D400">
        <f t="shared" si="54"/>
        <v>9038</v>
      </c>
      <c r="H400">
        <f t="shared" si="50"/>
        <v>1</v>
      </c>
      <c r="R400">
        <v>70</v>
      </c>
      <c r="S400">
        <v>1</v>
      </c>
      <c r="T400" t="str">
        <f t="shared" si="49"/>
        <v>e</v>
      </c>
      <c r="AM400" t="str">
        <f t="shared" si="52"/>
        <v>Zone_Entry_Exit</v>
      </c>
      <c r="AN400" t="str">
        <f t="shared" si="53"/>
        <v>Zone_Exit</v>
      </c>
      <c r="AP400" t="str">
        <f t="shared" si="51"/>
        <v>Offensive</v>
      </c>
      <c r="BB400" s="23"/>
      <c r="BD400" s="21"/>
      <c r="BE400" s="21"/>
      <c r="BF400" s="21"/>
      <c r="BG400" s="21"/>
      <c r="BH400" s="21"/>
      <c r="BI400" s="21"/>
    </row>
    <row r="401" spans="1:61" x14ac:dyDescent="0.2">
      <c r="A401">
        <v>198</v>
      </c>
      <c r="B401">
        <v>38</v>
      </c>
      <c r="C401">
        <f t="shared" si="48"/>
        <v>9038</v>
      </c>
      <c r="D401">
        <f t="shared" si="54"/>
        <v>9038</v>
      </c>
      <c r="H401">
        <f t="shared" si="50"/>
        <v>1</v>
      </c>
      <c r="R401">
        <v>25</v>
      </c>
      <c r="T401" t="str">
        <f t="shared" si="49"/>
        <v>o</v>
      </c>
      <c r="AM401" t="str">
        <f t="shared" si="52"/>
        <v>Zone_Entry_Exit</v>
      </c>
      <c r="AN401" t="str">
        <f t="shared" si="53"/>
        <v>Zone_Exit</v>
      </c>
      <c r="AP401" t="str">
        <f t="shared" si="51"/>
        <v>Defensive</v>
      </c>
      <c r="BB401" s="23"/>
      <c r="BD401" s="21"/>
      <c r="BE401" s="21"/>
      <c r="BF401" s="21"/>
      <c r="BG401" s="21"/>
      <c r="BH401" s="21"/>
      <c r="BI401" s="21"/>
    </row>
    <row r="402" spans="1:61" x14ac:dyDescent="0.2">
      <c r="A402">
        <v>199</v>
      </c>
      <c r="B402" t="s">
        <v>887</v>
      </c>
      <c r="C402" t="str">
        <f t="shared" si="48"/>
        <v/>
      </c>
      <c r="D402" t="str">
        <f t="shared" si="54"/>
        <v/>
      </c>
      <c r="H402">
        <f t="shared" si="50"/>
        <v>1</v>
      </c>
      <c r="I402" s="5" t="s">
        <v>733</v>
      </c>
      <c r="J402" s="5" t="s">
        <v>638</v>
      </c>
      <c r="K402" s="5" t="s">
        <v>733</v>
      </c>
      <c r="L402" s="7" t="s">
        <v>751</v>
      </c>
      <c r="Q402" t="s">
        <v>620</v>
      </c>
      <c r="R402">
        <v>70</v>
      </c>
      <c r="S402">
        <v>1</v>
      </c>
      <c r="T402" t="str">
        <f t="shared" si="49"/>
        <v>e</v>
      </c>
      <c r="U402" t="s">
        <v>15</v>
      </c>
      <c r="V402" t="s">
        <v>684</v>
      </c>
      <c r="AM402" t="str">
        <f t="shared" si="52"/>
        <v>Possession</v>
      </c>
      <c r="AN402" t="str">
        <f t="shared" si="53"/>
        <v>Regroup</v>
      </c>
      <c r="AP402" t="str">
        <f t="shared" si="51"/>
        <v>Offensive</v>
      </c>
      <c r="BB402" s="23"/>
      <c r="BD402" s="21"/>
      <c r="BE402" s="21"/>
      <c r="BF402" s="21"/>
      <c r="BG402" s="21"/>
      <c r="BH402" s="21"/>
      <c r="BI402" s="21"/>
    </row>
    <row r="403" spans="1:61" x14ac:dyDescent="0.2">
      <c r="A403">
        <v>200</v>
      </c>
      <c r="B403">
        <v>39</v>
      </c>
      <c r="C403">
        <f t="shared" si="48"/>
        <v>9039</v>
      </c>
      <c r="D403">
        <f t="shared" si="54"/>
        <v>9039</v>
      </c>
      <c r="H403">
        <f t="shared" si="50"/>
        <v>1</v>
      </c>
      <c r="I403" s="5" t="s">
        <v>733</v>
      </c>
      <c r="J403" s="5" t="s">
        <v>751</v>
      </c>
      <c r="Q403" t="s">
        <v>620</v>
      </c>
      <c r="R403">
        <v>70</v>
      </c>
      <c r="S403">
        <v>1</v>
      </c>
      <c r="T403" t="str">
        <f t="shared" si="49"/>
        <v>e</v>
      </c>
      <c r="U403" t="s">
        <v>8</v>
      </c>
      <c r="V403" t="s">
        <v>199</v>
      </c>
      <c r="W403" t="s">
        <v>480</v>
      </c>
      <c r="X403" t="s">
        <v>705</v>
      </c>
      <c r="AF403" t="s">
        <v>635</v>
      </c>
      <c r="AM403" t="str">
        <f t="shared" si="52"/>
        <v>Pass</v>
      </c>
      <c r="AN403" t="str">
        <f t="shared" si="53"/>
        <v>Pass_Missed</v>
      </c>
      <c r="AP403" t="str">
        <f t="shared" si="51"/>
        <v>Offensive</v>
      </c>
      <c r="BB403" s="23"/>
      <c r="BD403" s="21"/>
      <c r="BE403" s="21"/>
      <c r="BF403" s="21"/>
      <c r="BG403" s="21"/>
      <c r="BH403" s="21"/>
      <c r="BI403" s="21"/>
    </row>
    <row r="404" spans="1:61" x14ac:dyDescent="0.2">
      <c r="A404">
        <v>200</v>
      </c>
      <c r="B404">
        <v>39</v>
      </c>
      <c r="C404">
        <f t="shared" si="48"/>
        <v>9039</v>
      </c>
      <c r="D404">
        <f t="shared" si="54"/>
        <v>9039</v>
      </c>
      <c r="H404">
        <f t="shared" si="50"/>
        <v>1</v>
      </c>
      <c r="R404">
        <v>75</v>
      </c>
      <c r="S404">
        <v>1</v>
      </c>
      <c r="T404" t="str">
        <f t="shared" si="49"/>
        <v>e</v>
      </c>
      <c r="AM404" t="str">
        <f t="shared" si="52"/>
        <v>Pass</v>
      </c>
      <c r="AN404" t="str">
        <f t="shared" si="53"/>
        <v>Pass_Missed</v>
      </c>
      <c r="AP404" t="str">
        <f t="shared" si="51"/>
        <v>Offensive</v>
      </c>
      <c r="BB404" s="23"/>
      <c r="BD404" s="21"/>
      <c r="BE404" s="21"/>
      <c r="BF404" s="21"/>
      <c r="BG404" s="21"/>
      <c r="BH404" s="21"/>
      <c r="BI404" s="21"/>
    </row>
    <row r="405" spans="1:61" x14ac:dyDescent="0.2">
      <c r="A405">
        <v>200</v>
      </c>
      <c r="B405">
        <v>39</v>
      </c>
      <c r="C405">
        <f t="shared" si="48"/>
        <v>9039</v>
      </c>
      <c r="D405">
        <f t="shared" si="54"/>
        <v>9039</v>
      </c>
      <c r="H405">
        <f t="shared" si="50"/>
        <v>1</v>
      </c>
      <c r="R405">
        <v>77</v>
      </c>
      <c r="T405" t="str">
        <f t="shared" si="49"/>
        <v>o</v>
      </c>
      <c r="AM405" t="str">
        <f t="shared" si="52"/>
        <v>Pass</v>
      </c>
      <c r="AN405" t="str">
        <f t="shared" si="53"/>
        <v>Pass_Missed</v>
      </c>
      <c r="AP405" t="str">
        <f t="shared" si="51"/>
        <v>Defensive</v>
      </c>
      <c r="BB405" s="23"/>
      <c r="BD405" s="21"/>
      <c r="BE405" s="21"/>
      <c r="BF405" s="21"/>
      <c r="BG405" s="21"/>
      <c r="BH405" s="21"/>
      <c r="BI405" s="21"/>
    </row>
    <row r="406" spans="1:61" x14ac:dyDescent="0.2">
      <c r="A406">
        <v>201</v>
      </c>
      <c r="B406">
        <v>39</v>
      </c>
      <c r="C406">
        <f t="shared" si="48"/>
        <v>9039</v>
      </c>
      <c r="D406">
        <f t="shared" si="54"/>
        <v>9039</v>
      </c>
      <c r="H406">
        <f t="shared" si="50"/>
        <v>1</v>
      </c>
      <c r="I406" s="5" t="s">
        <v>733</v>
      </c>
      <c r="J406" s="5" t="s">
        <v>751</v>
      </c>
      <c r="Q406" t="s">
        <v>620</v>
      </c>
      <c r="R406">
        <v>70</v>
      </c>
      <c r="S406">
        <v>1</v>
      </c>
      <c r="T406" t="str">
        <f t="shared" si="49"/>
        <v>e</v>
      </c>
      <c r="U406" t="s">
        <v>257</v>
      </c>
      <c r="V406" t="s">
        <v>191</v>
      </c>
      <c r="W406" t="s">
        <v>423</v>
      </c>
      <c r="X406" t="s">
        <v>706</v>
      </c>
      <c r="AF406" t="s">
        <v>635</v>
      </c>
      <c r="AM406" t="str">
        <f t="shared" si="52"/>
        <v>Zone_Entry_Exit</v>
      </c>
      <c r="AN406" t="str">
        <f t="shared" si="53"/>
        <v>Zone_Entry</v>
      </c>
      <c r="AP406" t="str">
        <f t="shared" si="51"/>
        <v>Offensive</v>
      </c>
      <c r="BB406" s="23"/>
      <c r="BD406" s="21"/>
      <c r="BE406" s="21"/>
      <c r="BF406" s="21"/>
      <c r="BG406" s="21"/>
      <c r="BH406" s="21"/>
      <c r="BI406" s="21"/>
    </row>
    <row r="407" spans="1:61" x14ac:dyDescent="0.2">
      <c r="A407">
        <v>201</v>
      </c>
      <c r="B407">
        <v>39</v>
      </c>
      <c r="C407">
        <f t="shared" si="48"/>
        <v>9039</v>
      </c>
      <c r="D407">
        <f t="shared" si="54"/>
        <v>9039</v>
      </c>
      <c r="H407">
        <f t="shared" si="50"/>
        <v>1</v>
      </c>
      <c r="R407">
        <v>75</v>
      </c>
      <c r="S407">
        <v>1</v>
      </c>
      <c r="T407" t="str">
        <f t="shared" si="49"/>
        <v>e</v>
      </c>
      <c r="AM407" t="str">
        <f t="shared" si="52"/>
        <v>Zone_Entry_Exit</v>
      </c>
      <c r="AN407" t="str">
        <f t="shared" si="53"/>
        <v>Zone_Entry</v>
      </c>
      <c r="AP407" t="str">
        <f t="shared" si="51"/>
        <v>Offensive</v>
      </c>
      <c r="BB407" s="23"/>
      <c r="BD407" s="21"/>
      <c r="BE407" s="21"/>
      <c r="BF407" s="21"/>
      <c r="BG407" s="21"/>
      <c r="BH407" s="21"/>
      <c r="BI407" s="21"/>
    </row>
    <row r="408" spans="1:61" x14ac:dyDescent="0.2">
      <c r="A408">
        <v>201</v>
      </c>
      <c r="B408">
        <v>39</v>
      </c>
      <c r="C408">
        <f t="shared" si="48"/>
        <v>9039</v>
      </c>
      <c r="D408">
        <f t="shared" si="54"/>
        <v>9039</v>
      </c>
      <c r="H408">
        <f t="shared" si="50"/>
        <v>1</v>
      </c>
      <c r="R408">
        <v>77</v>
      </c>
      <c r="T408" t="str">
        <f t="shared" si="49"/>
        <v>o</v>
      </c>
      <c r="AM408" t="str">
        <f t="shared" si="52"/>
        <v>Zone_Entry_Exit</v>
      </c>
      <c r="AN408" t="str">
        <f t="shared" si="53"/>
        <v>Zone_Entry</v>
      </c>
      <c r="AP408" t="str">
        <f t="shared" si="51"/>
        <v>Defensive</v>
      </c>
      <c r="BB408" s="23"/>
      <c r="BD408" s="21"/>
      <c r="BE408" s="21"/>
      <c r="BF408" s="21"/>
      <c r="BG408" s="21"/>
      <c r="BH408" s="21"/>
      <c r="BI408" s="21"/>
    </row>
    <row r="409" spans="1:61" x14ac:dyDescent="0.2">
      <c r="A409">
        <v>202</v>
      </c>
      <c r="B409">
        <v>39</v>
      </c>
      <c r="C409">
        <f t="shared" si="48"/>
        <v>9039</v>
      </c>
      <c r="D409">
        <f t="shared" si="54"/>
        <v>9039</v>
      </c>
      <c r="H409">
        <f t="shared" si="50"/>
        <v>1</v>
      </c>
      <c r="I409" s="5" t="s">
        <v>733</v>
      </c>
      <c r="J409" s="5" t="s">
        <v>751</v>
      </c>
      <c r="Q409" t="s">
        <v>620</v>
      </c>
      <c r="R409">
        <v>70</v>
      </c>
      <c r="S409">
        <v>1</v>
      </c>
      <c r="T409" t="str">
        <f t="shared" si="49"/>
        <v>e</v>
      </c>
      <c r="U409" t="s">
        <v>10</v>
      </c>
      <c r="V409" t="s">
        <v>190</v>
      </c>
      <c r="W409" t="s">
        <v>481</v>
      </c>
      <c r="AF409" t="s">
        <v>635</v>
      </c>
      <c r="AM409" t="str">
        <f t="shared" si="52"/>
        <v>Turnover</v>
      </c>
      <c r="AN409" t="str">
        <f t="shared" si="53"/>
        <v>Turnover_Giveaway</v>
      </c>
      <c r="AP409" t="str">
        <f t="shared" si="51"/>
        <v>Offensive</v>
      </c>
      <c r="BB409" s="23"/>
      <c r="BD409" s="21"/>
      <c r="BE409" s="21"/>
      <c r="BF409" s="21"/>
      <c r="BG409" s="21"/>
      <c r="BH409" s="21"/>
      <c r="BI409" s="21"/>
    </row>
    <row r="410" spans="1:61" x14ac:dyDescent="0.2">
      <c r="A410">
        <v>202</v>
      </c>
      <c r="B410">
        <v>39</v>
      </c>
      <c r="C410">
        <f t="shared" si="48"/>
        <v>9039</v>
      </c>
      <c r="D410">
        <f t="shared" si="54"/>
        <v>9039</v>
      </c>
      <c r="H410">
        <f t="shared" si="50"/>
        <v>1</v>
      </c>
      <c r="R410">
        <v>75</v>
      </c>
      <c r="S410">
        <v>1</v>
      </c>
      <c r="T410" t="str">
        <f t="shared" si="49"/>
        <v>e</v>
      </c>
      <c r="AM410" t="str">
        <f t="shared" si="52"/>
        <v>Turnover</v>
      </c>
      <c r="AN410" t="str">
        <f t="shared" si="53"/>
        <v>Turnover_Giveaway</v>
      </c>
      <c r="AP410" t="str">
        <f t="shared" si="51"/>
        <v>Offensive</v>
      </c>
      <c r="BB410" s="23"/>
      <c r="BD410" s="21"/>
      <c r="BE410" s="21"/>
      <c r="BF410" s="21"/>
      <c r="BG410" s="21"/>
      <c r="BH410" s="21"/>
      <c r="BI410" s="21"/>
    </row>
    <row r="411" spans="1:61" x14ac:dyDescent="0.2">
      <c r="A411">
        <v>202</v>
      </c>
      <c r="B411">
        <v>39</v>
      </c>
      <c r="C411">
        <f t="shared" si="48"/>
        <v>9039</v>
      </c>
      <c r="D411">
        <f t="shared" si="54"/>
        <v>9039</v>
      </c>
      <c r="H411">
        <f t="shared" si="50"/>
        <v>1</v>
      </c>
      <c r="R411">
        <v>77</v>
      </c>
      <c r="T411" t="str">
        <f t="shared" si="49"/>
        <v>o</v>
      </c>
      <c r="AM411" t="str">
        <f t="shared" si="52"/>
        <v>Turnover</v>
      </c>
      <c r="AN411" t="str">
        <f t="shared" si="53"/>
        <v>Turnover_Giveaway</v>
      </c>
      <c r="AP411" t="str">
        <f t="shared" si="51"/>
        <v>Defensive</v>
      </c>
      <c r="BB411" s="23"/>
      <c r="BD411" s="21"/>
      <c r="BE411" s="21"/>
      <c r="BF411" s="21"/>
      <c r="BG411" s="21"/>
      <c r="BH411" s="21"/>
      <c r="BI411" s="21"/>
    </row>
    <row r="412" spans="1:61" x14ac:dyDescent="0.2">
      <c r="A412">
        <v>203</v>
      </c>
      <c r="B412" t="s">
        <v>887</v>
      </c>
      <c r="C412" t="str">
        <f t="shared" si="48"/>
        <v/>
      </c>
      <c r="D412" t="str">
        <f t="shared" si="54"/>
        <v/>
      </c>
      <c r="H412">
        <f t="shared" si="50"/>
        <v>1</v>
      </c>
      <c r="I412" s="5" t="s">
        <v>733</v>
      </c>
      <c r="J412" s="5" t="s">
        <v>789</v>
      </c>
      <c r="Q412" t="s">
        <v>619</v>
      </c>
      <c r="R412">
        <v>30</v>
      </c>
      <c r="S412">
        <v>1</v>
      </c>
      <c r="T412" t="str">
        <f t="shared" si="49"/>
        <v>e</v>
      </c>
      <c r="U412" t="s">
        <v>8</v>
      </c>
      <c r="V412" t="s">
        <v>189</v>
      </c>
      <c r="W412" t="s">
        <v>70</v>
      </c>
      <c r="X412" t="s">
        <v>706</v>
      </c>
      <c r="AF412" t="s">
        <v>623</v>
      </c>
      <c r="AM412" t="str">
        <f t="shared" si="52"/>
        <v>Pass</v>
      </c>
      <c r="AN412" t="str">
        <f t="shared" si="53"/>
        <v>Pass_Completed</v>
      </c>
      <c r="AP412" t="str">
        <f t="shared" si="51"/>
        <v>Offensive</v>
      </c>
      <c r="BB412" s="23"/>
      <c r="BD412" s="21"/>
      <c r="BE412" s="21"/>
      <c r="BF412" s="21"/>
      <c r="BG412" s="21"/>
      <c r="BH412" s="21"/>
      <c r="BI412" s="21"/>
    </row>
    <row r="413" spans="1:61" x14ac:dyDescent="0.2">
      <c r="A413">
        <v>203</v>
      </c>
      <c r="B413" t="s">
        <v>887</v>
      </c>
      <c r="C413" t="str">
        <f t="shared" si="48"/>
        <v/>
      </c>
      <c r="D413" t="str">
        <f t="shared" si="54"/>
        <v/>
      </c>
      <c r="H413">
        <f t="shared" si="50"/>
        <v>1</v>
      </c>
      <c r="R413">
        <v>4</v>
      </c>
      <c r="S413">
        <v>1</v>
      </c>
      <c r="T413" t="str">
        <f t="shared" si="49"/>
        <v>e</v>
      </c>
      <c r="AM413" t="str">
        <f t="shared" si="52"/>
        <v>Pass</v>
      </c>
      <c r="AN413" t="str">
        <f t="shared" si="53"/>
        <v>Pass_Completed</v>
      </c>
      <c r="AP413" t="str">
        <f t="shared" si="51"/>
        <v>Offensive</v>
      </c>
      <c r="BB413" s="23"/>
      <c r="BD413" s="21"/>
      <c r="BE413" s="21"/>
      <c r="BF413" s="21"/>
      <c r="BG413" s="21"/>
      <c r="BH413" s="21"/>
      <c r="BI413" s="21"/>
    </row>
    <row r="414" spans="1:61" x14ac:dyDescent="0.2">
      <c r="A414">
        <v>204</v>
      </c>
      <c r="B414" t="s">
        <v>887</v>
      </c>
      <c r="C414" t="str">
        <f t="shared" si="48"/>
        <v/>
      </c>
      <c r="D414" t="str">
        <f t="shared" si="54"/>
        <v/>
      </c>
      <c r="H414">
        <f t="shared" si="50"/>
        <v>1</v>
      </c>
      <c r="I414" s="5" t="s">
        <v>733</v>
      </c>
      <c r="J414" s="5" t="s">
        <v>673</v>
      </c>
      <c r="Q414" t="s">
        <v>619</v>
      </c>
      <c r="R414">
        <v>4</v>
      </c>
      <c r="S414">
        <v>1</v>
      </c>
      <c r="T414" t="str">
        <f t="shared" si="49"/>
        <v>e</v>
      </c>
      <c r="U414" t="s">
        <v>8</v>
      </c>
      <c r="V414" t="s">
        <v>189</v>
      </c>
      <c r="W414" t="s">
        <v>68</v>
      </c>
      <c r="X414" t="s">
        <v>706</v>
      </c>
      <c r="Y414" t="s">
        <v>784</v>
      </c>
      <c r="AF414" t="s">
        <v>623</v>
      </c>
      <c r="AM414" t="str">
        <f t="shared" si="52"/>
        <v>Pass</v>
      </c>
      <c r="AN414" t="str">
        <f t="shared" si="53"/>
        <v>Pass_Completed</v>
      </c>
      <c r="AP414" t="str">
        <f t="shared" si="51"/>
        <v>Offensive</v>
      </c>
      <c r="BB414" s="23"/>
      <c r="BD414" s="21"/>
      <c r="BE414" s="21"/>
      <c r="BF414" s="21"/>
      <c r="BG414" s="21"/>
      <c r="BH414" s="21"/>
      <c r="BI414" s="21"/>
    </row>
    <row r="415" spans="1:61" x14ac:dyDescent="0.2">
      <c r="A415">
        <v>204</v>
      </c>
      <c r="B415" t="s">
        <v>887</v>
      </c>
      <c r="C415" t="str">
        <f t="shared" si="48"/>
        <v/>
      </c>
      <c r="D415" t="str">
        <f t="shared" si="54"/>
        <v/>
      </c>
      <c r="H415">
        <f t="shared" si="50"/>
        <v>1</v>
      </c>
      <c r="R415">
        <v>25</v>
      </c>
      <c r="S415">
        <v>1</v>
      </c>
      <c r="T415" t="str">
        <f t="shared" si="49"/>
        <v>e</v>
      </c>
      <c r="AM415" t="str">
        <f t="shared" si="52"/>
        <v>Pass</v>
      </c>
      <c r="AN415" t="str">
        <f t="shared" si="53"/>
        <v>Pass_Completed</v>
      </c>
      <c r="AP415" t="str">
        <f t="shared" si="51"/>
        <v>Offensive</v>
      </c>
      <c r="BB415" s="23"/>
      <c r="BD415" s="21"/>
      <c r="BE415" s="21"/>
      <c r="BF415" s="21"/>
      <c r="BG415" s="21"/>
      <c r="BH415" s="21"/>
      <c r="BI415" s="21"/>
    </row>
    <row r="416" spans="1:61" x14ac:dyDescent="0.2">
      <c r="A416">
        <v>205</v>
      </c>
      <c r="B416" t="s">
        <v>887</v>
      </c>
      <c r="C416" t="str">
        <f t="shared" si="48"/>
        <v/>
      </c>
      <c r="D416" t="str">
        <f t="shared" si="54"/>
        <v/>
      </c>
      <c r="H416">
        <f t="shared" si="50"/>
        <v>1</v>
      </c>
      <c r="I416" s="5" t="s">
        <v>733</v>
      </c>
      <c r="J416" s="5" t="s">
        <v>711</v>
      </c>
      <c r="Q416" t="s">
        <v>619</v>
      </c>
      <c r="R416">
        <v>25</v>
      </c>
      <c r="S416">
        <v>1</v>
      </c>
      <c r="T416" t="str">
        <f t="shared" si="49"/>
        <v>e</v>
      </c>
      <c r="U416" t="s">
        <v>8</v>
      </c>
      <c r="V416" t="s">
        <v>189</v>
      </c>
      <c r="W416" t="s">
        <v>71</v>
      </c>
      <c r="X416" t="s">
        <v>706</v>
      </c>
      <c r="AF416" t="s">
        <v>623</v>
      </c>
      <c r="AJ416">
        <v>1</v>
      </c>
      <c r="AM416" t="str">
        <f t="shared" si="52"/>
        <v>Pass</v>
      </c>
      <c r="AN416" t="str">
        <f t="shared" si="53"/>
        <v>Pass_Completed</v>
      </c>
      <c r="AP416" t="str">
        <f t="shared" si="51"/>
        <v>Offensive</v>
      </c>
      <c r="BB416" s="23"/>
      <c r="BD416" s="21"/>
      <c r="BE416" s="21"/>
      <c r="BF416" s="21"/>
      <c r="BG416" s="21"/>
      <c r="BH416" s="21"/>
      <c r="BI416" s="21"/>
    </row>
    <row r="417" spans="1:61" x14ac:dyDescent="0.2">
      <c r="A417">
        <v>205</v>
      </c>
      <c r="B417" t="s">
        <v>887</v>
      </c>
      <c r="C417" t="str">
        <f t="shared" si="48"/>
        <v/>
      </c>
      <c r="D417" t="str">
        <f t="shared" si="54"/>
        <v/>
      </c>
      <c r="H417">
        <f t="shared" si="50"/>
        <v>1</v>
      </c>
      <c r="R417">
        <v>77</v>
      </c>
      <c r="S417">
        <v>1</v>
      </c>
      <c r="T417" t="str">
        <f t="shared" si="49"/>
        <v>e</v>
      </c>
      <c r="AM417" t="str">
        <f t="shared" si="52"/>
        <v>Pass</v>
      </c>
      <c r="AN417" t="str">
        <f t="shared" si="53"/>
        <v>Pass_Completed</v>
      </c>
      <c r="AP417" t="str">
        <f t="shared" si="51"/>
        <v>Offensive</v>
      </c>
      <c r="BB417" s="23"/>
      <c r="BD417" s="21"/>
      <c r="BE417" s="21"/>
      <c r="BF417" s="21"/>
      <c r="BG417" s="21"/>
      <c r="BH417" s="21"/>
      <c r="BI417" s="21"/>
    </row>
    <row r="418" spans="1:61" x14ac:dyDescent="0.2">
      <c r="A418">
        <v>205</v>
      </c>
      <c r="B418" t="s">
        <v>887</v>
      </c>
      <c r="C418" t="str">
        <f t="shared" si="48"/>
        <v/>
      </c>
      <c r="D418" t="str">
        <f t="shared" si="54"/>
        <v/>
      </c>
      <c r="H418">
        <f t="shared" si="50"/>
        <v>1</v>
      </c>
      <c r="R418">
        <v>70</v>
      </c>
      <c r="T418" t="str">
        <f t="shared" si="49"/>
        <v>o</v>
      </c>
      <c r="Y418" t="s">
        <v>722</v>
      </c>
      <c r="AJ418">
        <v>1</v>
      </c>
      <c r="AM418" t="str">
        <f t="shared" si="52"/>
        <v>Pass</v>
      </c>
      <c r="AN418" t="str">
        <f t="shared" si="53"/>
        <v>Pass_Completed</v>
      </c>
      <c r="AP418" t="str">
        <f t="shared" si="51"/>
        <v>Defensive</v>
      </c>
      <c r="BB418" s="23"/>
      <c r="BD418" s="21"/>
      <c r="BE418" s="21"/>
      <c r="BF418" s="21"/>
      <c r="BG418" s="21"/>
      <c r="BH418" s="21"/>
      <c r="BI418" s="21"/>
    </row>
    <row r="419" spans="1:61" x14ac:dyDescent="0.2">
      <c r="A419">
        <v>206</v>
      </c>
      <c r="B419" t="s">
        <v>887</v>
      </c>
      <c r="C419" t="str">
        <f t="shared" si="48"/>
        <v/>
      </c>
      <c r="D419" t="str">
        <f t="shared" si="54"/>
        <v/>
      </c>
      <c r="H419">
        <f t="shared" si="50"/>
        <v>1</v>
      </c>
      <c r="I419" s="5" t="s">
        <v>733</v>
      </c>
      <c r="J419" s="5" t="s">
        <v>716</v>
      </c>
      <c r="K419" s="5" t="s">
        <v>733</v>
      </c>
      <c r="L419" s="7" t="s">
        <v>776</v>
      </c>
      <c r="Q419" t="s">
        <v>619</v>
      </c>
      <c r="R419">
        <v>77</v>
      </c>
      <c r="S419">
        <v>1</v>
      </c>
      <c r="T419" t="str">
        <f t="shared" si="49"/>
        <v>e</v>
      </c>
      <c r="U419" t="s">
        <v>257</v>
      </c>
      <c r="V419" t="s">
        <v>201</v>
      </c>
      <c r="W419" t="s">
        <v>90</v>
      </c>
      <c r="X419" t="s">
        <v>706</v>
      </c>
      <c r="AF419" t="s">
        <v>623</v>
      </c>
      <c r="AM419" t="str">
        <f t="shared" si="52"/>
        <v>Zone_Entry_Exit</v>
      </c>
      <c r="AN419" t="str">
        <f t="shared" si="53"/>
        <v>Zone_Exit</v>
      </c>
      <c r="AP419" t="str">
        <f t="shared" si="51"/>
        <v>Offensive</v>
      </c>
      <c r="BB419" s="23"/>
      <c r="BD419" s="21"/>
      <c r="BE419" s="21"/>
      <c r="BF419" s="21"/>
      <c r="BG419" s="21"/>
      <c r="BH419" s="21"/>
      <c r="BI419" s="21"/>
    </row>
    <row r="420" spans="1:61" x14ac:dyDescent="0.2">
      <c r="A420">
        <v>207</v>
      </c>
      <c r="B420" t="s">
        <v>887</v>
      </c>
      <c r="C420" t="str">
        <f t="shared" si="48"/>
        <v/>
      </c>
      <c r="D420" t="str">
        <f t="shared" si="54"/>
        <v/>
      </c>
      <c r="H420">
        <f t="shared" si="50"/>
        <v>1</v>
      </c>
      <c r="I420" s="5" t="s">
        <v>733</v>
      </c>
      <c r="J420" s="5" t="s">
        <v>776</v>
      </c>
      <c r="K420" s="5" t="s">
        <v>733</v>
      </c>
      <c r="L420" s="7" t="s">
        <v>717</v>
      </c>
      <c r="Q420" t="s">
        <v>619</v>
      </c>
      <c r="R420">
        <v>77</v>
      </c>
      <c r="S420">
        <v>1</v>
      </c>
      <c r="T420" t="str">
        <f t="shared" si="49"/>
        <v>e</v>
      </c>
      <c r="U420" t="s">
        <v>15</v>
      </c>
      <c r="AF420" t="s">
        <v>635</v>
      </c>
      <c r="AM420" t="str">
        <f t="shared" si="52"/>
        <v>Possession</v>
      </c>
      <c r="AN420" t="str">
        <f t="shared" si="53"/>
        <v/>
      </c>
      <c r="AP420" t="str">
        <f t="shared" si="51"/>
        <v>Offensive</v>
      </c>
      <c r="BB420" s="23"/>
      <c r="BD420" s="21"/>
      <c r="BE420" s="21"/>
      <c r="BF420" s="21"/>
      <c r="BG420" s="21"/>
      <c r="BH420" s="21"/>
      <c r="BI420" s="21"/>
    </row>
    <row r="421" spans="1:61" x14ac:dyDescent="0.2">
      <c r="A421">
        <v>208</v>
      </c>
      <c r="B421" t="s">
        <v>887</v>
      </c>
      <c r="C421" t="str">
        <f t="shared" si="48"/>
        <v/>
      </c>
      <c r="D421" t="str">
        <f t="shared" si="54"/>
        <v/>
      </c>
      <c r="H421">
        <f t="shared" si="50"/>
        <v>1</v>
      </c>
      <c r="I421" s="5" t="s">
        <v>733</v>
      </c>
      <c r="J421" s="5" t="s">
        <v>717</v>
      </c>
      <c r="Q421" t="s">
        <v>619</v>
      </c>
      <c r="R421">
        <v>77</v>
      </c>
      <c r="S421">
        <v>1</v>
      </c>
      <c r="T421" t="str">
        <f t="shared" si="49"/>
        <v>e</v>
      </c>
      <c r="U421" t="s">
        <v>8</v>
      </c>
      <c r="V421" t="s">
        <v>189</v>
      </c>
      <c r="W421" t="s">
        <v>69</v>
      </c>
      <c r="AF421" t="s">
        <v>635</v>
      </c>
      <c r="AM421" t="str">
        <f t="shared" si="52"/>
        <v>Pass</v>
      </c>
      <c r="AN421" t="str">
        <f t="shared" si="53"/>
        <v>Pass_Completed</v>
      </c>
      <c r="AP421" t="str">
        <f t="shared" si="51"/>
        <v>Offensive</v>
      </c>
      <c r="BB421" s="23"/>
      <c r="BD421" s="21"/>
      <c r="BE421" s="21"/>
      <c r="BF421" s="21"/>
      <c r="BG421" s="21"/>
      <c r="BH421" s="21"/>
      <c r="BI421" s="21"/>
    </row>
    <row r="422" spans="1:61" x14ac:dyDescent="0.2">
      <c r="A422">
        <v>208</v>
      </c>
      <c r="B422" t="s">
        <v>887</v>
      </c>
      <c r="C422" t="str">
        <f t="shared" si="48"/>
        <v/>
      </c>
      <c r="D422" t="str">
        <f t="shared" si="54"/>
        <v/>
      </c>
      <c r="H422">
        <f t="shared" si="50"/>
        <v>1</v>
      </c>
      <c r="R422">
        <v>68</v>
      </c>
      <c r="S422">
        <v>1</v>
      </c>
      <c r="T422" t="str">
        <f t="shared" si="49"/>
        <v>e</v>
      </c>
      <c r="AM422" t="str">
        <f t="shared" si="52"/>
        <v>Pass</v>
      </c>
      <c r="AN422" t="str">
        <f t="shared" si="53"/>
        <v>Pass_Completed</v>
      </c>
      <c r="AP422" t="str">
        <f t="shared" si="51"/>
        <v>Offensive</v>
      </c>
      <c r="BB422" s="23"/>
      <c r="BD422" s="21"/>
      <c r="BE422" s="21"/>
      <c r="BF422" s="21"/>
      <c r="BG422" s="21"/>
      <c r="BH422" s="21"/>
      <c r="BI422" s="21"/>
    </row>
    <row r="423" spans="1:61" x14ac:dyDescent="0.2">
      <c r="A423">
        <v>209</v>
      </c>
      <c r="B423" t="s">
        <v>887</v>
      </c>
      <c r="C423" t="str">
        <f t="shared" si="48"/>
        <v/>
      </c>
      <c r="D423" t="str">
        <f t="shared" si="54"/>
        <v/>
      </c>
      <c r="H423">
        <f t="shared" si="50"/>
        <v>1</v>
      </c>
      <c r="I423" s="5" t="s">
        <v>733</v>
      </c>
      <c r="J423" s="5" t="s">
        <v>778</v>
      </c>
      <c r="K423" s="5" t="s">
        <v>733</v>
      </c>
      <c r="L423" s="7" t="s">
        <v>779</v>
      </c>
      <c r="Q423" t="s">
        <v>619</v>
      </c>
      <c r="R423">
        <v>68</v>
      </c>
      <c r="S423">
        <v>1</v>
      </c>
      <c r="T423" t="str">
        <f t="shared" si="49"/>
        <v>e</v>
      </c>
      <c r="U423" t="s">
        <v>15</v>
      </c>
      <c r="AF423" t="s">
        <v>635</v>
      </c>
      <c r="AM423" t="str">
        <f t="shared" si="52"/>
        <v>Possession</v>
      </c>
      <c r="AN423" t="str">
        <f t="shared" si="53"/>
        <v/>
      </c>
      <c r="AP423" t="str">
        <f t="shared" si="51"/>
        <v>Offensive</v>
      </c>
      <c r="BB423" s="23"/>
      <c r="BD423" s="21"/>
      <c r="BE423" s="21"/>
      <c r="BF423" s="21"/>
      <c r="BG423" s="21"/>
      <c r="BH423" s="21"/>
      <c r="BI423" s="21"/>
    </row>
    <row r="424" spans="1:61" x14ac:dyDescent="0.2">
      <c r="A424">
        <v>210</v>
      </c>
      <c r="B424" t="s">
        <v>887</v>
      </c>
      <c r="C424" t="str">
        <f t="shared" si="48"/>
        <v/>
      </c>
      <c r="D424" t="str">
        <f t="shared" si="54"/>
        <v/>
      </c>
      <c r="H424">
        <f t="shared" si="50"/>
        <v>1</v>
      </c>
      <c r="I424" s="5" t="s">
        <v>733</v>
      </c>
      <c r="J424" s="5" t="s">
        <v>779</v>
      </c>
      <c r="K424" s="5" t="s">
        <v>733</v>
      </c>
      <c r="L424" s="7" t="s">
        <v>791</v>
      </c>
      <c r="Q424" t="s">
        <v>619</v>
      </c>
      <c r="R424">
        <v>68</v>
      </c>
      <c r="S424">
        <v>1</v>
      </c>
      <c r="T424" t="str">
        <f t="shared" si="49"/>
        <v>e</v>
      </c>
      <c r="U424" t="s">
        <v>257</v>
      </c>
      <c r="V424" t="s">
        <v>191</v>
      </c>
      <c r="W424" t="s">
        <v>87</v>
      </c>
      <c r="X424" t="s">
        <v>706</v>
      </c>
      <c r="Y424" t="s">
        <v>677</v>
      </c>
      <c r="AA424" t="s">
        <v>706</v>
      </c>
      <c r="AF424" t="s">
        <v>401</v>
      </c>
      <c r="AJ424">
        <v>1</v>
      </c>
      <c r="AM424" t="str">
        <f t="shared" si="52"/>
        <v>Zone_Entry_Exit</v>
      </c>
      <c r="AN424" t="str">
        <f t="shared" si="53"/>
        <v>Zone_Entry</v>
      </c>
      <c r="AP424" t="str">
        <f t="shared" si="51"/>
        <v>Offensive</v>
      </c>
      <c r="BB424" s="23"/>
      <c r="BD424" s="21"/>
      <c r="BE424" s="21"/>
      <c r="BF424" s="21"/>
      <c r="BG424" s="21"/>
      <c r="BH424" s="21"/>
      <c r="BI424" s="21"/>
    </row>
    <row r="425" spans="1:61" x14ac:dyDescent="0.2">
      <c r="A425">
        <v>210</v>
      </c>
      <c r="B425" t="s">
        <v>887</v>
      </c>
      <c r="C425" t="str">
        <f t="shared" si="48"/>
        <v/>
      </c>
      <c r="D425" t="str">
        <f t="shared" si="54"/>
        <v/>
      </c>
      <c r="H425">
        <f t="shared" si="50"/>
        <v>1</v>
      </c>
      <c r="R425">
        <v>77</v>
      </c>
      <c r="S425">
        <v>1</v>
      </c>
      <c r="T425" t="str">
        <f t="shared" si="49"/>
        <v>e</v>
      </c>
      <c r="AM425" t="str">
        <f t="shared" si="52"/>
        <v>Zone_Entry_Exit</v>
      </c>
      <c r="AN425" t="str">
        <f t="shared" si="53"/>
        <v>Zone_Entry</v>
      </c>
      <c r="AP425" t="str">
        <f t="shared" si="51"/>
        <v>Offensive</v>
      </c>
      <c r="BB425" s="23"/>
      <c r="BD425" s="21"/>
      <c r="BE425" s="21"/>
      <c r="BF425" s="21"/>
      <c r="BG425" s="21"/>
      <c r="BH425" s="21"/>
      <c r="BI425" s="21"/>
    </row>
    <row r="426" spans="1:61" x14ac:dyDescent="0.2">
      <c r="A426">
        <v>210</v>
      </c>
      <c r="B426" t="s">
        <v>887</v>
      </c>
      <c r="C426" t="str">
        <f t="shared" si="48"/>
        <v/>
      </c>
      <c r="D426" t="str">
        <f t="shared" si="54"/>
        <v/>
      </c>
      <c r="H426">
        <f t="shared" si="50"/>
        <v>1</v>
      </c>
      <c r="R426">
        <v>80</v>
      </c>
      <c r="S426">
        <v>1</v>
      </c>
      <c r="T426" t="str">
        <f t="shared" si="49"/>
        <v>e</v>
      </c>
      <c r="AM426" t="str">
        <f t="shared" si="52"/>
        <v>Zone_Entry_Exit</v>
      </c>
      <c r="AN426" t="str">
        <f t="shared" si="53"/>
        <v>Zone_Entry</v>
      </c>
      <c r="AP426" t="str">
        <f t="shared" si="51"/>
        <v>Offensive</v>
      </c>
      <c r="BB426" s="23"/>
      <c r="BD426" s="21"/>
      <c r="BE426" s="21"/>
      <c r="BF426" s="21"/>
      <c r="BG426" s="21"/>
      <c r="BH426" s="21"/>
      <c r="BI426" s="21"/>
    </row>
    <row r="427" spans="1:61" x14ac:dyDescent="0.2">
      <c r="A427">
        <v>210</v>
      </c>
      <c r="B427" t="s">
        <v>887</v>
      </c>
      <c r="C427" t="str">
        <f t="shared" si="48"/>
        <v/>
      </c>
      <c r="D427" t="str">
        <f t="shared" si="54"/>
        <v/>
      </c>
      <c r="H427">
        <f t="shared" si="50"/>
        <v>1</v>
      </c>
      <c r="R427">
        <v>25</v>
      </c>
      <c r="S427">
        <v>1</v>
      </c>
      <c r="T427" t="str">
        <f t="shared" si="49"/>
        <v>e</v>
      </c>
      <c r="AM427" t="str">
        <f t="shared" si="52"/>
        <v>Zone_Entry_Exit</v>
      </c>
      <c r="AN427" t="str">
        <f t="shared" si="53"/>
        <v>Zone_Entry</v>
      </c>
      <c r="AP427" t="str">
        <f t="shared" si="51"/>
        <v>Offensive</v>
      </c>
      <c r="BB427" s="23"/>
      <c r="BD427" s="21"/>
      <c r="BE427" s="21"/>
      <c r="BF427" s="21"/>
      <c r="BG427" s="21"/>
      <c r="BH427" s="21"/>
      <c r="BI427" s="21"/>
    </row>
    <row r="428" spans="1:61" x14ac:dyDescent="0.2">
      <c r="A428">
        <v>210</v>
      </c>
      <c r="B428" t="s">
        <v>887</v>
      </c>
      <c r="C428" t="str">
        <f t="shared" si="48"/>
        <v/>
      </c>
      <c r="D428" t="str">
        <f t="shared" si="54"/>
        <v/>
      </c>
      <c r="H428">
        <f t="shared" si="50"/>
        <v>1</v>
      </c>
      <c r="R428">
        <v>70</v>
      </c>
      <c r="T428" t="str">
        <f t="shared" si="49"/>
        <v>o</v>
      </c>
      <c r="AJ428">
        <v>1</v>
      </c>
      <c r="AM428" t="str">
        <f t="shared" si="52"/>
        <v>Zone_Entry_Exit</v>
      </c>
      <c r="AN428" t="str">
        <f t="shared" si="53"/>
        <v>Zone_Entry</v>
      </c>
      <c r="AP428" t="str">
        <f t="shared" si="51"/>
        <v>Defensive</v>
      </c>
      <c r="BB428" s="23"/>
      <c r="BD428" s="21"/>
      <c r="BE428" s="21"/>
      <c r="BF428" s="21"/>
      <c r="BG428" s="21"/>
      <c r="BH428" s="21"/>
      <c r="BI428" s="21"/>
    </row>
    <row r="429" spans="1:61" x14ac:dyDescent="0.2">
      <c r="A429">
        <v>210</v>
      </c>
      <c r="B429" t="s">
        <v>887</v>
      </c>
      <c r="C429" t="str">
        <f t="shared" si="48"/>
        <v/>
      </c>
      <c r="D429" t="str">
        <f t="shared" si="54"/>
        <v/>
      </c>
      <c r="H429">
        <f t="shared" si="50"/>
        <v>1</v>
      </c>
      <c r="R429">
        <v>75</v>
      </c>
      <c r="T429" t="str">
        <f t="shared" si="49"/>
        <v>o</v>
      </c>
      <c r="AM429" t="str">
        <f t="shared" si="52"/>
        <v>Zone_Entry_Exit</v>
      </c>
      <c r="AN429" t="str">
        <f t="shared" si="53"/>
        <v>Zone_Entry</v>
      </c>
      <c r="AP429" t="str">
        <f t="shared" si="51"/>
        <v>Defensive</v>
      </c>
      <c r="BB429" s="23"/>
      <c r="BD429" s="21"/>
      <c r="BE429" s="21"/>
      <c r="BF429" s="21"/>
      <c r="BG429" s="21"/>
      <c r="BH429" s="21"/>
      <c r="BI429" s="21"/>
    </row>
    <row r="430" spans="1:61" x14ac:dyDescent="0.2">
      <c r="A430">
        <v>210</v>
      </c>
      <c r="B430" t="s">
        <v>887</v>
      </c>
      <c r="C430" t="str">
        <f t="shared" si="48"/>
        <v/>
      </c>
      <c r="D430" t="str">
        <f t="shared" si="54"/>
        <v/>
      </c>
      <c r="H430">
        <f t="shared" si="50"/>
        <v>1</v>
      </c>
      <c r="R430">
        <v>55</v>
      </c>
      <c r="T430" t="str">
        <f t="shared" si="49"/>
        <v>o</v>
      </c>
      <c r="Y430" t="s">
        <v>714</v>
      </c>
      <c r="AA430" t="s">
        <v>705</v>
      </c>
      <c r="AJ430">
        <v>1</v>
      </c>
      <c r="AM430" t="str">
        <f t="shared" si="52"/>
        <v>Zone_Entry_Exit</v>
      </c>
      <c r="AN430" t="str">
        <f t="shared" si="53"/>
        <v>Zone_Entry</v>
      </c>
      <c r="AP430" t="str">
        <f t="shared" si="51"/>
        <v>Defensive</v>
      </c>
      <c r="BB430" s="23"/>
      <c r="BD430" s="21"/>
      <c r="BE430" s="21"/>
      <c r="BF430" s="21"/>
      <c r="BG430" s="21"/>
      <c r="BH430" s="21"/>
      <c r="BI430" s="21"/>
    </row>
    <row r="431" spans="1:61" x14ac:dyDescent="0.2">
      <c r="A431">
        <v>210</v>
      </c>
      <c r="B431" t="s">
        <v>887</v>
      </c>
      <c r="C431" t="str">
        <f t="shared" si="48"/>
        <v/>
      </c>
      <c r="D431" t="str">
        <f t="shared" si="54"/>
        <v/>
      </c>
      <c r="H431">
        <f t="shared" si="50"/>
        <v>1</v>
      </c>
      <c r="R431">
        <v>91</v>
      </c>
      <c r="T431" t="str">
        <f t="shared" si="49"/>
        <v>o</v>
      </c>
      <c r="AM431" t="str">
        <f t="shared" si="52"/>
        <v>Zone_Entry_Exit</v>
      </c>
      <c r="AN431" t="str">
        <f t="shared" si="53"/>
        <v>Zone_Entry</v>
      </c>
      <c r="AP431" t="str">
        <f t="shared" si="51"/>
        <v>Defensive</v>
      </c>
      <c r="BB431" s="23"/>
      <c r="BD431" s="21"/>
      <c r="BE431" s="21"/>
      <c r="BF431" s="21"/>
      <c r="BG431" s="21"/>
      <c r="BH431" s="21"/>
      <c r="BI431" s="21"/>
    </row>
    <row r="432" spans="1:61" x14ac:dyDescent="0.2">
      <c r="A432">
        <v>210</v>
      </c>
      <c r="B432" t="s">
        <v>887</v>
      </c>
      <c r="C432" t="str">
        <f t="shared" si="48"/>
        <v/>
      </c>
      <c r="D432" t="str">
        <f t="shared" si="54"/>
        <v/>
      </c>
      <c r="H432">
        <f t="shared" si="50"/>
        <v>1</v>
      </c>
      <c r="R432">
        <v>9</v>
      </c>
      <c r="T432" t="str">
        <f t="shared" si="49"/>
        <v>o</v>
      </c>
      <c r="AM432" t="str">
        <f t="shared" si="52"/>
        <v>Zone_Entry_Exit</v>
      </c>
      <c r="AN432" t="str">
        <f t="shared" si="53"/>
        <v>Zone_Entry</v>
      </c>
      <c r="AP432" t="str">
        <f t="shared" si="51"/>
        <v>Defensive</v>
      </c>
      <c r="BB432" s="23"/>
      <c r="BD432" s="21"/>
      <c r="BE432" s="21"/>
      <c r="BF432" s="21"/>
      <c r="BG432" s="21"/>
      <c r="BH432" s="21"/>
      <c r="BI432" s="21"/>
    </row>
    <row r="433" spans="1:61" x14ac:dyDescent="0.2">
      <c r="A433">
        <v>211</v>
      </c>
      <c r="B433" t="s">
        <v>887</v>
      </c>
      <c r="C433" t="str">
        <f t="shared" si="48"/>
        <v/>
      </c>
      <c r="D433" t="str">
        <f t="shared" si="54"/>
        <v/>
      </c>
      <c r="H433">
        <f t="shared" si="50"/>
        <v>1</v>
      </c>
      <c r="I433" s="5" t="s">
        <v>733</v>
      </c>
      <c r="J433" s="5" t="s">
        <v>791</v>
      </c>
      <c r="Q433" t="s">
        <v>619</v>
      </c>
      <c r="R433">
        <v>68</v>
      </c>
      <c r="S433">
        <v>1</v>
      </c>
      <c r="T433" t="str">
        <f t="shared" si="49"/>
        <v>e</v>
      </c>
      <c r="U433" t="s">
        <v>8</v>
      </c>
      <c r="V433" t="s">
        <v>189</v>
      </c>
      <c r="W433" t="s">
        <v>418</v>
      </c>
      <c r="X433" t="s">
        <v>706</v>
      </c>
      <c r="AF433" t="s">
        <v>401</v>
      </c>
      <c r="AJ433">
        <v>1</v>
      </c>
      <c r="AM433" t="str">
        <f t="shared" si="52"/>
        <v>Pass</v>
      </c>
      <c r="AN433" t="str">
        <f t="shared" si="53"/>
        <v>Pass_Completed</v>
      </c>
      <c r="AP433" t="str">
        <f t="shared" si="51"/>
        <v>Offensive</v>
      </c>
      <c r="BB433" s="23"/>
      <c r="BD433" s="21"/>
      <c r="BE433" s="21"/>
      <c r="BF433" s="21"/>
      <c r="BG433" s="21"/>
      <c r="BH433" s="21"/>
      <c r="BI433" s="21"/>
    </row>
    <row r="434" spans="1:61" x14ac:dyDescent="0.2">
      <c r="A434">
        <v>211</v>
      </c>
      <c r="B434" t="s">
        <v>887</v>
      </c>
      <c r="C434" t="str">
        <f t="shared" si="48"/>
        <v/>
      </c>
      <c r="D434" t="str">
        <f t="shared" si="54"/>
        <v/>
      </c>
      <c r="H434">
        <f t="shared" si="50"/>
        <v>1</v>
      </c>
      <c r="R434">
        <v>77</v>
      </c>
      <c r="S434">
        <v>1</v>
      </c>
      <c r="T434" t="str">
        <f t="shared" si="49"/>
        <v>e</v>
      </c>
      <c r="AM434" t="str">
        <f t="shared" si="52"/>
        <v>Pass</v>
      </c>
      <c r="AN434" t="str">
        <f t="shared" si="53"/>
        <v>Pass_Completed</v>
      </c>
      <c r="AP434" t="str">
        <f t="shared" si="51"/>
        <v>Offensive</v>
      </c>
      <c r="BB434" s="23"/>
      <c r="BD434" s="21"/>
      <c r="BE434" s="21"/>
      <c r="BF434" s="21"/>
      <c r="BG434" s="21"/>
      <c r="BH434" s="21"/>
      <c r="BI434" s="21"/>
    </row>
    <row r="435" spans="1:61" x14ac:dyDescent="0.2">
      <c r="A435">
        <v>211</v>
      </c>
      <c r="B435" t="s">
        <v>887</v>
      </c>
      <c r="C435" t="str">
        <f t="shared" si="48"/>
        <v/>
      </c>
      <c r="D435" t="str">
        <f t="shared" si="54"/>
        <v/>
      </c>
      <c r="H435">
        <f t="shared" si="50"/>
        <v>1</v>
      </c>
      <c r="R435">
        <v>70</v>
      </c>
      <c r="T435" t="str">
        <f t="shared" si="49"/>
        <v>o</v>
      </c>
      <c r="AJ435">
        <v>1</v>
      </c>
      <c r="AM435" t="str">
        <f t="shared" si="52"/>
        <v>Pass</v>
      </c>
      <c r="AN435" t="str">
        <f t="shared" si="53"/>
        <v>Pass_Completed</v>
      </c>
      <c r="AP435" t="str">
        <f t="shared" si="51"/>
        <v>Defensive</v>
      </c>
      <c r="BB435" s="23"/>
      <c r="BD435" s="21"/>
      <c r="BE435" s="21"/>
      <c r="BF435" s="21"/>
      <c r="BG435" s="21"/>
      <c r="BH435" s="21"/>
      <c r="BI435" s="21"/>
    </row>
    <row r="436" spans="1:61" x14ac:dyDescent="0.2">
      <c r="A436">
        <v>211</v>
      </c>
      <c r="B436" t="s">
        <v>887</v>
      </c>
      <c r="C436" t="str">
        <f t="shared" si="48"/>
        <v/>
      </c>
      <c r="D436" t="str">
        <f t="shared" si="54"/>
        <v/>
      </c>
      <c r="H436">
        <f t="shared" si="50"/>
        <v>1</v>
      </c>
      <c r="R436">
        <v>55</v>
      </c>
      <c r="T436" t="str">
        <f t="shared" si="49"/>
        <v>o</v>
      </c>
      <c r="AJ436">
        <v>1</v>
      </c>
      <c r="AM436" t="str">
        <f t="shared" si="52"/>
        <v>Pass</v>
      </c>
      <c r="AN436" t="str">
        <f t="shared" si="53"/>
        <v>Pass_Completed</v>
      </c>
      <c r="AP436" t="str">
        <f t="shared" si="51"/>
        <v>Defensive</v>
      </c>
      <c r="BB436" s="23"/>
      <c r="BD436" s="21"/>
      <c r="BE436" s="21"/>
      <c r="BF436" s="21"/>
      <c r="BG436" s="21"/>
      <c r="BH436" s="21"/>
      <c r="BI436" s="21"/>
    </row>
    <row r="437" spans="1:61" x14ac:dyDescent="0.2">
      <c r="A437">
        <v>212</v>
      </c>
      <c r="B437" t="s">
        <v>887</v>
      </c>
      <c r="C437" t="str">
        <f t="shared" si="48"/>
        <v/>
      </c>
      <c r="D437" t="str">
        <f t="shared" si="54"/>
        <v/>
      </c>
      <c r="H437">
        <f t="shared" si="50"/>
        <v>1</v>
      </c>
      <c r="I437" s="5" t="s">
        <v>733</v>
      </c>
      <c r="J437" s="5" t="s">
        <v>721</v>
      </c>
      <c r="K437" s="5" t="s">
        <v>733</v>
      </c>
      <c r="L437" s="7" t="s">
        <v>726</v>
      </c>
      <c r="Q437" t="s">
        <v>619</v>
      </c>
      <c r="R437">
        <v>77</v>
      </c>
      <c r="S437">
        <v>1</v>
      </c>
      <c r="T437" t="str">
        <f t="shared" si="49"/>
        <v>e</v>
      </c>
      <c r="U437" t="s">
        <v>15</v>
      </c>
      <c r="AF437" t="s">
        <v>401</v>
      </c>
      <c r="AJ437">
        <v>1</v>
      </c>
      <c r="AM437" t="str">
        <f t="shared" si="52"/>
        <v>Possession</v>
      </c>
      <c r="AN437" t="str">
        <f t="shared" si="53"/>
        <v/>
      </c>
      <c r="AP437" t="str">
        <f t="shared" si="51"/>
        <v>Offensive</v>
      </c>
      <c r="BB437" s="23"/>
      <c r="BD437" s="21"/>
      <c r="BE437" s="21"/>
      <c r="BF437" s="21"/>
      <c r="BG437" s="21"/>
      <c r="BH437" s="21"/>
      <c r="BI437" s="21"/>
    </row>
    <row r="438" spans="1:61" x14ac:dyDescent="0.2">
      <c r="A438">
        <v>212</v>
      </c>
      <c r="B438" t="s">
        <v>887</v>
      </c>
      <c r="C438" t="str">
        <f t="shared" si="48"/>
        <v/>
      </c>
      <c r="D438" t="str">
        <f t="shared" si="54"/>
        <v/>
      </c>
      <c r="H438">
        <f t="shared" si="50"/>
        <v>1</v>
      </c>
      <c r="R438">
        <v>70</v>
      </c>
      <c r="T438" t="str">
        <f t="shared" si="49"/>
        <v>o</v>
      </c>
      <c r="AJ438">
        <v>1</v>
      </c>
      <c r="AM438" t="str">
        <f t="shared" si="52"/>
        <v>Possession</v>
      </c>
      <c r="AN438" t="str">
        <f t="shared" si="53"/>
        <v/>
      </c>
      <c r="AP438" t="str">
        <f t="shared" si="51"/>
        <v>Defensive</v>
      </c>
      <c r="BB438" s="23"/>
      <c r="BD438" s="21"/>
      <c r="BE438" s="21"/>
      <c r="BF438" s="21"/>
      <c r="BG438" s="21"/>
      <c r="BH438" s="21"/>
      <c r="BI438" s="21"/>
    </row>
    <row r="439" spans="1:61" x14ac:dyDescent="0.2">
      <c r="A439">
        <v>212</v>
      </c>
      <c r="B439" t="s">
        <v>887</v>
      </c>
      <c r="C439" t="str">
        <f t="shared" si="48"/>
        <v/>
      </c>
      <c r="D439" t="str">
        <f t="shared" si="54"/>
        <v/>
      </c>
      <c r="H439">
        <f t="shared" si="50"/>
        <v>1</v>
      </c>
      <c r="R439">
        <v>91</v>
      </c>
      <c r="T439" t="str">
        <f t="shared" si="49"/>
        <v>o</v>
      </c>
      <c r="AJ439">
        <v>1</v>
      </c>
      <c r="AM439" t="str">
        <f t="shared" si="52"/>
        <v>Possession</v>
      </c>
      <c r="AN439" t="str">
        <f t="shared" si="53"/>
        <v/>
      </c>
      <c r="AP439" t="str">
        <f t="shared" si="51"/>
        <v>Defensive</v>
      </c>
      <c r="BB439" s="23"/>
      <c r="BD439" s="21"/>
      <c r="BE439" s="21"/>
      <c r="BF439" s="21"/>
      <c r="BG439" s="21"/>
      <c r="BH439" s="21"/>
      <c r="BI439" s="21"/>
    </row>
    <row r="440" spans="1:61" x14ac:dyDescent="0.2">
      <c r="A440">
        <v>213</v>
      </c>
      <c r="B440" t="s">
        <v>887</v>
      </c>
      <c r="C440" t="str">
        <f t="shared" si="48"/>
        <v/>
      </c>
      <c r="D440" t="str">
        <f t="shared" si="54"/>
        <v/>
      </c>
      <c r="H440">
        <f t="shared" si="50"/>
        <v>1</v>
      </c>
      <c r="I440" s="5" t="s">
        <v>733</v>
      </c>
      <c r="J440" s="5" t="s">
        <v>726</v>
      </c>
      <c r="Q440" t="s">
        <v>619</v>
      </c>
      <c r="R440">
        <v>77</v>
      </c>
      <c r="S440">
        <v>1</v>
      </c>
      <c r="T440" t="str">
        <f t="shared" si="49"/>
        <v>e</v>
      </c>
      <c r="U440" t="s">
        <v>8</v>
      </c>
      <c r="V440" t="s">
        <v>189</v>
      </c>
      <c r="W440" t="s">
        <v>70</v>
      </c>
      <c r="X440" t="s">
        <v>706</v>
      </c>
      <c r="AF440" t="s">
        <v>401</v>
      </c>
      <c r="AM440" t="str">
        <f t="shared" si="52"/>
        <v>Pass</v>
      </c>
      <c r="AN440" t="str">
        <f t="shared" si="53"/>
        <v>Pass_Completed</v>
      </c>
      <c r="AP440" t="str">
        <f t="shared" si="51"/>
        <v>Offensive</v>
      </c>
      <c r="BB440" s="23"/>
      <c r="BD440" s="21"/>
      <c r="BE440" s="21"/>
      <c r="BF440" s="21"/>
      <c r="BG440" s="21"/>
      <c r="BH440" s="21"/>
      <c r="BI440" s="21"/>
    </row>
    <row r="441" spans="1:61" x14ac:dyDescent="0.2">
      <c r="A441">
        <v>213</v>
      </c>
      <c r="B441" t="s">
        <v>887</v>
      </c>
      <c r="C441" t="str">
        <f t="shared" si="48"/>
        <v/>
      </c>
      <c r="D441" t="str">
        <f t="shared" si="54"/>
        <v/>
      </c>
      <c r="H441">
        <f t="shared" si="50"/>
        <v>1</v>
      </c>
      <c r="R441">
        <v>68</v>
      </c>
      <c r="S441">
        <v>1</v>
      </c>
      <c r="T441" t="str">
        <f t="shared" si="49"/>
        <v>e</v>
      </c>
      <c r="Y441" t="s">
        <v>771</v>
      </c>
      <c r="AJ441">
        <v>1</v>
      </c>
      <c r="AM441" t="str">
        <f t="shared" si="52"/>
        <v>Pass</v>
      </c>
      <c r="AN441" t="str">
        <f t="shared" si="53"/>
        <v>Pass_Completed</v>
      </c>
      <c r="AP441" t="str">
        <f t="shared" si="51"/>
        <v>Offensive</v>
      </c>
      <c r="BB441" s="23"/>
      <c r="BD441" s="21"/>
      <c r="BE441" s="21"/>
      <c r="BF441" s="21"/>
      <c r="BG441" s="21"/>
      <c r="BH441" s="21"/>
      <c r="BI441" s="21"/>
    </row>
    <row r="442" spans="1:61" x14ac:dyDescent="0.2">
      <c r="A442">
        <v>213</v>
      </c>
      <c r="B442" t="s">
        <v>887</v>
      </c>
      <c r="C442" t="str">
        <f t="shared" si="48"/>
        <v/>
      </c>
      <c r="D442" t="str">
        <f t="shared" si="54"/>
        <v/>
      </c>
      <c r="H442">
        <f t="shared" si="50"/>
        <v>1</v>
      </c>
      <c r="R442">
        <v>9</v>
      </c>
      <c r="T442" t="str">
        <f t="shared" si="49"/>
        <v>o</v>
      </c>
      <c r="Y442" t="s">
        <v>806</v>
      </c>
      <c r="AJ442">
        <v>1</v>
      </c>
      <c r="AM442" t="str">
        <f t="shared" si="52"/>
        <v>Pass</v>
      </c>
      <c r="AN442" t="str">
        <f t="shared" si="53"/>
        <v>Pass_Completed</v>
      </c>
      <c r="AP442" t="str">
        <f t="shared" si="51"/>
        <v>Defensive</v>
      </c>
      <c r="BB442" s="23"/>
      <c r="BD442" s="21"/>
      <c r="BE442" s="21"/>
      <c r="BF442" s="21"/>
      <c r="BG442" s="21"/>
      <c r="BH442" s="21"/>
      <c r="BI442" s="21"/>
    </row>
    <row r="443" spans="1:61" x14ac:dyDescent="0.2">
      <c r="A443">
        <v>214</v>
      </c>
      <c r="B443">
        <v>40</v>
      </c>
      <c r="C443">
        <f t="shared" si="48"/>
        <v>9040</v>
      </c>
      <c r="D443">
        <f t="shared" si="54"/>
        <v>9040</v>
      </c>
      <c r="H443">
        <f t="shared" si="50"/>
        <v>1</v>
      </c>
      <c r="I443" s="5" t="s">
        <v>733</v>
      </c>
      <c r="J443" s="5" t="s">
        <v>780</v>
      </c>
      <c r="Q443" t="s">
        <v>619</v>
      </c>
      <c r="R443">
        <v>68</v>
      </c>
      <c r="S443">
        <v>1</v>
      </c>
      <c r="T443" t="str">
        <f t="shared" si="49"/>
        <v>e</v>
      </c>
      <c r="U443" t="s">
        <v>7</v>
      </c>
      <c r="V443" t="s">
        <v>222</v>
      </c>
      <c r="W443" t="s">
        <v>53</v>
      </c>
      <c r="X443" t="s">
        <v>706</v>
      </c>
      <c r="AC443" t="s">
        <v>629</v>
      </c>
      <c r="AE443">
        <v>1</v>
      </c>
      <c r="AF443" t="s">
        <v>401</v>
      </c>
      <c r="AJ443">
        <v>1</v>
      </c>
      <c r="AM443" t="str">
        <f t="shared" si="52"/>
        <v>Shot</v>
      </c>
      <c r="AN443" t="str">
        <f t="shared" si="53"/>
        <v>Shot_OnNetSaved</v>
      </c>
      <c r="AP443" t="str">
        <f t="shared" si="51"/>
        <v>Offensive</v>
      </c>
      <c r="BB443" s="23"/>
      <c r="BD443" s="21"/>
      <c r="BE443" s="21"/>
      <c r="BF443" s="21"/>
      <c r="BG443" s="21"/>
      <c r="BH443" s="21"/>
      <c r="BI443" s="21"/>
    </row>
    <row r="444" spans="1:61" x14ac:dyDescent="0.2">
      <c r="A444">
        <v>214</v>
      </c>
      <c r="B444">
        <v>40</v>
      </c>
      <c r="C444">
        <f t="shared" si="48"/>
        <v>9040</v>
      </c>
      <c r="D444">
        <f t="shared" si="54"/>
        <v>9040</v>
      </c>
      <c r="H444">
        <f t="shared" si="50"/>
        <v>1</v>
      </c>
      <c r="R444">
        <v>39</v>
      </c>
      <c r="T444" t="str">
        <f t="shared" si="49"/>
        <v>o</v>
      </c>
      <c r="AM444" t="str">
        <f t="shared" si="52"/>
        <v>Shot</v>
      </c>
      <c r="AN444" t="str">
        <f t="shared" si="53"/>
        <v>Shot_OnNetSaved</v>
      </c>
      <c r="AP444" t="str">
        <f t="shared" si="51"/>
        <v>Defensive</v>
      </c>
      <c r="BB444" s="23"/>
      <c r="BD444" s="21"/>
      <c r="BE444" s="21"/>
      <c r="BF444" s="21"/>
      <c r="BG444" s="21"/>
      <c r="BH444" s="21"/>
      <c r="BI444" s="21"/>
    </row>
    <row r="445" spans="1:61" x14ac:dyDescent="0.2">
      <c r="A445">
        <v>214</v>
      </c>
      <c r="B445">
        <v>40</v>
      </c>
      <c r="C445">
        <f t="shared" si="48"/>
        <v>9040</v>
      </c>
      <c r="D445">
        <f t="shared" si="54"/>
        <v>9040</v>
      </c>
      <c r="H445">
        <f t="shared" si="50"/>
        <v>1</v>
      </c>
      <c r="R445">
        <v>9</v>
      </c>
      <c r="T445" t="str">
        <f t="shared" si="49"/>
        <v>o</v>
      </c>
      <c r="AJ445">
        <v>1</v>
      </c>
      <c r="AM445" t="str">
        <f t="shared" si="52"/>
        <v>Shot</v>
      </c>
      <c r="AN445" t="str">
        <f t="shared" si="53"/>
        <v>Shot_OnNetSaved</v>
      </c>
      <c r="AP445" t="str">
        <f t="shared" si="51"/>
        <v>Defensive</v>
      </c>
      <c r="BB445" s="23"/>
      <c r="BD445" s="21"/>
      <c r="BE445" s="21"/>
      <c r="BF445" s="21"/>
      <c r="BG445" s="21"/>
      <c r="BH445" s="21"/>
      <c r="BI445" s="21"/>
    </row>
    <row r="446" spans="1:61" x14ac:dyDescent="0.2">
      <c r="A446">
        <v>215</v>
      </c>
      <c r="B446">
        <v>40</v>
      </c>
      <c r="C446">
        <f t="shared" si="48"/>
        <v>9040</v>
      </c>
      <c r="D446">
        <f t="shared" si="54"/>
        <v>9040</v>
      </c>
      <c r="H446">
        <f t="shared" si="50"/>
        <v>1</v>
      </c>
      <c r="I446" s="5" t="s">
        <v>733</v>
      </c>
      <c r="J446" s="5" t="s">
        <v>780</v>
      </c>
      <c r="Q446" t="s">
        <v>620</v>
      </c>
      <c r="R446">
        <v>39</v>
      </c>
      <c r="S446">
        <v>1</v>
      </c>
      <c r="T446" t="str">
        <f t="shared" si="49"/>
        <v>e</v>
      </c>
      <c r="U446" t="s">
        <v>17</v>
      </c>
      <c r="V446" t="s">
        <v>196</v>
      </c>
      <c r="W446" t="s">
        <v>98</v>
      </c>
      <c r="AC446" t="s">
        <v>629</v>
      </c>
      <c r="AE446">
        <v>1</v>
      </c>
      <c r="AF446" t="s">
        <v>623</v>
      </c>
      <c r="AM446" t="str">
        <f t="shared" si="52"/>
        <v>Save</v>
      </c>
      <c r="AN446" t="str">
        <f t="shared" si="53"/>
        <v>Save_Rebound</v>
      </c>
      <c r="AP446" t="str">
        <f t="shared" si="51"/>
        <v>Defensive</v>
      </c>
      <c r="BB446" s="23"/>
      <c r="BD446" s="21"/>
      <c r="BE446" s="21"/>
      <c r="BF446" s="21"/>
      <c r="BG446" s="21"/>
      <c r="BH446" s="21"/>
      <c r="BI446" s="21"/>
    </row>
    <row r="447" spans="1:61" x14ac:dyDescent="0.2">
      <c r="A447">
        <v>215</v>
      </c>
      <c r="B447">
        <v>40</v>
      </c>
      <c r="C447">
        <f t="shared" si="48"/>
        <v>9040</v>
      </c>
      <c r="D447">
        <f t="shared" si="54"/>
        <v>9040</v>
      </c>
      <c r="H447">
        <f t="shared" si="50"/>
        <v>1</v>
      </c>
      <c r="R447">
        <v>9</v>
      </c>
      <c r="S447">
        <v>1</v>
      </c>
      <c r="T447" t="str">
        <f t="shared" si="49"/>
        <v>e</v>
      </c>
      <c r="AM447" t="str">
        <f t="shared" si="52"/>
        <v>Save</v>
      </c>
      <c r="AN447" t="str">
        <f t="shared" si="53"/>
        <v>Save_Rebound</v>
      </c>
      <c r="AP447" t="str">
        <f t="shared" si="51"/>
        <v>Defensive</v>
      </c>
      <c r="BB447" s="23"/>
      <c r="BD447" s="21"/>
      <c r="BE447" s="21"/>
      <c r="BF447" s="21"/>
      <c r="BG447" s="21"/>
      <c r="BH447" s="21"/>
      <c r="BI447" s="21"/>
    </row>
    <row r="448" spans="1:61" x14ac:dyDescent="0.2">
      <c r="A448">
        <v>215</v>
      </c>
      <c r="B448">
        <v>40</v>
      </c>
      <c r="C448">
        <f t="shared" si="48"/>
        <v>9040</v>
      </c>
      <c r="D448">
        <f t="shared" si="54"/>
        <v>9040</v>
      </c>
      <c r="H448">
        <f t="shared" si="50"/>
        <v>1</v>
      </c>
      <c r="R448">
        <v>68</v>
      </c>
      <c r="T448" t="str">
        <f t="shared" si="49"/>
        <v>o</v>
      </c>
      <c r="AM448" t="str">
        <f t="shared" si="52"/>
        <v>Save</v>
      </c>
      <c r="AN448" t="str">
        <f t="shared" si="53"/>
        <v>Save_Rebound</v>
      </c>
      <c r="AP448" t="str">
        <f t="shared" si="51"/>
        <v>Offensive</v>
      </c>
      <c r="BB448" s="23"/>
      <c r="BD448" s="21"/>
      <c r="BE448" s="21"/>
      <c r="BF448" s="21"/>
      <c r="BG448" s="21"/>
      <c r="BH448" s="21"/>
      <c r="BI448" s="21"/>
    </row>
    <row r="449" spans="1:61" x14ac:dyDescent="0.2">
      <c r="A449">
        <v>216</v>
      </c>
      <c r="B449">
        <v>40</v>
      </c>
      <c r="C449">
        <f t="shared" si="48"/>
        <v>9040</v>
      </c>
      <c r="D449">
        <f t="shared" si="54"/>
        <v>9040</v>
      </c>
      <c r="H449">
        <f t="shared" si="50"/>
        <v>1</v>
      </c>
      <c r="I449" s="5" t="s">
        <v>733</v>
      </c>
      <c r="J449" s="5" t="s">
        <v>780</v>
      </c>
      <c r="Q449" t="s">
        <v>619</v>
      </c>
      <c r="R449">
        <v>39</v>
      </c>
      <c r="S449">
        <v>1</v>
      </c>
      <c r="T449" t="str">
        <f t="shared" si="49"/>
        <v>e</v>
      </c>
      <c r="U449" t="s">
        <v>250</v>
      </c>
      <c r="V449" t="s">
        <v>252</v>
      </c>
      <c r="AF449" t="s">
        <v>623</v>
      </c>
      <c r="AM449" t="str">
        <f t="shared" si="52"/>
        <v>Rebound</v>
      </c>
      <c r="AN449" t="str">
        <f t="shared" si="53"/>
        <v>Rebound_OppTeamRecovered</v>
      </c>
      <c r="AP449" t="str">
        <f t="shared" si="51"/>
        <v>Offensive</v>
      </c>
      <c r="BB449" s="23"/>
      <c r="BD449" s="21"/>
      <c r="BE449" s="21"/>
      <c r="BF449" s="21"/>
      <c r="BG449" s="21"/>
      <c r="BH449" s="21"/>
      <c r="BI449" s="21"/>
    </row>
    <row r="450" spans="1:61" x14ac:dyDescent="0.2">
      <c r="A450">
        <v>217</v>
      </c>
      <c r="B450" t="s">
        <v>887</v>
      </c>
      <c r="C450" t="str">
        <f t="shared" si="48"/>
        <v/>
      </c>
      <c r="D450" t="str">
        <f t="shared" si="54"/>
        <v/>
      </c>
      <c r="H450">
        <f t="shared" si="50"/>
        <v>1</v>
      </c>
      <c r="I450" s="5" t="s">
        <v>733</v>
      </c>
      <c r="J450" s="5" t="s">
        <v>727</v>
      </c>
      <c r="K450" s="5" t="s">
        <v>733</v>
      </c>
      <c r="L450" s="7" t="s">
        <v>730</v>
      </c>
      <c r="Q450" t="s">
        <v>619</v>
      </c>
      <c r="R450">
        <v>77</v>
      </c>
      <c r="S450">
        <v>1</v>
      </c>
      <c r="T450" t="str">
        <f t="shared" si="49"/>
        <v>e</v>
      </c>
      <c r="U450" t="s">
        <v>15</v>
      </c>
      <c r="V450" t="s">
        <v>698</v>
      </c>
      <c r="X450" t="s">
        <v>706</v>
      </c>
      <c r="Y450" t="s">
        <v>808</v>
      </c>
      <c r="AA450" t="s">
        <v>706</v>
      </c>
      <c r="AF450" t="s">
        <v>401</v>
      </c>
      <c r="AJ450">
        <v>1</v>
      </c>
      <c r="AM450" t="str">
        <f t="shared" si="52"/>
        <v>Possession</v>
      </c>
      <c r="AN450" t="str">
        <f t="shared" si="53"/>
        <v>PuckRecovery</v>
      </c>
      <c r="AP450" t="str">
        <f t="shared" si="51"/>
        <v>Offensive</v>
      </c>
      <c r="BB450" s="23"/>
      <c r="BD450" s="21"/>
      <c r="BE450" s="21"/>
      <c r="BF450" s="21"/>
      <c r="BG450" s="21"/>
      <c r="BH450" s="21"/>
      <c r="BI450" s="21"/>
    </row>
    <row r="451" spans="1:61" x14ac:dyDescent="0.2">
      <c r="A451">
        <v>217</v>
      </c>
      <c r="B451" t="s">
        <v>887</v>
      </c>
      <c r="C451" t="str">
        <f t="shared" ref="C451:C514" si="55">IF(B451&lt;&gt;"",9000+B451,"")</f>
        <v/>
      </c>
      <c r="D451" t="str">
        <f t="shared" si="54"/>
        <v/>
      </c>
      <c r="H451">
        <f t="shared" si="50"/>
        <v>1</v>
      </c>
      <c r="R451">
        <v>70</v>
      </c>
      <c r="T451" t="str">
        <f t="shared" ref="T451:T514" si="56">IF(S451="x","",IF(S451=1,"e","o"))</f>
        <v>o</v>
      </c>
      <c r="AJ451">
        <v>1</v>
      </c>
      <c r="AM451" t="str">
        <f t="shared" si="52"/>
        <v>Possession</v>
      </c>
      <c r="AN451" t="str">
        <f t="shared" si="53"/>
        <v>PuckRecovery</v>
      </c>
      <c r="AP451" t="str">
        <f t="shared" si="51"/>
        <v>Defensive</v>
      </c>
      <c r="BB451" s="23"/>
      <c r="BD451" s="21"/>
      <c r="BE451" s="21"/>
      <c r="BF451" s="21"/>
      <c r="BG451" s="21"/>
      <c r="BH451" s="21"/>
      <c r="BI451" s="21"/>
    </row>
    <row r="452" spans="1:61" x14ac:dyDescent="0.2">
      <c r="A452">
        <v>218</v>
      </c>
      <c r="B452">
        <v>41</v>
      </c>
      <c r="C452">
        <f t="shared" si="55"/>
        <v>9041</v>
      </c>
      <c r="D452">
        <f t="shared" si="54"/>
        <v>9041</v>
      </c>
      <c r="H452">
        <f t="shared" ref="H452:H515" si="57">IF(U452="Intermission",H451+1,H451)</f>
        <v>1</v>
      </c>
      <c r="I452" s="5" t="s">
        <v>733</v>
      </c>
      <c r="J452" s="5" t="s">
        <v>730</v>
      </c>
      <c r="Q452" t="s">
        <v>619</v>
      </c>
      <c r="R452">
        <v>77</v>
      </c>
      <c r="S452">
        <v>1</v>
      </c>
      <c r="T452" t="str">
        <f t="shared" si="56"/>
        <v>e</v>
      </c>
      <c r="U452" t="s">
        <v>8</v>
      </c>
      <c r="V452" t="s">
        <v>199</v>
      </c>
      <c r="W452" t="s">
        <v>703</v>
      </c>
      <c r="X452" t="s">
        <v>705</v>
      </c>
      <c r="Y452" t="s">
        <v>784</v>
      </c>
      <c r="AF452" t="s">
        <v>401</v>
      </c>
      <c r="AJ452">
        <v>1</v>
      </c>
      <c r="AM452" t="str">
        <f t="shared" si="52"/>
        <v>Pass</v>
      </c>
      <c r="AN452" t="str">
        <f t="shared" si="53"/>
        <v>Pass_Missed</v>
      </c>
      <c r="AP452" t="str">
        <f t="shared" si="51"/>
        <v>Offensive</v>
      </c>
      <c r="BB452" s="23"/>
      <c r="BD452" s="21"/>
      <c r="BE452" s="21"/>
      <c r="BF452" s="21"/>
      <c r="BG452" s="21"/>
      <c r="BH452" s="21"/>
      <c r="BI452" s="21"/>
    </row>
    <row r="453" spans="1:61" x14ac:dyDescent="0.2">
      <c r="A453">
        <v>218</v>
      </c>
      <c r="B453">
        <v>41</v>
      </c>
      <c r="C453">
        <f t="shared" si="55"/>
        <v>9041</v>
      </c>
      <c r="D453">
        <f t="shared" si="54"/>
        <v>9041</v>
      </c>
      <c r="H453">
        <f t="shared" si="57"/>
        <v>1</v>
      </c>
      <c r="R453">
        <v>70</v>
      </c>
      <c r="T453" t="str">
        <f t="shared" si="56"/>
        <v>o</v>
      </c>
      <c r="AJ453">
        <v>1</v>
      </c>
      <c r="AM453" t="str">
        <f t="shared" si="52"/>
        <v>Pass</v>
      </c>
      <c r="AN453" t="str">
        <f t="shared" si="53"/>
        <v>Pass_Missed</v>
      </c>
      <c r="AP453" t="str">
        <f t="shared" si="51"/>
        <v>Defensive</v>
      </c>
      <c r="BB453" s="23"/>
      <c r="BD453" s="21"/>
      <c r="BE453" s="21"/>
      <c r="BF453" s="21"/>
      <c r="BG453" s="21"/>
      <c r="BH453" s="21"/>
      <c r="BI453" s="21"/>
    </row>
    <row r="454" spans="1:61" x14ac:dyDescent="0.2">
      <c r="A454">
        <v>219</v>
      </c>
      <c r="B454">
        <v>41</v>
      </c>
      <c r="C454">
        <f t="shared" si="55"/>
        <v>9041</v>
      </c>
      <c r="D454">
        <f t="shared" si="54"/>
        <v>9041</v>
      </c>
      <c r="H454">
        <f t="shared" si="57"/>
        <v>1</v>
      </c>
      <c r="I454" s="5" t="s">
        <v>733</v>
      </c>
      <c r="J454" s="5" t="s">
        <v>730</v>
      </c>
      <c r="Q454" t="s">
        <v>619</v>
      </c>
      <c r="R454">
        <v>77</v>
      </c>
      <c r="S454">
        <v>1</v>
      </c>
      <c r="T454" t="str">
        <f t="shared" si="56"/>
        <v>e</v>
      </c>
      <c r="U454" t="s">
        <v>10</v>
      </c>
      <c r="V454" t="s">
        <v>190</v>
      </c>
      <c r="W454" t="s">
        <v>424</v>
      </c>
      <c r="AF454" t="s">
        <v>401</v>
      </c>
      <c r="AJ454">
        <v>1</v>
      </c>
      <c r="AM454" t="str">
        <f t="shared" si="52"/>
        <v>Turnover</v>
      </c>
      <c r="AN454" t="str">
        <f t="shared" si="53"/>
        <v>Turnover_Giveaway</v>
      </c>
      <c r="AP454" t="str">
        <f t="shared" ref="AP454:AP516" si="58">IF(AND(T454="e",OR(AM454="Save",AN454="Turnover_Takeaway",AN454="Play_Defensive")),"Defensive",IF(AND(T454="o",OR(AM454="Save",AN454="Turnover_Takeaway",AN454="Play_Defensive")),"Offensive",IF(OR(AM454="Deadice",AM454="Stoppage",AM454="Intermission"),"",IF(T454="e","Offensive",IF(T454="o","Defensive","")))))</f>
        <v>Offensive</v>
      </c>
      <c r="BB454" s="23"/>
      <c r="BD454" s="21"/>
      <c r="BE454" s="21"/>
      <c r="BF454" s="21"/>
      <c r="BG454" s="21"/>
      <c r="BH454" s="21"/>
      <c r="BI454" s="21"/>
    </row>
    <row r="455" spans="1:61" x14ac:dyDescent="0.2">
      <c r="A455">
        <v>219</v>
      </c>
      <c r="B455">
        <v>41</v>
      </c>
      <c r="C455">
        <f t="shared" si="55"/>
        <v>9041</v>
      </c>
      <c r="D455">
        <f t="shared" si="54"/>
        <v>9041</v>
      </c>
      <c r="H455">
        <f t="shared" si="57"/>
        <v>1</v>
      </c>
      <c r="R455">
        <v>70</v>
      </c>
      <c r="T455" t="str">
        <f t="shared" si="56"/>
        <v>o</v>
      </c>
      <c r="AJ455">
        <v>1</v>
      </c>
      <c r="AM455" t="str">
        <f t="shared" ref="AM455:AM518" si="59">IF(U455&lt;&gt;"",U455,IF($A455=$A454,AM454,""))</f>
        <v>Turnover</v>
      </c>
      <c r="AN455" t="str">
        <f t="shared" ref="AN455:AN518" si="60">IF(V455&lt;&gt;"",V455,IF($A455=$A454,AN454,""))</f>
        <v>Turnover_Giveaway</v>
      </c>
      <c r="AP455" t="str">
        <f t="shared" si="58"/>
        <v>Defensive</v>
      </c>
      <c r="BB455" s="23"/>
      <c r="BD455" s="21"/>
      <c r="BE455" s="21"/>
      <c r="BF455" s="21"/>
      <c r="BG455" s="21"/>
      <c r="BH455" s="21"/>
      <c r="BI455" s="21"/>
    </row>
    <row r="456" spans="1:61" x14ac:dyDescent="0.2">
      <c r="A456">
        <v>220</v>
      </c>
      <c r="B456" t="s">
        <v>887</v>
      </c>
      <c r="C456" t="str">
        <f t="shared" si="55"/>
        <v/>
      </c>
      <c r="D456" t="str">
        <f t="shared" ref="D456:D519" si="61">IF(C456&lt;&gt;"",C456,B456)</f>
        <v/>
      </c>
      <c r="H456">
        <f t="shared" si="57"/>
        <v>1</v>
      </c>
      <c r="I456" s="5" t="s">
        <v>733</v>
      </c>
      <c r="J456" s="5" t="s">
        <v>760</v>
      </c>
      <c r="Q456" t="s">
        <v>620</v>
      </c>
      <c r="R456">
        <v>9</v>
      </c>
      <c r="S456">
        <v>1</v>
      </c>
      <c r="T456" t="str">
        <f t="shared" si="56"/>
        <v>e</v>
      </c>
      <c r="U456" t="s">
        <v>15</v>
      </c>
      <c r="V456" t="s">
        <v>697</v>
      </c>
      <c r="X456" t="s">
        <v>706</v>
      </c>
      <c r="Y456" t="s">
        <v>712</v>
      </c>
      <c r="AA456" t="s">
        <v>706</v>
      </c>
      <c r="AF456" t="s">
        <v>623</v>
      </c>
      <c r="AM456" t="str">
        <f t="shared" si="59"/>
        <v>Possession</v>
      </c>
      <c r="AN456" t="str">
        <f t="shared" si="60"/>
        <v>PuckRetrieval</v>
      </c>
      <c r="AP456" t="str">
        <f t="shared" si="58"/>
        <v>Offensive</v>
      </c>
      <c r="BB456" s="23"/>
      <c r="BD456" s="21"/>
      <c r="BE456" s="21"/>
      <c r="BF456" s="21"/>
      <c r="BG456" s="21"/>
      <c r="BH456" s="21"/>
      <c r="BI456" s="21"/>
    </row>
    <row r="457" spans="1:61" x14ac:dyDescent="0.2">
      <c r="A457">
        <v>221</v>
      </c>
      <c r="B457">
        <v>42</v>
      </c>
      <c r="C457">
        <f t="shared" si="55"/>
        <v>9042</v>
      </c>
      <c r="D457">
        <f t="shared" si="61"/>
        <v>9042</v>
      </c>
      <c r="H457">
        <f t="shared" si="57"/>
        <v>1</v>
      </c>
      <c r="I457" s="5" t="s">
        <v>733</v>
      </c>
      <c r="J457" s="5" t="s">
        <v>782</v>
      </c>
      <c r="Q457" t="s">
        <v>620</v>
      </c>
      <c r="R457">
        <v>9</v>
      </c>
      <c r="S457">
        <v>1</v>
      </c>
      <c r="T457" t="str">
        <f t="shared" si="56"/>
        <v>e</v>
      </c>
      <c r="U457" t="s">
        <v>257</v>
      </c>
      <c r="V457" t="s">
        <v>201</v>
      </c>
      <c r="W457" t="s">
        <v>92</v>
      </c>
      <c r="X457" t="s">
        <v>706</v>
      </c>
      <c r="AF457" t="s">
        <v>623</v>
      </c>
      <c r="AM457" t="str">
        <f t="shared" si="59"/>
        <v>Zone_Entry_Exit</v>
      </c>
      <c r="AN457" t="str">
        <f t="shared" si="60"/>
        <v>Zone_Exit</v>
      </c>
      <c r="AP457" t="str">
        <f t="shared" si="58"/>
        <v>Offensive</v>
      </c>
      <c r="BB457" s="23"/>
      <c r="BD457" s="21"/>
      <c r="BE457" s="21"/>
      <c r="BF457" s="21"/>
      <c r="BG457" s="21"/>
      <c r="BH457" s="21"/>
      <c r="BI457" s="21"/>
    </row>
    <row r="458" spans="1:61" x14ac:dyDescent="0.2">
      <c r="A458">
        <v>221</v>
      </c>
      <c r="B458">
        <v>42</v>
      </c>
      <c r="C458">
        <f t="shared" si="55"/>
        <v>9042</v>
      </c>
      <c r="D458">
        <f t="shared" si="61"/>
        <v>9042</v>
      </c>
      <c r="H458">
        <f t="shared" si="57"/>
        <v>1</v>
      </c>
      <c r="R458">
        <v>25</v>
      </c>
      <c r="T458" t="str">
        <f t="shared" si="56"/>
        <v>o</v>
      </c>
      <c r="Y458" t="s">
        <v>737</v>
      </c>
      <c r="AA458" t="s">
        <v>705</v>
      </c>
      <c r="AM458" t="str">
        <f t="shared" si="59"/>
        <v>Zone_Entry_Exit</v>
      </c>
      <c r="AN458" t="str">
        <f t="shared" si="60"/>
        <v>Zone_Exit</v>
      </c>
      <c r="AP458" t="str">
        <f t="shared" si="58"/>
        <v>Defensive</v>
      </c>
      <c r="BB458" s="23"/>
      <c r="BD458" s="21"/>
      <c r="BE458" s="21"/>
      <c r="BF458" s="21"/>
      <c r="BG458" s="21"/>
      <c r="BH458" s="21"/>
      <c r="BI458" s="21"/>
    </row>
    <row r="459" spans="1:61" x14ac:dyDescent="0.2">
      <c r="A459">
        <v>222</v>
      </c>
      <c r="B459">
        <v>42</v>
      </c>
      <c r="C459">
        <f t="shared" si="55"/>
        <v>9042</v>
      </c>
      <c r="D459">
        <f t="shared" si="61"/>
        <v>9042</v>
      </c>
      <c r="H459">
        <f t="shared" si="57"/>
        <v>1</v>
      </c>
      <c r="I459" s="5" t="s">
        <v>733</v>
      </c>
      <c r="J459" s="5" t="s">
        <v>782</v>
      </c>
      <c r="Q459" t="s">
        <v>620</v>
      </c>
      <c r="R459">
        <v>9</v>
      </c>
      <c r="S459">
        <v>1</v>
      </c>
      <c r="T459" t="str">
        <f t="shared" si="56"/>
        <v>e</v>
      </c>
      <c r="U459" t="s">
        <v>10</v>
      </c>
      <c r="V459" t="s">
        <v>190</v>
      </c>
      <c r="W459" t="s">
        <v>387</v>
      </c>
      <c r="AF459" t="s">
        <v>623</v>
      </c>
      <c r="AM459" t="str">
        <f t="shared" si="59"/>
        <v>Turnover</v>
      </c>
      <c r="AN459" t="str">
        <f t="shared" si="60"/>
        <v>Turnover_Giveaway</v>
      </c>
      <c r="AP459" t="str">
        <f t="shared" si="58"/>
        <v>Offensive</v>
      </c>
      <c r="BB459" s="23"/>
      <c r="BD459" s="21"/>
      <c r="BE459" s="21"/>
      <c r="BF459" s="21"/>
      <c r="BG459" s="21"/>
      <c r="BH459" s="21"/>
      <c r="BI459" s="21"/>
    </row>
    <row r="460" spans="1:61" x14ac:dyDescent="0.2">
      <c r="A460">
        <v>223</v>
      </c>
      <c r="B460" t="s">
        <v>887</v>
      </c>
      <c r="C460" t="str">
        <f t="shared" si="55"/>
        <v/>
      </c>
      <c r="D460" t="str">
        <f t="shared" si="61"/>
        <v/>
      </c>
      <c r="H460">
        <f t="shared" si="57"/>
        <v>1</v>
      </c>
      <c r="I460" s="5" t="s">
        <v>733</v>
      </c>
      <c r="J460" s="5" t="s">
        <v>743</v>
      </c>
      <c r="Q460" t="s">
        <v>619</v>
      </c>
      <c r="R460">
        <v>25</v>
      </c>
      <c r="S460">
        <v>1</v>
      </c>
      <c r="T460" t="str">
        <f t="shared" si="56"/>
        <v>e</v>
      </c>
      <c r="U460" t="s">
        <v>8</v>
      </c>
      <c r="V460" t="s">
        <v>199</v>
      </c>
      <c r="W460" t="s">
        <v>70</v>
      </c>
      <c r="X460" t="s">
        <v>705</v>
      </c>
      <c r="AF460" t="s">
        <v>635</v>
      </c>
      <c r="AM460" t="str">
        <f t="shared" si="59"/>
        <v>Pass</v>
      </c>
      <c r="AN460" t="str">
        <f t="shared" si="60"/>
        <v>Pass_Missed</v>
      </c>
      <c r="AP460" t="str">
        <f t="shared" si="58"/>
        <v>Offensive</v>
      </c>
      <c r="BB460" s="23"/>
      <c r="BD460" s="21"/>
      <c r="BE460" s="21"/>
      <c r="BF460" s="21"/>
      <c r="BG460" s="21"/>
      <c r="BH460" s="21"/>
      <c r="BI460" s="21"/>
    </row>
    <row r="461" spans="1:61" x14ac:dyDescent="0.2">
      <c r="A461">
        <v>223</v>
      </c>
      <c r="B461" t="s">
        <v>887</v>
      </c>
      <c r="C461" t="str">
        <f t="shared" si="55"/>
        <v/>
      </c>
      <c r="D461" t="str">
        <f t="shared" si="61"/>
        <v/>
      </c>
      <c r="H461">
        <f t="shared" si="57"/>
        <v>1</v>
      </c>
      <c r="R461">
        <v>4</v>
      </c>
      <c r="T461" t="str">
        <f t="shared" si="56"/>
        <v>o</v>
      </c>
      <c r="AM461" t="str">
        <f t="shared" si="59"/>
        <v>Pass</v>
      </c>
      <c r="AN461" t="str">
        <f t="shared" si="60"/>
        <v>Pass_Missed</v>
      </c>
      <c r="AP461" t="str">
        <f t="shared" si="58"/>
        <v>Defensive</v>
      </c>
      <c r="BB461" s="23"/>
      <c r="BD461" s="21"/>
      <c r="BE461" s="21"/>
      <c r="BF461" s="21"/>
      <c r="BG461" s="21"/>
      <c r="BH461" s="21"/>
      <c r="BI461" s="21"/>
    </row>
    <row r="462" spans="1:61" x14ac:dyDescent="0.2">
      <c r="A462">
        <v>224</v>
      </c>
      <c r="B462" t="s">
        <v>887</v>
      </c>
      <c r="C462" t="str">
        <f t="shared" si="55"/>
        <v/>
      </c>
      <c r="D462" t="str">
        <f t="shared" si="61"/>
        <v/>
      </c>
      <c r="H462">
        <f t="shared" si="57"/>
        <v>1</v>
      </c>
      <c r="I462" s="5" t="s">
        <v>733</v>
      </c>
      <c r="J462" s="5" t="s">
        <v>448</v>
      </c>
      <c r="Q462" t="s">
        <v>620</v>
      </c>
      <c r="S462">
        <v>1</v>
      </c>
      <c r="T462" t="str">
        <f t="shared" si="56"/>
        <v>e</v>
      </c>
      <c r="U462" t="s">
        <v>257</v>
      </c>
      <c r="V462" t="s">
        <v>191</v>
      </c>
      <c r="W462" t="s">
        <v>410</v>
      </c>
      <c r="X462" t="s">
        <v>706</v>
      </c>
      <c r="AF462" t="s">
        <v>401</v>
      </c>
      <c r="AM462" t="str">
        <f t="shared" si="59"/>
        <v>Zone_Entry_Exit</v>
      </c>
      <c r="AN462" t="str">
        <f t="shared" si="60"/>
        <v>Zone_Entry</v>
      </c>
      <c r="AP462" t="str">
        <f t="shared" si="58"/>
        <v>Offensive</v>
      </c>
      <c r="BB462" s="23"/>
      <c r="BD462" s="21"/>
      <c r="BE462" s="21"/>
      <c r="BF462" s="21"/>
      <c r="BG462" s="21"/>
      <c r="BH462" s="21"/>
      <c r="BI462" s="21"/>
    </row>
    <row r="463" spans="1:61" x14ac:dyDescent="0.2">
      <c r="A463">
        <v>225</v>
      </c>
      <c r="B463" t="s">
        <v>887</v>
      </c>
      <c r="C463" t="str">
        <f t="shared" si="55"/>
        <v/>
      </c>
      <c r="D463" t="str">
        <f t="shared" si="61"/>
        <v/>
      </c>
      <c r="H463">
        <f t="shared" si="57"/>
        <v>1</v>
      </c>
      <c r="I463" s="5" t="s">
        <v>733</v>
      </c>
      <c r="J463" s="5" t="s">
        <v>734</v>
      </c>
      <c r="Q463" t="s">
        <v>619</v>
      </c>
      <c r="R463">
        <v>4</v>
      </c>
      <c r="S463">
        <v>1</v>
      </c>
      <c r="T463" t="str">
        <f t="shared" si="56"/>
        <v>e</v>
      </c>
      <c r="U463" t="s">
        <v>15</v>
      </c>
      <c r="V463" t="s">
        <v>698</v>
      </c>
      <c r="X463" t="s">
        <v>706</v>
      </c>
      <c r="Y463" t="s">
        <v>756</v>
      </c>
      <c r="AA463" t="s">
        <v>706</v>
      </c>
      <c r="AF463" t="s">
        <v>623</v>
      </c>
      <c r="AM463" t="str">
        <f t="shared" si="59"/>
        <v>Possession</v>
      </c>
      <c r="AN463" t="str">
        <f t="shared" si="60"/>
        <v>PuckRecovery</v>
      </c>
      <c r="AP463" t="str">
        <f t="shared" si="58"/>
        <v>Offensive</v>
      </c>
      <c r="BB463" s="23"/>
      <c r="BD463" s="21"/>
      <c r="BE463" s="21"/>
      <c r="BF463" s="21"/>
      <c r="BG463" s="21"/>
      <c r="BH463" s="21"/>
      <c r="BI463" s="21"/>
    </row>
    <row r="464" spans="1:61" x14ac:dyDescent="0.2">
      <c r="A464">
        <v>226</v>
      </c>
      <c r="B464" t="s">
        <v>887</v>
      </c>
      <c r="C464" t="str">
        <f t="shared" si="55"/>
        <v/>
      </c>
      <c r="D464" t="str">
        <f t="shared" si="61"/>
        <v/>
      </c>
      <c r="H464">
        <f t="shared" si="57"/>
        <v>1</v>
      </c>
      <c r="I464" s="5" t="s">
        <v>733</v>
      </c>
      <c r="J464" s="5" t="s">
        <v>735</v>
      </c>
      <c r="K464" s="5" t="s">
        <v>733</v>
      </c>
      <c r="L464" s="7" t="s">
        <v>741</v>
      </c>
      <c r="Q464" t="s">
        <v>619</v>
      </c>
      <c r="R464">
        <v>4</v>
      </c>
      <c r="S464">
        <v>1</v>
      </c>
      <c r="T464" t="str">
        <f t="shared" si="56"/>
        <v>e</v>
      </c>
      <c r="U464" t="s">
        <v>15</v>
      </c>
      <c r="V464" t="s">
        <v>684</v>
      </c>
      <c r="X464" t="s">
        <v>706</v>
      </c>
      <c r="AF464" t="s">
        <v>623</v>
      </c>
      <c r="AM464" t="str">
        <f t="shared" si="59"/>
        <v>Possession</v>
      </c>
      <c r="AN464" t="str">
        <f t="shared" si="60"/>
        <v>Regroup</v>
      </c>
      <c r="AP464" t="str">
        <f t="shared" si="58"/>
        <v>Offensive</v>
      </c>
      <c r="BB464" s="23"/>
      <c r="BD464" s="21"/>
      <c r="BE464" s="21"/>
      <c r="BF464" s="21"/>
      <c r="BG464" s="21"/>
      <c r="BH464" s="21"/>
      <c r="BI464" s="21"/>
    </row>
    <row r="465" spans="1:61" x14ac:dyDescent="0.2">
      <c r="A465">
        <v>227</v>
      </c>
      <c r="B465">
        <v>43</v>
      </c>
      <c r="C465">
        <f t="shared" si="55"/>
        <v>9043</v>
      </c>
      <c r="D465">
        <f t="shared" si="61"/>
        <v>9043</v>
      </c>
      <c r="H465">
        <f t="shared" si="57"/>
        <v>1</v>
      </c>
      <c r="I465" s="5" t="s">
        <v>733</v>
      </c>
      <c r="J465" s="5" t="s">
        <v>741</v>
      </c>
      <c r="Q465" t="s">
        <v>619</v>
      </c>
      <c r="R465">
        <v>4</v>
      </c>
      <c r="S465">
        <v>1</v>
      </c>
      <c r="T465" t="str">
        <f t="shared" si="56"/>
        <v>e</v>
      </c>
      <c r="U465" t="s">
        <v>8</v>
      </c>
      <c r="V465" t="s">
        <v>189</v>
      </c>
      <c r="W465" t="s">
        <v>70</v>
      </c>
      <c r="X465" t="s">
        <v>706</v>
      </c>
      <c r="Y465" t="s">
        <v>678</v>
      </c>
      <c r="AA465" t="s">
        <v>706</v>
      </c>
      <c r="AF465" t="s">
        <v>623</v>
      </c>
      <c r="AM465" t="str">
        <f t="shared" si="59"/>
        <v>Pass</v>
      </c>
      <c r="AN465" t="str">
        <f t="shared" si="60"/>
        <v>Pass_Completed</v>
      </c>
      <c r="AP465" t="str">
        <f t="shared" si="58"/>
        <v>Offensive</v>
      </c>
      <c r="BB465" s="23"/>
      <c r="BD465" s="21"/>
      <c r="BE465" s="21"/>
      <c r="BF465" s="21"/>
      <c r="BG465" s="21"/>
      <c r="BH465" s="21"/>
      <c r="BI465" s="21"/>
    </row>
    <row r="466" spans="1:61" x14ac:dyDescent="0.2">
      <c r="A466">
        <v>227</v>
      </c>
      <c r="B466">
        <v>43</v>
      </c>
      <c r="C466">
        <f t="shared" si="55"/>
        <v>9043</v>
      </c>
      <c r="D466">
        <f t="shared" si="61"/>
        <v>9043</v>
      </c>
      <c r="H466">
        <f t="shared" si="57"/>
        <v>1</v>
      </c>
      <c r="R466">
        <v>13</v>
      </c>
      <c r="S466">
        <v>1</v>
      </c>
      <c r="T466" t="str">
        <f t="shared" si="56"/>
        <v>e</v>
      </c>
      <c r="AM466" t="str">
        <f t="shared" si="59"/>
        <v>Pass</v>
      </c>
      <c r="AN466" t="str">
        <f t="shared" si="60"/>
        <v>Pass_Completed</v>
      </c>
      <c r="AP466" t="str">
        <f t="shared" si="58"/>
        <v>Offensive</v>
      </c>
      <c r="BB466" s="23"/>
      <c r="BD466" s="21"/>
      <c r="BE466" s="21"/>
      <c r="BF466" s="21"/>
      <c r="BG466" s="21"/>
      <c r="BH466" s="21"/>
      <c r="BI466" s="21"/>
    </row>
    <row r="467" spans="1:61" x14ac:dyDescent="0.2">
      <c r="A467">
        <v>228</v>
      </c>
      <c r="B467">
        <v>43</v>
      </c>
      <c r="C467">
        <f t="shared" si="55"/>
        <v>9043</v>
      </c>
      <c r="D467">
        <f t="shared" si="61"/>
        <v>9043</v>
      </c>
      <c r="H467">
        <f t="shared" si="57"/>
        <v>1</v>
      </c>
      <c r="I467" s="5" t="s">
        <v>733</v>
      </c>
      <c r="J467" s="5" t="s">
        <v>741</v>
      </c>
      <c r="Q467" t="s">
        <v>619</v>
      </c>
      <c r="R467">
        <v>4</v>
      </c>
      <c r="S467">
        <v>1</v>
      </c>
      <c r="T467" t="str">
        <f t="shared" si="56"/>
        <v>e</v>
      </c>
      <c r="U467" t="s">
        <v>257</v>
      </c>
      <c r="V467" t="s">
        <v>201</v>
      </c>
      <c r="W467" t="s">
        <v>91</v>
      </c>
      <c r="X467" t="s">
        <v>706</v>
      </c>
      <c r="AF467" t="s">
        <v>623</v>
      </c>
      <c r="AM467" t="str">
        <f t="shared" si="59"/>
        <v>Zone_Entry_Exit</v>
      </c>
      <c r="AN467" t="str">
        <f t="shared" si="60"/>
        <v>Zone_Exit</v>
      </c>
      <c r="AP467" t="str">
        <f t="shared" si="58"/>
        <v>Offensive</v>
      </c>
      <c r="BB467" s="23"/>
      <c r="BD467" s="21"/>
      <c r="BE467" s="21"/>
      <c r="BF467" s="21"/>
      <c r="BG467" s="21"/>
      <c r="BH467" s="21"/>
      <c r="BI467" s="21"/>
    </row>
    <row r="468" spans="1:61" x14ac:dyDescent="0.2">
      <c r="A468">
        <v>228</v>
      </c>
      <c r="B468">
        <v>43</v>
      </c>
      <c r="C468">
        <f t="shared" si="55"/>
        <v>9043</v>
      </c>
      <c r="D468">
        <f t="shared" si="61"/>
        <v>9043</v>
      </c>
      <c r="H468">
        <f t="shared" si="57"/>
        <v>1</v>
      </c>
      <c r="R468">
        <v>13</v>
      </c>
      <c r="S468">
        <v>1</v>
      </c>
      <c r="T468" t="str">
        <f t="shared" si="56"/>
        <v>e</v>
      </c>
      <c r="AM468" t="str">
        <f t="shared" si="59"/>
        <v>Zone_Entry_Exit</v>
      </c>
      <c r="AN468" t="str">
        <f t="shared" si="60"/>
        <v>Zone_Exit</v>
      </c>
      <c r="AP468" t="str">
        <f t="shared" si="58"/>
        <v>Offensive</v>
      </c>
      <c r="BB468" s="23"/>
      <c r="BD468" s="21"/>
      <c r="BE468" s="21"/>
      <c r="BF468" s="21"/>
      <c r="BG468" s="21"/>
      <c r="BH468" s="21"/>
      <c r="BI468" s="21"/>
    </row>
    <row r="469" spans="1:61" x14ac:dyDescent="0.2">
      <c r="A469">
        <v>229</v>
      </c>
      <c r="B469" t="s">
        <v>887</v>
      </c>
      <c r="C469" t="str">
        <f t="shared" si="55"/>
        <v/>
      </c>
      <c r="D469" t="str">
        <f t="shared" si="61"/>
        <v/>
      </c>
      <c r="H469">
        <f t="shared" si="57"/>
        <v>1</v>
      </c>
      <c r="I469" s="5" t="s">
        <v>733</v>
      </c>
      <c r="J469" s="5" t="s">
        <v>741</v>
      </c>
      <c r="K469" s="5" t="s">
        <v>733</v>
      </c>
      <c r="L469" s="7" t="s">
        <v>446</v>
      </c>
      <c r="Q469" t="s">
        <v>619</v>
      </c>
      <c r="R469">
        <v>13</v>
      </c>
      <c r="S469">
        <v>1</v>
      </c>
      <c r="T469" t="str">
        <f t="shared" si="56"/>
        <v>e</v>
      </c>
      <c r="U469" t="s">
        <v>15</v>
      </c>
      <c r="AF469" t="s">
        <v>635</v>
      </c>
      <c r="AM469" t="str">
        <f t="shared" si="59"/>
        <v>Possession</v>
      </c>
      <c r="AN469" t="str">
        <f t="shared" si="60"/>
        <v/>
      </c>
      <c r="AP469" t="str">
        <f t="shared" si="58"/>
        <v>Offensive</v>
      </c>
      <c r="BB469" s="23"/>
      <c r="BD469" s="21"/>
      <c r="BE469" s="21"/>
      <c r="BF469" s="21"/>
      <c r="BG469" s="21"/>
      <c r="BH469" s="21"/>
      <c r="BI469" s="21"/>
    </row>
    <row r="470" spans="1:61" x14ac:dyDescent="0.2">
      <c r="A470">
        <v>230</v>
      </c>
      <c r="B470" t="s">
        <v>887</v>
      </c>
      <c r="C470" t="str">
        <f t="shared" si="55"/>
        <v/>
      </c>
      <c r="D470" t="str">
        <f t="shared" si="61"/>
        <v/>
      </c>
      <c r="H470">
        <f t="shared" si="57"/>
        <v>1</v>
      </c>
      <c r="I470" s="5" t="s">
        <v>733</v>
      </c>
      <c r="J470" s="5" t="s">
        <v>446</v>
      </c>
      <c r="K470" s="5" t="s">
        <v>742</v>
      </c>
      <c r="L470" s="7" t="s">
        <v>638</v>
      </c>
      <c r="Q470" t="s">
        <v>619</v>
      </c>
      <c r="R470">
        <v>13</v>
      </c>
      <c r="S470">
        <v>1</v>
      </c>
      <c r="T470" t="str">
        <f t="shared" si="56"/>
        <v>e</v>
      </c>
      <c r="U470" t="s">
        <v>257</v>
      </c>
      <c r="V470" t="s">
        <v>191</v>
      </c>
      <c r="W470" t="s">
        <v>87</v>
      </c>
      <c r="X470" t="s">
        <v>706</v>
      </c>
      <c r="Y470" t="s">
        <v>809</v>
      </c>
      <c r="AA470" t="s">
        <v>706</v>
      </c>
      <c r="AF470" t="s">
        <v>401</v>
      </c>
      <c r="AJ470">
        <v>1</v>
      </c>
      <c r="AM470" t="str">
        <f t="shared" si="59"/>
        <v>Zone_Entry_Exit</v>
      </c>
      <c r="AN470" t="str">
        <f t="shared" si="60"/>
        <v>Zone_Entry</v>
      </c>
      <c r="AP470" t="str">
        <f t="shared" si="58"/>
        <v>Offensive</v>
      </c>
      <c r="BB470" s="23"/>
      <c r="BD470" s="21"/>
      <c r="BE470" s="21"/>
      <c r="BF470" s="21"/>
      <c r="BG470" s="21"/>
      <c r="BH470" s="21"/>
      <c r="BI470" s="21"/>
    </row>
    <row r="471" spans="1:61" x14ac:dyDescent="0.2">
      <c r="A471">
        <v>230</v>
      </c>
      <c r="B471" t="s">
        <v>887</v>
      </c>
      <c r="C471" t="str">
        <f t="shared" si="55"/>
        <v/>
      </c>
      <c r="D471" t="str">
        <f t="shared" si="61"/>
        <v/>
      </c>
      <c r="H471">
        <f t="shared" si="57"/>
        <v>1</v>
      </c>
      <c r="R471">
        <v>77</v>
      </c>
      <c r="S471">
        <v>1</v>
      </c>
      <c r="T471" t="str">
        <f t="shared" si="56"/>
        <v>e</v>
      </c>
      <c r="AM471" t="str">
        <f t="shared" si="59"/>
        <v>Zone_Entry_Exit</v>
      </c>
      <c r="AN471" t="str">
        <f t="shared" si="60"/>
        <v>Zone_Entry</v>
      </c>
      <c r="AP471" t="str">
        <f t="shared" si="58"/>
        <v>Offensive</v>
      </c>
      <c r="BB471" s="23"/>
      <c r="BD471" s="21"/>
      <c r="BE471" s="21"/>
      <c r="BF471" s="21"/>
      <c r="BG471" s="21"/>
      <c r="BH471" s="21"/>
      <c r="BI471" s="21"/>
    </row>
    <row r="472" spans="1:61" x14ac:dyDescent="0.2">
      <c r="A472">
        <v>230</v>
      </c>
      <c r="B472" t="s">
        <v>887</v>
      </c>
      <c r="C472" t="str">
        <f t="shared" si="55"/>
        <v/>
      </c>
      <c r="D472" t="str">
        <f t="shared" si="61"/>
        <v/>
      </c>
      <c r="H472">
        <f t="shared" si="57"/>
        <v>1</v>
      </c>
      <c r="R472">
        <v>9</v>
      </c>
      <c r="T472" t="str">
        <f t="shared" si="56"/>
        <v>o</v>
      </c>
      <c r="Y472" t="s">
        <v>729</v>
      </c>
      <c r="AA472" t="s">
        <v>706</v>
      </c>
      <c r="AJ472">
        <v>1</v>
      </c>
      <c r="AM472" t="str">
        <f t="shared" si="59"/>
        <v>Zone_Entry_Exit</v>
      </c>
      <c r="AN472" t="str">
        <f t="shared" si="60"/>
        <v>Zone_Entry</v>
      </c>
      <c r="AP472" t="str">
        <f t="shared" si="58"/>
        <v>Defensive</v>
      </c>
      <c r="BB472" s="23"/>
      <c r="BD472" s="21"/>
      <c r="BE472" s="21"/>
      <c r="BF472" s="21"/>
      <c r="BG472" s="21"/>
      <c r="BH472" s="21"/>
      <c r="BI472" s="21"/>
    </row>
    <row r="473" spans="1:61" x14ac:dyDescent="0.2">
      <c r="A473">
        <v>230</v>
      </c>
      <c r="B473" t="s">
        <v>887</v>
      </c>
      <c r="C473" t="str">
        <f t="shared" si="55"/>
        <v/>
      </c>
      <c r="D473" t="str">
        <f t="shared" si="61"/>
        <v/>
      </c>
      <c r="H473">
        <f t="shared" si="57"/>
        <v>1</v>
      </c>
      <c r="R473">
        <v>91</v>
      </c>
      <c r="T473" t="str">
        <f t="shared" si="56"/>
        <v>o</v>
      </c>
      <c r="AM473" t="str">
        <f t="shared" si="59"/>
        <v>Zone_Entry_Exit</v>
      </c>
      <c r="AN473" t="str">
        <f t="shared" si="60"/>
        <v>Zone_Entry</v>
      </c>
      <c r="AP473" t="str">
        <f t="shared" si="58"/>
        <v>Defensive</v>
      </c>
      <c r="BB473" s="23"/>
      <c r="BD473" s="21"/>
      <c r="BE473" s="21"/>
      <c r="BF473" s="21"/>
      <c r="BG473" s="21"/>
      <c r="BH473" s="21"/>
      <c r="BI473" s="21"/>
    </row>
    <row r="474" spans="1:61" x14ac:dyDescent="0.2">
      <c r="A474">
        <v>231</v>
      </c>
      <c r="B474" t="s">
        <v>887</v>
      </c>
      <c r="C474" t="str">
        <f t="shared" si="55"/>
        <v/>
      </c>
      <c r="D474" t="str">
        <f t="shared" si="61"/>
        <v/>
      </c>
      <c r="H474">
        <f t="shared" si="57"/>
        <v>1</v>
      </c>
      <c r="I474" s="5" t="s">
        <v>742</v>
      </c>
      <c r="J474" s="5" t="s">
        <v>638</v>
      </c>
      <c r="Q474" t="s">
        <v>619</v>
      </c>
      <c r="R474">
        <v>13</v>
      </c>
      <c r="S474">
        <v>1</v>
      </c>
      <c r="T474" t="str">
        <f t="shared" si="56"/>
        <v>e</v>
      </c>
      <c r="U474" t="s">
        <v>8</v>
      </c>
      <c r="V474" t="s">
        <v>199</v>
      </c>
      <c r="W474" t="s">
        <v>70</v>
      </c>
      <c r="X474" t="s">
        <v>705</v>
      </c>
      <c r="AF474" t="s">
        <v>401</v>
      </c>
      <c r="AJ474">
        <v>1</v>
      </c>
      <c r="AM474" t="str">
        <f t="shared" si="59"/>
        <v>Pass</v>
      </c>
      <c r="AN474" t="str">
        <f t="shared" si="60"/>
        <v>Pass_Missed</v>
      </c>
      <c r="AP474" t="str">
        <f t="shared" si="58"/>
        <v>Offensive</v>
      </c>
      <c r="BB474" s="23"/>
      <c r="BD474" s="21"/>
      <c r="BE474" s="21"/>
      <c r="BF474" s="21"/>
      <c r="BG474" s="21"/>
      <c r="BH474" s="21"/>
      <c r="BI474" s="21"/>
    </row>
    <row r="475" spans="1:61" x14ac:dyDescent="0.2">
      <c r="A475">
        <v>231</v>
      </c>
      <c r="B475" t="s">
        <v>887</v>
      </c>
      <c r="C475" t="str">
        <f t="shared" si="55"/>
        <v/>
      </c>
      <c r="D475" t="str">
        <f t="shared" si="61"/>
        <v/>
      </c>
      <c r="H475">
        <f t="shared" si="57"/>
        <v>1</v>
      </c>
      <c r="R475">
        <v>77</v>
      </c>
      <c r="S475">
        <v>1</v>
      </c>
      <c r="T475" t="str">
        <f t="shared" si="56"/>
        <v>e</v>
      </c>
      <c r="AM475" t="str">
        <f t="shared" si="59"/>
        <v>Pass</v>
      </c>
      <c r="AN475" t="str">
        <f t="shared" si="60"/>
        <v>Pass_Missed</v>
      </c>
      <c r="AP475" t="str">
        <f t="shared" si="58"/>
        <v>Offensive</v>
      </c>
      <c r="BB475" s="23"/>
      <c r="BD475" s="21"/>
      <c r="BE475" s="21"/>
      <c r="BF475" s="21"/>
      <c r="BG475" s="21"/>
      <c r="BH475" s="21"/>
      <c r="BI475" s="21"/>
    </row>
    <row r="476" spans="1:61" x14ac:dyDescent="0.2">
      <c r="A476">
        <v>231</v>
      </c>
      <c r="B476" t="s">
        <v>887</v>
      </c>
      <c r="C476" t="str">
        <f t="shared" si="55"/>
        <v/>
      </c>
      <c r="D476" t="str">
        <f t="shared" si="61"/>
        <v/>
      </c>
      <c r="H476">
        <f t="shared" si="57"/>
        <v>1</v>
      </c>
      <c r="R476">
        <v>9</v>
      </c>
      <c r="T476" t="str">
        <f t="shared" si="56"/>
        <v>o</v>
      </c>
      <c r="Y476" t="s">
        <v>715</v>
      </c>
      <c r="AA476" t="s">
        <v>705</v>
      </c>
      <c r="AJ476">
        <v>1</v>
      </c>
      <c r="AM476" t="str">
        <f t="shared" si="59"/>
        <v>Pass</v>
      </c>
      <c r="AN476" t="str">
        <f t="shared" si="60"/>
        <v>Pass_Missed</v>
      </c>
      <c r="AP476" t="str">
        <f t="shared" si="58"/>
        <v>Defensive</v>
      </c>
      <c r="BB476" s="23"/>
      <c r="BD476" s="21"/>
      <c r="BE476" s="21"/>
      <c r="BF476" s="21"/>
      <c r="BG476" s="21"/>
      <c r="BH476" s="21"/>
      <c r="BI476" s="21"/>
    </row>
    <row r="477" spans="1:61" x14ac:dyDescent="0.2">
      <c r="A477">
        <v>232</v>
      </c>
      <c r="B477" t="s">
        <v>887</v>
      </c>
      <c r="C477" t="str">
        <f t="shared" si="55"/>
        <v/>
      </c>
      <c r="D477" t="str">
        <f t="shared" si="61"/>
        <v/>
      </c>
      <c r="H477">
        <f t="shared" si="57"/>
        <v>1</v>
      </c>
      <c r="I477" s="5" t="s">
        <v>742</v>
      </c>
      <c r="J477" s="5" t="s">
        <v>788</v>
      </c>
      <c r="Q477" t="s">
        <v>620</v>
      </c>
      <c r="S477">
        <v>1</v>
      </c>
      <c r="T477" t="str">
        <f t="shared" si="56"/>
        <v>e</v>
      </c>
      <c r="U477" t="s">
        <v>257</v>
      </c>
      <c r="V477" t="s">
        <v>201</v>
      </c>
      <c r="W477" t="s">
        <v>411</v>
      </c>
      <c r="X477" t="s">
        <v>706</v>
      </c>
      <c r="AF477" t="s">
        <v>623</v>
      </c>
      <c r="AM477" t="str">
        <f t="shared" si="59"/>
        <v>Zone_Entry_Exit</v>
      </c>
      <c r="AN477" t="str">
        <f t="shared" si="60"/>
        <v>Zone_Exit</v>
      </c>
      <c r="AP477" t="str">
        <f t="shared" si="58"/>
        <v>Offensive</v>
      </c>
      <c r="BB477" s="23"/>
      <c r="BD477" s="21"/>
      <c r="BE477" s="21"/>
      <c r="BF477" s="21"/>
      <c r="BG477" s="21"/>
      <c r="BH477" s="21"/>
      <c r="BI477" s="21"/>
    </row>
    <row r="478" spans="1:61" x14ac:dyDescent="0.2">
      <c r="A478">
        <v>233</v>
      </c>
      <c r="B478" t="s">
        <v>887</v>
      </c>
      <c r="C478" t="str">
        <f t="shared" si="55"/>
        <v/>
      </c>
      <c r="D478" t="str">
        <f t="shared" si="61"/>
        <v/>
      </c>
      <c r="H478">
        <f t="shared" si="57"/>
        <v>1</v>
      </c>
      <c r="I478" s="5" t="s">
        <v>742</v>
      </c>
      <c r="J478" s="5" t="s">
        <v>788</v>
      </c>
      <c r="K478" s="5" t="s">
        <v>742</v>
      </c>
      <c r="L478" s="7" t="s">
        <v>639</v>
      </c>
      <c r="Q478" t="s">
        <v>619</v>
      </c>
      <c r="R478">
        <v>18</v>
      </c>
      <c r="S478">
        <v>1</v>
      </c>
      <c r="T478" t="str">
        <f t="shared" si="56"/>
        <v>e</v>
      </c>
      <c r="U478" t="s">
        <v>15</v>
      </c>
      <c r="V478" t="s">
        <v>698</v>
      </c>
      <c r="X478" t="s">
        <v>706</v>
      </c>
      <c r="Y478" t="s">
        <v>756</v>
      </c>
      <c r="AA478" t="s">
        <v>706</v>
      </c>
      <c r="AF478" t="s">
        <v>635</v>
      </c>
      <c r="AM478" t="str">
        <f t="shared" si="59"/>
        <v>Possession</v>
      </c>
      <c r="AN478" t="str">
        <f t="shared" si="60"/>
        <v>PuckRecovery</v>
      </c>
      <c r="AP478" t="str">
        <f t="shared" si="58"/>
        <v>Offensive</v>
      </c>
      <c r="BB478" s="23"/>
      <c r="BD478" s="21"/>
      <c r="BE478" s="21"/>
      <c r="BF478" s="21"/>
      <c r="BG478" s="21"/>
      <c r="BH478" s="21"/>
      <c r="BI478" s="21"/>
    </row>
    <row r="479" spans="1:61" x14ac:dyDescent="0.2">
      <c r="A479">
        <v>234</v>
      </c>
      <c r="B479" t="s">
        <v>887</v>
      </c>
      <c r="C479" t="str">
        <f t="shared" si="55"/>
        <v/>
      </c>
      <c r="D479" t="str">
        <f t="shared" si="61"/>
        <v/>
      </c>
      <c r="H479">
        <f t="shared" si="57"/>
        <v>1</v>
      </c>
      <c r="I479" s="5" t="s">
        <v>742</v>
      </c>
      <c r="J479" s="5" t="s">
        <v>639</v>
      </c>
      <c r="Q479" t="s">
        <v>619</v>
      </c>
      <c r="R479">
        <v>18</v>
      </c>
      <c r="S479">
        <v>1</v>
      </c>
      <c r="T479" t="str">
        <f t="shared" si="56"/>
        <v>e</v>
      </c>
      <c r="U479" t="s">
        <v>8</v>
      </c>
      <c r="V479" t="s">
        <v>189</v>
      </c>
      <c r="W479" t="s">
        <v>70</v>
      </c>
      <c r="X479" t="s">
        <v>706</v>
      </c>
      <c r="AF479" t="s">
        <v>635</v>
      </c>
      <c r="AM479" t="str">
        <f t="shared" si="59"/>
        <v>Pass</v>
      </c>
      <c r="AN479" t="str">
        <f t="shared" si="60"/>
        <v>Pass_Completed</v>
      </c>
      <c r="AP479" t="str">
        <f t="shared" si="58"/>
        <v>Offensive</v>
      </c>
      <c r="BB479" s="23"/>
      <c r="BD479" s="21"/>
      <c r="BE479" s="21"/>
      <c r="BF479" s="21"/>
      <c r="BG479" s="21"/>
      <c r="BH479" s="21"/>
      <c r="BI479" s="21"/>
    </row>
    <row r="480" spans="1:61" x14ac:dyDescent="0.2">
      <c r="A480">
        <v>234</v>
      </c>
      <c r="B480" t="s">
        <v>887</v>
      </c>
      <c r="C480" t="str">
        <f t="shared" si="55"/>
        <v/>
      </c>
      <c r="D480" t="str">
        <f t="shared" si="61"/>
        <v/>
      </c>
      <c r="H480">
        <f t="shared" si="57"/>
        <v>1</v>
      </c>
      <c r="R480">
        <v>68</v>
      </c>
      <c r="S480">
        <v>1</v>
      </c>
      <c r="T480" t="str">
        <f t="shared" si="56"/>
        <v>e</v>
      </c>
      <c r="AM480" t="str">
        <f t="shared" si="59"/>
        <v>Pass</v>
      </c>
      <c r="AN480" t="str">
        <f t="shared" si="60"/>
        <v>Pass_Completed</v>
      </c>
      <c r="AP480" t="str">
        <f t="shared" si="58"/>
        <v>Offensive</v>
      </c>
      <c r="BB480" s="23"/>
      <c r="BD480" s="21"/>
      <c r="BE480" s="21"/>
      <c r="BF480" s="21"/>
      <c r="BG480" s="21"/>
      <c r="BH480" s="21"/>
      <c r="BI480" s="21"/>
    </row>
    <row r="481" spans="1:61" x14ac:dyDescent="0.2">
      <c r="A481">
        <v>235</v>
      </c>
      <c r="B481" t="s">
        <v>887</v>
      </c>
      <c r="C481" t="str">
        <f t="shared" si="55"/>
        <v/>
      </c>
      <c r="D481" t="str">
        <f t="shared" si="61"/>
        <v/>
      </c>
      <c r="H481">
        <f t="shared" si="57"/>
        <v>1</v>
      </c>
      <c r="I481" s="5" t="s">
        <v>742</v>
      </c>
      <c r="J481" s="5" t="s">
        <v>753</v>
      </c>
      <c r="K481" s="5" t="s">
        <v>742</v>
      </c>
      <c r="L481" s="7" t="s">
        <v>673</v>
      </c>
      <c r="Q481" t="s">
        <v>619</v>
      </c>
      <c r="R481">
        <v>68</v>
      </c>
      <c r="S481">
        <v>1</v>
      </c>
      <c r="T481" t="str">
        <f t="shared" si="56"/>
        <v>e</v>
      </c>
      <c r="U481" t="s">
        <v>15</v>
      </c>
      <c r="V481" t="s">
        <v>684</v>
      </c>
      <c r="X481" t="s">
        <v>706</v>
      </c>
      <c r="Y481" t="s">
        <v>679</v>
      </c>
      <c r="AA481" t="s">
        <v>706</v>
      </c>
      <c r="AF481" t="s">
        <v>635</v>
      </c>
      <c r="AM481" t="str">
        <f t="shared" si="59"/>
        <v>Possession</v>
      </c>
      <c r="AN481" t="str">
        <f t="shared" si="60"/>
        <v>Regroup</v>
      </c>
      <c r="AP481" t="str">
        <f t="shared" si="58"/>
        <v>Offensive</v>
      </c>
      <c r="BB481" s="23"/>
      <c r="BD481" s="21"/>
      <c r="BE481" s="21"/>
      <c r="BF481" s="21"/>
      <c r="BG481" s="21"/>
      <c r="BH481" s="21"/>
      <c r="BI481" s="21"/>
    </row>
    <row r="482" spans="1:61" x14ac:dyDescent="0.2">
      <c r="A482">
        <v>235</v>
      </c>
      <c r="B482" t="s">
        <v>887</v>
      </c>
      <c r="C482" t="str">
        <f t="shared" si="55"/>
        <v/>
      </c>
      <c r="D482" t="str">
        <f t="shared" si="61"/>
        <v/>
      </c>
      <c r="H482">
        <f t="shared" si="57"/>
        <v>1</v>
      </c>
      <c r="R482">
        <v>55</v>
      </c>
      <c r="T482" t="str">
        <f t="shared" si="56"/>
        <v>o</v>
      </c>
      <c r="AM482" t="str">
        <f t="shared" si="59"/>
        <v>Possession</v>
      </c>
      <c r="AN482" t="str">
        <f t="shared" si="60"/>
        <v>Regroup</v>
      </c>
      <c r="AP482" t="str">
        <f t="shared" si="58"/>
        <v>Defensive</v>
      </c>
      <c r="BB482" s="23"/>
      <c r="BD482" s="21"/>
      <c r="BE482" s="21"/>
      <c r="BF482" s="21"/>
      <c r="BG482" s="21"/>
      <c r="BH482" s="21"/>
      <c r="BI482" s="21"/>
    </row>
    <row r="483" spans="1:61" x14ac:dyDescent="0.2">
      <c r="A483">
        <v>236</v>
      </c>
      <c r="B483">
        <v>44</v>
      </c>
      <c r="C483">
        <f t="shared" si="55"/>
        <v>9044</v>
      </c>
      <c r="D483">
        <f t="shared" si="61"/>
        <v>9044</v>
      </c>
      <c r="H483">
        <f t="shared" si="57"/>
        <v>1</v>
      </c>
      <c r="I483" s="5" t="s">
        <v>742</v>
      </c>
      <c r="J483" s="5" t="s">
        <v>673</v>
      </c>
      <c r="Q483" t="s">
        <v>619</v>
      </c>
      <c r="R483">
        <v>68</v>
      </c>
      <c r="S483">
        <v>1</v>
      </c>
      <c r="T483" t="str">
        <f t="shared" si="56"/>
        <v>e</v>
      </c>
      <c r="U483" t="s">
        <v>8</v>
      </c>
      <c r="V483" t="s">
        <v>189</v>
      </c>
      <c r="W483" t="s">
        <v>70</v>
      </c>
      <c r="X483" t="s">
        <v>706</v>
      </c>
      <c r="AF483" t="s">
        <v>635</v>
      </c>
      <c r="AM483" t="str">
        <f t="shared" si="59"/>
        <v>Pass</v>
      </c>
      <c r="AN483" t="str">
        <f t="shared" si="60"/>
        <v>Pass_Completed</v>
      </c>
      <c r="AP483" t="str">
        <f t="shared" si="58"/>
        <v>Offensive</v>
      </c>
      <c r="BB483" s="23"/>
      <c r="BD483" s="21"/>
      <c r="BE483" s="21"/>
      <c r="BF483" s="21"/>
      <c r="BG483" s="21"/>
      <c r="BH483" s="21"/>
      <c r="BI483" s="21"/>
    </row>
    <row r="484" spans="1:61" x14ac:dyDescent="0.2">
      <c r="A484">
        <v>236</v>
      </c>
      <c r="B484">
        <v>44</v>
      </c>
      <c r="C484">
        <f t="shared" si="55"/>
        <v>9044</v>
      </c>
      <c r="D484">
        <f t="shared" si="61"/>
        <v>9044</v>
      </c>
      <c r="H484">
        <f t="shared" si="57"/>
        <v>1</v>
      </c>
      <c r="R484">
        <v>77</v>
      </c>
      <c r="S484">
        <v>1</v>
      </c>
      <c r="T484" t="str">
        <f t="shared" si="56"/>
        <v>e</v>
      </c>
      <c r="AM484" t="str">
        <f t="shared" si="59"/>
        <v>Pass</v>
      </c>
      <c r="AN484" t="str">
        <f t="shared" si="60"/>
        <v>Pass_Completed</v>
      </c>
      <c r="AP484" t="str">
        <f t="shared" si="58"/>
        <v>Offensive</v>
      </c>
      <c r="BB484" s="23"/>
      <c r="BD484" s="21"/>
      <c r="BE484" s="21"/>
      <c r="BF484" s="21"/>
      <c r="BG484" s="21"/>
      <c r="BH484" s="21"/>
      <c r="BI484" s="21"/>
    </row>
    <row r="485" spans="1:61" x14ac:dyDescent="0.2">
      <c r="A485">
        <v>236</v>
      </c>
      <c r="B485">
        <v>44</v>
      </c>
      <c r="C485">
        <f t="shared" si="55"/>
        <v>9044</v>
      </c>
      <c r="D485">
        <f t="shared" si="61"/>
        <v>9044</v>
      </c>
      <c r="H485">
        <f t="shared" si="57"/>
        <v>1</v>
      </c>
      <c r="R485">
        <v>55</v>
      </c>
      <c r="T485" t="str">
        <f t="shared" si="56"/>
        <v>o</v>
      </c>
      <c r="AM485" t="str">
        <f t="shared" si="59"/>
        <v>Pass</v>
      </c>
      <c r="AN485" t="str">
        <f t="shared" si="60"/>
        <v>Pass_Completed</v>
      </c>
      <c r="AP485" t="str">
        <f t="shared" si="58"/>
        <v>Defensive</v>
      </c>
      <c r="BB485" s="23"/>
      <c r="BD485" s="21"/>
      <c r="BE485" s="21"/>
      <c r="BF485" s="21"/>
      <c r="BG485" s="21"/>
      <c r="BH485" s="21"/>
      <c r="BI485" s="21"/>
    </row>
    <row r="486" spans="1:61" x14ac:dyDescent="0.2">
      <c r="A486">
        <v>237</v>
      </c>
      <c r="B486">
        <v>44</v>
      </c>
      <c r="C486">
        <f t="shared" si="55"/>
        <v>9044</v>
      </c>
      <c r="D486">
        <f t="shared" si="61"/>
        <v>9044</v>
      </c>
      <c r="H486">
        <f t="shared" si="57"/>
        <v>1</v>
      </c>
      <c r="I486" s="5" t="s">
        <v>742</v>
      </c>
      <c r="J486" s="5" t="s">
        <v>673</v>
      </c>
      <c r="K486" s="5" t="s">
        <v>742</v>
      </c>
      <c r="L486" s="7" t="s">
        <v>810</v>
      </c>
      <c r="Q486" t="s">
        <v>619</v>
      </c>
      <c r="R486">
        <v>68</v>
      </c>
      <c r="S486">
        <v>1</v>
      </c>
      <c r="T486" t="str">
        <f t="shared" si="56"/>
        <v>e</v>
      </c>
      <c r="U486" t="s">
        <v>257</v>
      </c>
      <c r="V486" t="s">
        <v>191</v>
      </c>
      <c r="W486" t="s">
        <v>88</v>
      </c>
      <c r="X486" t="s">
        <v>706</v>
      </c>
      <c r="AF486" t="s">
        <v>635</v>
      </c>
      <c r="AM486" t="str">
        <f t="shared" si="59"/>
        <v>Zone_Entry_Exit</v>
      </c>
      <c r="AN486" t="str">
        <f t="shared" si="60"/>
        <v>Zone_Entry</v>
      </c>
      <c r="AP486" t="str">
        <f t="shared" si="58"/>
        <v>Offensive</v>
      </c>
      <c r="BB486" s="23"/>
      <c r="BD486" s="21"/>
      <c r="BE486" s="21"/>
      <c r="BF486" s="21"/>
      <c r="BG486" s="21"/>
      <c r="BH486" s="21"/>
      <c r="BI486" s="21"/>
    </row>
    <row r="487" spans="1:61" x14ac:dyDescent="0.2">
      <c r="A487">
        <v>237</v>
      </c>
      <c r="B487">
        <v>44</v>
      </c>
      <c r="C487">
        <f t="shared" si="55"/>
        <v>9044</v>
      </c>
      <c r="D487">
        <f t="shared" si="61"/>
        <v>9044</v>
      </c>
      <c r="H487">
        <f t="shared" si="57"/>
        <v>1</v>
      </c>
      <c r="R487">
        <v>77</v>
      </c>
      <c r="S487">
        <v>1</v>
      </c>
      <c r="T487" t="str">
        <f t="shared" si="56"/>
        <v>e</v>
      </c>
      <c r="AM487" t="str">
        <f t="shared" si="59"/>
        <v>Zone_Entry_Exit</v>
      </c>
      <c r="AN487" t="str">
        <f t="shared" si="60"/>
        <v>Zone_Entry</v>
      </c>
      <c r="AP487" t="str">
        <f t="shared" si="58"/>
        <v>Offensive</v>
      </c>
      <c r="BB487" s="23"/>
      <c r="BD487" s="21"/>
      <c r="BE487" s="21"/>
      <c r="BF487" s="21"/>
      <c r="BG487" s="21"/>
      <c r="BH487" s="21"/>
      <c r="BI487" s="21"/>
    </row>
    <row r="488" spans="1:61" x14ac:dyDescent="0.2">
      <c r="A488">
        <v>237</v>
      </c>
      <c r="B488">
        <v>44</v>
      </c>
      <c r="C488">
        <f t="shared" si="55"/>
        <v>9044</v>
      </c>
      <c r="D488">
        <f t="shared" si="61"/>
        <v>9044</v>
      </c>
      <c r="H488">
        <f t="shared" si="57"/>
        <v>1</v>
      </c>
      <c r="R488">
        <v>55</v>
      </c>
      <c r="T488" t="str">
        <f t="shared" si="56"/>
        <v>o</v>
      </c>
      <c r="AM488" t="str">
        <f t="shared" si="59"/>
        <v>Zone_Entry_Exit</v>
      </c>
      <c r="AN488" t="str">
        <f t="shared" si="60"/>
        <v>Zone_Entry</v>
      </c>
      <c r="AP488" t="str">
        <f t="shared" si="58"/>
        <v>Defensive</v>
      </c>
      <c r="BB488" s="23"/>
      <c r="BD488" s="21"/>
      <c r="BE488" s="21"/>
      <c r="BF488" s="21"/>
      <c r="BG488" s="21"/>
      <c r="BH488" s="21"/>
      <c r="BI488" s="21"/>
    </row>
    <row r="489" spans="1:61" x14ac:dyDescent="0.2">
      <c r="A489">
        <v>237</v>
      </c>
      <c r="B489">
        <v>44</v>
      </c>
      <c r="C489">
        <f t="shared" si="55"/>
        <v>9044</v>
      </c>
      <c r="D489">
        <f t="shared" si="61"/>
        <v>9044</v>
      </c>
      <c r="H489">
        <f t="shared" si="57"/>
        <v>1</v>
      </c>
      <c r="R489">
        <v>91</v>
      </c>
      <c r="T489" t="str">
        <f t="shared" si="56"/>
        <v>o</v>
      </c>
      <c r="AM489" t="str">
        <f t="shared" si="59"/>
        <v>Zone_Entry_Exit</v>
      </c>
      <c r="AN489" t="str">
        <f t="shared" si="60"/>
        <v>Zone_Entry</v>
      </c>
      <c r="AP489" t="str">
        <f t="shared" si="58"/>
        <v>Defensive</v>
      </c>
      <c r="BB489" s="23"/>
      <c r="BD489" s="21"/>
      <c r="BE489" s="21"/>
      <c r="BF489" s="21"/>
      <c r="BG489" s="21"/>
      <c r="BH489" s="21"/>
      <c r="BI489" s="21"/>
    </row>
    <row r="490" spans="1:61" x14ac:dyDescent="0.2">
      <c r="A490">
        <v>237</v>
      </c>
      <c r="B490">
        <v>44</v>
      </c>
      <c r="C490">
        <f t="shared" si="55"/>
        <v>9044</v>
      </c>
      <c r="D490">
        <f t="shared" si="61"/>
        <v>9044</v>
      </c>
      <c r="H490">
        <f t="shared" si="57"/>
        <v>1</v>
      </c>
      <c r="R490">
        <v>9</v>
      </c>
      <c r="T490" t="str">
        <f t="shared" si="56"/>
        <v>o</v>
      </c>
      <c r="AM490" t="str">
        <f t="shared" si="59"/>
        <v>Zone_Entry_Exit</v>
      </c>
      <c r="AN490" t="str">
        <f t="shared" si="60"/>
        <v>Zone_Entry</v>
      </c>
      <c r="AP490" t="str">
        <f t="shared" si="58"/>
        <v>Defensive</v>
      </c>
      <c r="BB490" s="23"/>
      <c r="BD490" s="21"/>
      <c r="BE490" s="21"/>
      <c r="BF490" s="21"/>
      <c r="BG490" s="21"/>
      <c r="BH490" s="21"/>
      <c r="BI490" s="21"/>
    </row>
    <row r="491" spans="1:61" x14ac:dyDescent="0.2">
      <c r="A491">
        <v>238</v>
      </c>
      <c r="B491" t="s">
        <v>887</v>
      </c>
      <c r="C491" t="str">
        <f t="shared" si="55"/>
        <v/>
      </c>
      <c r="D491" t="str">
        <f t="shared" si="61"/>
        <v/>
      </c>
      <c r="H491">
        <f t="shared" si="57"/>
        <v>1</v>
      </c>
      <c r="I491" s="5" t="s">
        <v>742</v>
      </c>
      <c r="J491" s="5" t="s">
        <v>810</v>
      </c>
      <c r="Q491" t="s">
        <v>619</v>
      </c>
      <c r="R491">
        <v>77</v>
      </c>
      <c r="S491">
        <v>1</v>
      </c>
      <c r="T491" t="str">
        <f t="shared" si="56"/>
        <v>e</v>
      </c>
      <c r="U491" t="s">
        <v>7</v>
      </c>
      <c r="V491" t="s">
        <v>208</v>
      </c>
      <c r="W491" t="s">
        <v>53</v>
      </c>
      <c r="X491" t="s">
        <v>705</v>
      </c>
      <c r="AF491" t="s">
        <v>401</v>
      </c>
      <c r="AJ491">
        <v>1</v>
      </c>
      <c r="AK491">
        <v>1</v>
      </c>
      <c r="AM491" t="str">
        <f t="shared" si="59"/>
        <v>Shot</v>
      </c>
      <c r="AN491" t="str">
        <f t="shared" si="60"/>
        <v>Shot_Blocked</v>
      </c>
      <c r="AP491" t="str">
        <f t="shared" si="58"/>
        <v>Offensive</v>
      </c>
      <c r="BB491" s="23"/>
      <c r="BD491" s="21"/>
      <c r="BE491" s="21"/>
      <c r="BF491" s="21"/>
      <c r="BG491" s="21"/>
      <c r="BH491" s="21"/>
      <c r="BI491" s="21"/>
    </row>
    <row r="492" spans="1:61" x14ac:dyDescent="0.2">
      <c r="A492">
        <v>238</v>
      </c>
      <c r="B492" t="s">
        <v>887</v>
      </c>
      <c r="C492" t="str">
        <f t="shared" si="55"/>
        <v/>
      </c>
      <c r="D492" t="str">
        <f t="shared" si="61"/>
        <v/>
      </c>
      <c r="H492">
        <f t="shared" si="57"/>
        <v>1</v>
      </c>
      <c r="R492">
        <v>91</v>
      </c>
      <c r="T492" t="str">
        <f t="shared" si="56"/>
        <v>o</v>
      </c>
      <c r="AJ492">
        <v>1</v>
      </c>
      <c r="AK492">
        <v>1</v>
      </c>
      <c r="AM492" t="str">
        <f t="shared" si="59"/>
        <v>Shot</v>
      </c>
      <c r="AN492" t="str">
        <f t="shared" si="60"/>
        <v>Shot_Blocked</v>
      </c>
      <c r="AP492" t="str">
        <f t="shared" si="58"/>
        <v>Defensive</v>
      </c>
      <c r="BB492" s="23"/>
      <c r="BD492" s="21"/>
      <c r="BE492" s="21"/>
      <c r="BF492" s="21"/>
      <c r="BG492" s="21"/>
      <c r="BH492" s="21"/>
      <c r="BI492" s="21"/>
    </row>
    <row r="493" spans="1:61" x14ac:dyDescent="0.2">
      <c r="A493">
        <v>239</v>
      </c>
      <c r="B493" t="s">
        <v>887</v>
      </c>
      <c r="C493" t="str">
        <f t="shared" si="55"/>
        <v/>
      </c>
      <c r="D493" t="str">
        <f t="shared" si="61"/>
        <v/>
      </c>
      <c r="H493">
        <f t="shared" si="57"/>
        <v>1</v>
      </c>
      <c r="I493" s="5" t="s">
        <v>742</v>
      </c>
      <c r="J493" s="5" t="s">
        <v>713</v>
      </c>
      <c r="Q493" t="s">
        <v>620</v>
      </c>
      <c r="R493">
        <v>9</v>
      </c>
      <c r="S493">
        <v>1</v>
      </c>
      <c r="T493" t="str">
        <f t="shared" si="56"/>
        <v>e</v>
      </c>
      <c r="U493" t="s">
        <v>15</v>
      </c>
      <c r="V493" t="s">
        <v>697</v>
      </c>
      <c r="X493" t="s">
        <v>706</v>
      </c>
      <c r="Y493" t="s">
        <v>683</v>
      </c>
      <c r="AF493" t="s">
        <v>623</v>
      </c>
      <c r="AJ493">
        <v>1</v>
      </c>
      <c r="AK493">
        <v>1</v>
      </c>
      <c r="AM493" t="str">
        <f t="shared" si="59"/>
        <v>Possession</v>
      </c>
      <c r="AN493" t="str">
        <f t="shared" si="60"/>
        <v>PuckRetrieval</v>
      </c>
      <c r="AP493" t="str">
        <f t="shared" si="58"/>
        <v>Offensive</v>
      </c>
      <c r="BB493" s="23"/>
      <c r="BD493" s="21"/>
      <c r="BE493" s="21"/>
      <c r="BF493" s="21"/>
      <c r="BG493" s="21"/>
      <c r="BH493" s="21"/>
      <c r="BI493" s="21"/>
    </row>
    <row r="494" spans="1:61" x14ac:dyDescent="0.2">
      <c r="A494">
        <v>239</v>
      </c>
      <c r="B494" t="s">
        <v>887</v>
      </c>
      <c r="C494" t="str">
        <f t="shared" si="55"/>
        <v/>
      </c>
      <c r="D494" t="str">
        <f t="shared" si="61"/>
        <v/>
      </c>
      <c r="H494">
        <f t="shared" si="57"/>
        <v>1</v>
      </c>
      <c r="R494">
        <v>77</v>
      </c>
      <c r="T494" t="str">
        <f t="shared" si="56"/>
        <v>o</v>
      </c>
      <c r="AJ494">
        <v>1</v>
      </c>
      <c r="AK494">
        <v>1</v>
      </c>
      <c r="AM494" t="str">
        <f t="shared" si="59"/>
        <v>Possession</v>
      </c>
      <c r="AN494" t="str">
        <f t="shared" si="60"/>
        <v>PuckRetrieval</v>
      </c>
      <c r="AP494" t="str">
        <f t="shared" si="58"/>
        <v>Defensive</v>
      </c>
      <c r="BB494" s="23"/>
      <c r="BD494" s="21"/>
      <c r="BE494" s="21"/>
      <c r="BF494" s="21"/>
      <c r="BG494" s="21"/>
      <c r="BH494" s="21"/>
      <c r="BI494" s="21"/>
    </row>
    <row r="495" spans="1:61" x14ac:dyDescent="0.2">
      <c r="A495">
        <v>240</v>
      </c>
      <c r="B495">
        <v>45</v>
      </c>
      <c r="C495">
        <f t="shared" si="55"/>
        <v>9045</v>
      </c>
      <c r="D495">
        <f t="shared" si="61"/>
        <v>9045</v>
      </c>
      <c r="H495">
        <f t="shared" si="57"/>
        <v>1</v>
      </c>
      <c r="I495" s="5" t="s">
        <v>742</v>
      </c>
      <c r="J495" s="5" t="s">
        <v>713</v>
      </c>
      <c r="Q495" t="s">
        <v>620</v>
      </c>
      <c r="R495">
        <v>9</v>
      </c>
      <c r="S495">
        <v>1</v>
      </c>
      <c r="T495" t="str">
        <f t="shared" si="56"/>
        <v>e</v>
      </c>
      <c r="U495" t="s">
        <v>8</v>
      </c>
      <c r="V495" t="s">
        <v>199</v>
      </c>
      <c r="W495" t="s">
        <v>70</v>
      </c>
      <c r="X495" t="s">
        <v>705</v>
      </c>
      <c r="Y495" t="s">
        <v>803</v>
      </c>
      <c r="AA495" t="s">
        <v>705</v>
      </c>
      <c r="AF495" t="s">
        <v>623</v>
      </c>
      <c r="AJ495">
        <v>1</v>
      </c>
      <c r="AK495">
        <v>1</v>
      </c>
      <c r="AM495" t="str">
        <f t="shared" si="59"/>
        <v>Pass</v>
      </c>
      <c r="AN495" t="str">
        <f t="shared" si="60"/>
        <v>Pass_Missed</v>
      </c>
      <c r="AP495" t="str">
        <f t="shared" si="58"/>
        <v>Offensive</v>
      </c>
      <c r="BB495" s="23"/>
      <c r="BD495" s="21"/>
      <c r="BE495" s="21"/>
      <c r="BF495" s="21"/>
      <c r="BG495" s="21"/>
      <c r="BH495" s="21"/>
      <c r="BI495" s="21"/>
    </row>
    <row r="496" spans="1:61" x14ac:dyDescent="0.2">
      <c r="A496">
        <v>240</v>
      </c>
      <c r="B496">
        <v>45</v>
      </c>
      <c r="C496">
        <f t="shared" si="55"/>
        <v>9045</v>
      </c>
      <c r="D496">
        <f t="shared" si="61"/>
        <v>9045</v>
      </c>
      <c r="H496">
        <f t="shared" si="57"/>
        <v>1</v>
      </c>
      <c r="R496">
        <v>55</v>
      </c>
      <c r="S496">
        <v>1</v>
      </c>
      <c r="T496" t="str">
        <f t="shared" si="56"/>
        <v>e</v>
      </c>
      <c r="AM496" t="str">
        <f t="shared" si="59"/>
        <v>Pass</v>
      </c>
      <c r="AN496" t="str">
        <f t="shared" si="60"/>
        <v>Pass_Missed</v>
      </c>
      <c r="AP496" t="str">
        <f t="shared" si="58"/>
        <v>Offensive</v>
      </c>
      <c r="BB496" s="23"/>
      <c r="BD496" s="21"/>
      <c r="BE496" s="21"/>
      <c r="BF496" s="21"/>
      <c r="BG496" s="21"/>
      <c r="BH496" s="21"/>
      <c r="BI496" s="21"/>
    </row>
    <row r="497" spans="1:61" x14ac:dyDescent="0.2">
      <c r="A497">
        <v>240</v>
      </c>
      <c r="B497">
        <v>45</v>
      </c>
      <c r="C497">
        <f t="shared" si="55"/>
        <v>9045</v>
      </c>
      <c r="D497">
        <f t="shared" si="61"/>
        <v>9045</v>
      </c>
      <c r="H497">
        <f t="shared" si="57"/>
        <v>1</v>
      </c>
      <c r="R497">
        <v>77</v>
      </c>
      <c r="T497" t="str">
        <f t="shared" si="56"/>
        <v>o</v>
      </c>
      <c r="Y497" t="s">
        <v>715</v>
      </c>
      <c r="AJ497">
        <v>1</v>
      </c>
      <c r="AK497">
        <v>1</v>
      </c>
      <c r="AM497" t="str">
        <f t="shared" si="59"/>
        <v>Pass</v>
      </c>
      <c r="AN497" t="str">
        <f t="shared" si="60"/>
        <v>Pass_Missed</v>
      </c>
      <c r="AP497" t="str">
        <f t="shared" si="58"/>
        <v>Defensive</v>
      </c>
      <c r="BB497" s="23"/>
      <c r="BD497" s="21"/>
      <c r="BE497" s="21"/>
      <c r="BF497" s="21"/>
      <c r="BG497" s="21"/>
      <c r="BH497" s="21"/>
      <c r="BI497" s="21"/>
    </row>
    <row r="498" spans="1:61" x14ac:dyDescent="0.2">
      <c r="A498">
        <v>240</v>
      </c>
      <c r="B498">
        <v>45</v>
      </c>
      <c r="C498">
        <f t="shared" si="55"/>
        <v>9045</v>
      </c>
      <c r="D498">
        <f t="shared" si="61"/>
        <v>9045</v>
      </c>
      <c r="H498">
        <f t="shared" si="57"/>
        <v>1</v>
      </c>
      <c r="R498">
        <v>68</v>
      </c>
      <c r="T498" t="str">
        <f t="shared" si="56"/>
        <v>o</v>
      </c>
      <c r="Y498" t="s">
        <v>722</v>
      </c>
      <c r="AJ498">
        <v>1</v>
      </c>
      <c r="AK498">
        <v>1</v>
      </c>
      <c r="AM498" t="str">
        <f t="shared" si="59"/>
        <v>Pass</v>
      </c>
      <c r="AN498" t="str">
        <f t="shared" si="60"/>
        <v>Pass_Missed</v>
      </c>
      <c r="AP498" t="str">
        <f t="shared" si="58"/>
        <v>Defensive</v>
      </c>
      <c r="BB498" s="23"/>
      <c r="BD498" s="21"/>
      <c r="BE498" s="21"/>
      <c r="BF498" s="21"/>
      <c r="BG498" s="21"/>
      <c r="BH498" s="21"/>
      <c r="BI498" s="21"/>
    </row>
    <row r="499" spans="1:61" x14ac:dyDescent="0.2">
      <c r="A499">
        <v>241</v>
      </c>
      <c r="B499">
        <v>45</v>
      </c>
      <c r="C499">
        <f t="shared" si="55"/>
        <v>9045</v>
      </c>
      <c r="D499">
        <f t="shared" si="61"/>
        <v>9045</v>
      </c>
      <c r="H499">
        <f t="shared" si="57"/>
        <v>1</v>
      </c>
      <c r="I499" s="5" t="s">
        <v>742</v>
      </c>
      <c r="J499" s="5" t="s">
        <v>713</v>
      </c>
      <c r="Q499" t="s">
        <v>620</v>
      </c>
      <c r="R499">
        <v>9</v>
      </c>
      <c r="S499">
        <v>1</v>
      </c>
      <c r="T499" t="str">
        <f t="shared" si="56"/>
        <v>e</v>
      </c>
      <c r="U499" t="s">
        <v>10</v>
      </c>
      <c r="V499" t="s">
        <v>190</v>
      </c>
      <c r="W499" t="s">
        <v>76</v>
      </c>
      <c r="AF499" t="s">
        <v>623</v>
      </c>
      <c r="AJ499">
        <v>1</v>
      </c>
      <c r="AK499">
        <v>1</v>
      </c>
      <c r="AM499" t="str">
        <f t="shared" si="59"/>
        <v>Turnover</v>
      </c>
      <c r="AN499" t="str">
        <f t="shared" si="60"/>
        <v>Turnover_Giveaway</v>
      </c>
      <c r="AP499" t="str">
        <f t="shared" si="58"/>
        <v>Offensive</v>
      </c>
      <c r="BB499" s="23"/>
      <c r="BD499" s="21"/>
      <c r="BE499" s="21"/>
      <c r="BF499" s="21"/>
      <c r="BG499" s="21"/>
      <c r="BH499" s="21"/>
      <c r="BI499" s="21"/>
    </row>
    <row r="500" spans="1:61" x14ac:dyDescent="0.2">
      <c r="A500">
        <v>241</v>
      </c>
      <c r="B500">
        <v>45</v>
      </c>
      <c r="C500">
        <f t="shared" si="55"/>
        <v>9045</v>
      </c>
      <c r="D500">
        <f t="shared" si="61"/>
        <v>9045</v>
      </c>
      <c r="H500">
        <f t="shared" si="57"/>
        <v>1</v>
      </c>
      <c r="R500">
        <v>55</v>
      </c>
      <c r="S500">
        <v>1</v>
      </c>
      <c r="T500" t="str">
        <f t="shared" si="56"/>
        <v>e</v>
      </c>
      <c r="AM500" t="str">
        <f t="shared" si="59"/>
        <v>Turnover</v>
      </c>
      <c r="AN500" t="str">
        <f t="shared" si="60"/>
        <v>Turnover_Giveaway</v>
      </c>
      <c r="AP500" t="str">
        <f t="shared" si="58"/>
        <v>Offensive</v>
      </c>
      <c r="BB500" s="23"/>
      <c r="BD500" s="21"/>
      <c r="BE500" s="21"/>
      <c r="BF500" s="21"/>
      <c r="BG500" s="21"/>
      <c r="BH500" s="21"/>
      <c r="BI500" s="21"/>
    </row>
    <row r="501" spans="1:61" x14ac:dyDescent="0.2">
      <c r="A501">
        <v>241</v>
      </c>
      <c r="B501">
        <v>45</v>
      </c>
      <c r="C501">
        <f t="shared" si="55"/>
        <v>9045</v>
      </c>
      <c r="D501">
        <f t="shared" si="61"/>
        <v>9045</v>
      </c>
      <c r="H501">
        <f t="shared" si="57"/>
        <v>1</v>
      </c>
      <c r="R501">
        <v>77</v>
      </c>
      <c r="T501" t="str">
        <f t="shared" si="56"/>
        <v>o</v>
      </c>
      <c r="AJ501">
        <v>1</v>
      </c>
      <c r="AK501">
        <v>1</v>
      </c>
      <c r="AM501" t="str">
        <f t="shared" si="59"/>
        <v>Turnover</v>
      </c>
      <c r="AN501" t="str">
        <f t="shared" si="60"/>
        <v>Turnover_Giveaway</v>
      </c>
      <c r="AP501" t="str">
        <f t="shared" si="58"/>
        <v>Defensive</v>
      </c>
      <c r="BB501" s="23"/>
      <c r="BD501" s="21"/>
      <c r="BE501" s="21"/>
      <c r="BF501" s="21"/>
      <c r="BG501" s="21"/>
      <c r="BH501" s="21"/>
      <c r="BI501" s="21"/>
    </row>
    <row r="502" spans="1:61" x14ac:dyDescent="0.2">
      <c r="A502">
        <v>241</v>
      </c>
      <c r="B502">
        <v>45</v>
      </c>
      <c r="C502">
        <f t="shared" si="55"/>
        <v>9045</v>
      </c>
      <c r="D502">
        <f t="shared" si="61"/>
        <v>9045</v>
      </c>
      <c r="H502">
        <f t="shared" si="57"/>
        <v>1</v>
      </c>
      <c r="R502">
        <v>68</v>
      </c>
      <c r="T502" t="str">
        <f t="shared" si="56"/>
        <v>o</v>
      </c>
      <c r="AJ502">
        <v>1</v>
      </c>
      <c r="AK502">
        <v>1</v>
      </c>
      <c r="AM502" t="str">
        <f t="shared" si="59"/>
        <v>Turnover</v>
      </c>
      <c r="AN502" t="str">
        <f t="shared" si="60"/>
        <v>Turnover_Giveaway</v>
      </c>
      <c r="AP502" t="str">
        <f t="shared" si="58"/>
        <v>Defensive</v>
      </c>
      <c r="BB502" s="23"/>
      <c r="BD502" s="21"/>
      <c r="BE502" s="21"/>
      <c r="BF502" s="21"/>
      <c r="BG502" s="21"/>
      <c r="BH502" s="21"/>
      <c r="BI502" s="21"/>
    </row>
    <row r="503" spans="1:61" x14ac:dyDescent="0.2">
      <c r="A503">
        <v>242</v>
      </c>
      <c r="B503" t="s">
        <v>887</v>
      </c>
      <c r="C503" t="str">
        <f t="shared" si="55"/>
        <v/>
      </c>
      <c r="D503" t="str">
        <f t="shared" si="61"/>
        <v/>
      </c>
      <c r="H503">
        <f t="shared" si="57"/>
        <v>1</v>
      </c>
      <c r="I503" s="5" t="s">
        <v>742</v>
      </c>
      <c r="J503" s="5" t="s">
        <v>790</v>
      </c>
      <c r="Q503" t="s">
        <v>619</v>
      </c>
      <c r="R503">
        <v>18</v>
      </c>
      <c r="S503">
        <v>1</v>
      </c>
      <c r="T503" t="str">
        <f t="shared" si="56"/>
        <v>e</v>
      </c>
      <c r="U503" t="s">
        <v>257</v>
      </c>
      <c r="V503" t="s">
        <v>210</v>
      </c>
      <c r="W503" t="s">
        <v>93</v>
      </c>
      <c r="X503" t="s">
        <v>706</v>
      </c>
      <c r="AF503" t="s">
        <v>401</v>
      </c>
      <c r="AJ503">
        <v>1</v>
      </c>
      <c r="AK503">
        <v>1</v>
      </c>
      <c r="AM503" t="str">
        <f t="shared" si="59"/>
        <v>Zone_Entry_Exit</v>
      </c>
      <c r="AN503" t="str">
        <f t="shared" si="60"/>
        <v>Zone_Keepin</v>
      </c>
      <c r="AP503" t="str">
        <f t="shared" si="58"/>
        <v>Offensive</v>
      </c>
      <c r="BB503" s="23"/>
      <c r="BD503" s="21"/>
      <c r="BE503" s="21"/>
      <c r="BF503" s="21"/>
      <c r="BG503" s="21"/>
      <c r="BH503" s="21"/>
      <c r="BI503" s="21"/>
    </row>
    <row r="504" spans="1:61" x14ac:dyDescent="0.2">
      <c r="A504">
        <v>242</v>
      </c>
      <c r="B504" t="s">
        <v>887</v>
      </c>
      <c r="C504" t="str">
        <f t="shared" si="55"/>
        <v/>
      </c>
      <c r="D504" t="str">
        <f t="shared" si="61"/>
        <v/>
      </c>
      <c r="H504">
        <f t="shared" si="57"/>
        <v>1</v>
      </c>
      <c r="R504">
        <v>55</v>
      </c>
      <c r="T504" t="str">
        <f t="shared" si="56"/>
        <v>o</v>
      </c>
      <c r="AJ504">
        <v>1</v>
      </c>
      <c r="AK504">
        <v>1</v>
      </c>
      <c r="AM504" t="str">
        <f t="shared" si="59"/>
        <v>Zone_Entry_Exit</v>
      </c>
      <c r="AN504" t="str">
        <f t="shared" si="60"/>
        <v>Zone_Keepin</v>
      </c>
      <c r="AP504" t="str">
        <f t="shared" si="58"/>
        <v>Defensive</v>
      </c>
      <c r="BB504" s="23"/>
      <c r="BD504" s="21"/>
      <c r="BE504" s="21"/>
      <c r="BF504" s="21"/>
      <c r="BG504" s="21"/>
      <c r="BH504" s="21"/>
      <c r="BI504" s="21"/>
    </row>
    <row r="505" spans="1:61" x14ac:dyDescent="0.2">
      <c r="A505">
        <v>243</v>
      </c>
      <c r="B505">
        <v>46</v>
      </c>
      <c r="C505">
        <f t="shared" si="55"/>
        <v>9046</v>
      </c>
      <c r="D505">
        <f t="shared" si="61"/>
        <v>9046</v>
      </c>
      <c r="H505">
        <f t="shared" si="57"/>
        <v>1</v>
      </c>
      <c r="I505" s="5" t="s">
        <v>742</v>
      </c>
      <c r="J505" s="5" t="s">
        <v>790</v>
      </c>
      <c r="Q505" t="s">
        <v>619</v>
      </c>
      <c r="R505">
        <v>18</v>
      </c>
      <c r="S505">
        <v>1</v>
      </c>
      <c r="T505" t="str">
        <f t="shared" si="56"/>
        <v>e</v>
      </c>
      <c r="U505" t="s">
        <v>8</v>
      </c>
      <c r="V505" t="s">
        <v>199</v>
      </c>
      <c r="W505" t="s">
        <v>68</v>
      </c>
      <c r="X505" t="s">
        <v>705</v>
      </c>
      <c r="Y505" t="s">
        <v>718</v>
      </c>
      <c r="AA505" t="s">
        <v>705</v>
      </c>
      <c r="AF505" t="s">
        <v>401</v>
      </c>
      <c r="AJ505">
        <v>1</v>
      </c>
      <c r="AK505">
        <v>1</v>
      </c>
      <c r="AM505" t="str">
        <f t="shared" si="59"/>
        <v>Pass</v>
      </c>
      <c r="AN505" t="str">
        <f t="shared" si="60"/>
        <v>Pass_Missed</v>
      </c>
      <c r="AP505" t="str">
        <f t="shared" si="58"/>
        <v>Offensive</v>
      </c>
      <c r="BB505" s="23"/>
      <c r="BD505" s="21"/>
      <c r="BE505" s="21"/>
      <c r="BF505" s="21"/>
      <c r="BG505" s="21"/>
      <c r="BH505" s="21"/>
      <c r="BI505" s="21"/>
    </row>
    <row r="506" spans="1:61" x14ac:dyDescent="0.2">
      <c r="A506">
        <v>243</v>
      </c>
      <c r="B506">
        <v>46</v>
      </c>
      <c r="C506">
        <f t="shared" si="55"/>
        <v>9046</v>
      </c>
      <c r="D506">
        <f t="shared" si="61"/>
        <v>9046</v>
      </c>
      <c r="H506">
        <f t="shared" si="57"/>
        <v>1</v>
      </c>
      <c r="R506">
        <v>55</v>
      </c>
      <c r="T506" t="str">
        <f t="shared" si="56"/>
        <v>o</v>
      </c>
      <c r="AJ506">
        <v>1</v>
      </c>
      <c r="AK506">
        <v>1</v>
      </c>
      <c r="AM506" t="str">
        <f t="shared" si="59"/>
        <v>Pass</v>
      </c>
      <c r="AN506" t="str">
        <f t="shared" si="60"/>
        <v>Pass_Missed</v>
      </c>
      <c r="AP506" t="str">
        <f t="shared" si="58"/>
        <v>Defensive</v>
      </c>
      <c r="BB506" s="23"/>
      <c r="BD506" s="21"/>
      <c r="BE506" s="21"/>
      <c r="BF506" s="21"/>
      <c r="BG506" s="21"/>
      <c r="BH506" s="21"/>
      <c r="BI506" s="21"/>
    </row>
    <row r="507" spans="1:61" x14ac:dyDescent="0.2">
      <c r="A507">
        <v>243</v>
      </c>
      <c r="B507">
        <v>46</v>
      </c>
      <c r="C507">
        <f t="shared" si="55"/>
        <v>9046</v>
      </c>
      <c r="D507">
        <f t="shared" si="61"/>
        <v>9046</v>
      </c>
      <c r="H507">
        <f t="shared" si="57"/>
        <v>1</v>
      </c>
      <c r="R507">
        <v>9</v>
      </c>
      <c r="T507" t="str">
        <f t="shared" si="56"/>
        <v>o</v>
      </c>
      <c r="Y507" t="s">
        <v>722</v>
      </c>
      <c r="AJ507">
        <v>1</v>
      </c>
      <c r="AK507">
        <v>1</v>
      </c>
      <c r="AM507" t="str">
        <f t="shared" si="59"/>
        <v>Pass</v>
      </c>
      <c r="AN507" t="str">
        <f t="shared" si="60"/>
        <v>Pass_Missed</v>
      </c>
      <c r="AP507" t="str">
        <f t="shared" si="58"/>
        <v>Defensive</v>
      </c>
      <c r="BB507" s="23"/>
      <c r="BD507" s="21"/>
      <c r="BE507" s="21"/>
      <c r="BF507" s="21"/>
      <c r="BG507" s="21"/>
      <c r="BH507" s="21"/>
      <c r="BI507" s="21"/>
    </row>
    <row r="508" spans="1:61" x14ac:dyDescent="0.2">
      <c r="A508">
        <v>244</v>
      </c>
      <c r="B508">
        <v>46</v>
      </c>
      <c r="C508">
        <f t="shared" si="55"/>
        <v>9046</v>
      </c>
      <c r="D508">
        <f t="shared" si="61"/>
        <v>9046</v>
      </c>
      <c r="H508">
        <f t="shared" si="57"/>
        <v>1</v>
      </c>
      <c r="I508" s="5" t="s">
        <v>742</v>
      </c>
      <c r="J508" s="5" t="s">
        <v>790</v>
      </c>
      <c r="Q508" t="s">
        <v>619</v>
      </c>
      <c r="R508">
        <v>18</v>
      </c>
      <c r="S508">
        <v>1</v>
      </c>
      <c r="T508" t="str">
        <f t="shared" si="56"/>
        <v>e</v>
      </c>
      <c r="U508" t="s">
        <v>10</v>
      </c>
      <c r="V508" t="s">
        <v>190</v>
      </c>
      <c r="W508" t="s">
        <v>424</v>
      </c>
      <c r="AF508" t="s">
        <v>401</v>
      </c>
      <c r="AJ508">
        <v>1</v>
      </c>
      <c r="AK508">
        <v>1</v>
      </c>
      <c r="AM508" t="str">
        <f t="shared" si="59"/>
        <v>Turnover</v>
      </c>
      <c r="AN508" t="str">
        <f t="shared" si="60"/>
        <v>Turnover_Giveaway</v>
      </c>
      <c r="AP508" t="str">
        <f t="shared" si="58"/>
        <v>Offensive</v>
      </c>
      <c r="BB508" s="23"/>
      <c r="BD508" s="21"/>
      <c r="BE508" s="21"/>
      <c r="BF508" s="21"/>
      <c r="BG508" s="21"/>
      <c r="BH508" s="21"/>
      <c r="BI508" s="21"/>
    </row>
    <row r="509" spans="1:61" x14ac:dyDescent="0.2">
      <c r="A509">
        <v>244</v>
      </c>
      <c r="B509" t="s">
        <v>887</v>
      </c>
      <c r="C509" t="str">
        <f t="shared" si="55"/>
        <v/>
      </c>
      <c r="D509" t="str">
        <f t="shared" si="61"/>
        <v/>
      </c>
      <c r="H509">
        <f t="shared" si="57"/>
        <v>1</v>
      </c>
      <c r="R509">
        <v>9</v>
      </c>
      <c r="T509" t="str">
        <f t="shared" si="56"/>
        <v>o</v>
      </c>
      <c r="AM509" t="str">
        <f t="shared" si="59"/>
        <v>Turnover</v>
      </c>
      <c r="AN509" t="str">
        <f t="shared" si="60"/>
        <v>Turnover_Giveaway</v>
      </c>
      <c r="AP509" t="str">
        <f t="shared" si="58"/>
        <v>Defensive</v>
      </c>
      <c r="BB509" s="23"/>
      <c r="BD509" s="21"/>
      <c r="BE509" s="21"/>
      <c r="BF509" s="21"/>
      <c r="BG509" s="21"/>
      <c r="BH509" s="21"/>
      <c r="BI509" s="21"/>
    </row>
    <row r="510" spans="1:61" x14ac:dyDescent="0.2">
      <c r="A510">
        <v>244</v>
      </c>
      <c r="B510" t="s">
        <v>887</v>
      </c>
      <c r="C510" t="str">
        <f t="shared" si="55"/>
        <v/>
      </c>
      <c r="D510" t="str">
        <f t="shared" si="61"/>
        <v/>
      </c>
      <c r="H510">
        <f t="shared" si="57"/>
        <v>1</v>
      </c>
      <c r="R510">
        <v>55</v>
      </c>
      <c r="T510" t="str">
        <f t="shared" si="56"/>
        <v>o</v>
      </c>
      <c r="AM510" t="str">
        <f t="shared" si="59"/>
        <v>Turnover</v>
      </c>
      <c r="AN510" t="str">
        <f t="shared" si="60"/>
        <v>Turnover_Giveaway</v>
      </c>
      <c r="AP510" t="str">
        <f t="shared" si="58"/>
        <v>Defensive</v>
      </c>
      <c r="BB510" s="23"/>
      <c r="BD510" s="21"/>
      <c r="BE510" s="21"/>
      <c r="BF510" s="21"/>
      <c r="BG510" s="21"/>
      <c r="BH510" s="21"/>
      <c r="BI510" s="21"/>
    </row>
    <row r="511" spans="1:61" x14ac:dyDescent="0.2">
      <c r="A511">
        <v>246</v>
      </c>
      <c r="B511" t="s">
        <v>887</v>
      </c>
      <c r="C511" t="str">
        <f t="shared" si="55"/>
        <v/>
      </c>
      <c r="D511" t="str">
        <f t="shared" si="61"/>
        <v/>
      </c>
      <c r="H511">
        <f t="shared" si="57"/>
        <v>1</v>
      </c>
      <c r="I511" s="5" t="s">
        <v>742</v>
      </c>
      <c r="J511" s="5" t="s">
        <v>811</v>
      </c>
      <c r="K511" s="5" t="s">
        <v>742</v>
      </c>
      <c r="L511" s="7" t="s">
        <v>717</v>
      </c>
      <c r="Q511" t="s">
        <v>620</v>
      </c>
      <c r="R511">
        <v>9</v>
      </c>
      <c r="S511">
        <v>1</v>
      </c>
      <c r="T511" t="str">
        <f t="shared" si="56"/>
        <v>e</v>
      </c>
      <c r="U511" t="s">
        <v>257</v>
      </c>
      <c r="V511" t="s">
        <v>201</v>
      </c>
      <c r="W511" t="s">
        <v>90</v>
      </c>
      <c r="AF511" t="s">
        <v>623</v>
      </c>
      <c r="AM511" t="str">
        <f t="shared" si="59"/>
        <v>Zone_Entry_Exit</v>
      </c>
      <c r="AN511" t="str">
        <f t="shared" si="60"/>
        <v>Zone_Exit</v>
      </c>
      <c r="AP511" t="str">
        <f t="shared" si="58"/>
        <v>Offensive</v>
      </c>
      <c r="BB511" s="23"/>
      <c r="BD511" s="21"/>
      <c r="BE511" s="21"/>
      <c r="BF511" s="21"/>
      <c r="BG511" s="21"/>
      <c r="BH511" s="21"/>
      <c r="BI511" s="21"/>
    </row>
    <row r="512" spans="1:61" x14ac:dyDescent="0.2">
      <c r="A512">
        <v>247</v>
      </c>
      <c r="B512" t="s">
        <v>887</v>
      </c>
      <c r="C512" t="str">
        <f t="shared" si="55"/>
        <v/>
      </c>
      <c r="D512" t="str">
        <f t="shared" si="61"/>
        <v/>
      </c>
      <c r="H512">
        <f t="shared" si="57"/>
        <v>1</v>
      </c>
      <c r="I512" s="5" t="s">
        <v>742</v>
      </c>
      <c r="J512" s="5" t="s">
        <v>717</v>
      </c>
      <c r="Q512" t="s">
        <v>620</v>
      </c>
      <c r="R512">
        <v>9</v>
      </c>
      <c r="S512">
        <v>1</v>
      </c>
      <c r="T512" t="str">
        <f t="shared" si="56"/>
        <v>e</v>
      </c>
      <c r="U512" t="s">
        <v>8</v>
      </c>
      <c r="V512" t="s">
        <v>189</v>
      </c>
      <c r="W512" t="s">
        <v>70</v>
      </c>
      <c r="X512" t="s">
        <v>706</v>
      </c>
      <c r="AF512" t="s">
        <v>635</v>
      </c>
      <c r="AJ512">
        <v>1</v>
      </c>
      <c r="AK512">
        <v>1</v>
      </c>
      <c r="AM512" t="str">
        <f t="shared" si="59"/>
        <v>Pass</v>
      </c>
      <c r="AN512" t="str">
        <f t="shared" si="60"/>
        <v>Pass_Completed</v>
      </c>
      <c r="AP512" t="str">
        <f t="shared" si="58"/>
        <v>Offensive</v>
      </c>
      <c r="BB512" s="23"/>
      <c r="BD512" s="21"/>
      <c r="BE512" s="21"/>
      <c r="BF512" s="21"/>
      <c r="BG512" s="21"/>
      <c r="BH512" s="21"/>
      <c r="BI512" s="21"/>
    </row>
    <row r="513" spans="1:61" x14ac:dyDescent="0.2">
      <c r="A513">
        <v>247</v>
      </c>
      <c r="B513" t="s">
        <v>887</v>
      </c>
      <c r="C513" t="str">
        <f t="shared" si="55"/>
        <v/>
      </c>
      <c r="D513" t="str">
        <f t="shared" si="61"/>
        <v/>
      </c>
      <c r="H513">
        <f t="shared" si="57"/>
        <v>1</v>
      </c>
      <c r="R513">
        <v>42</v>
      </c>
      <c r="S513">
        <v>1</v>
      </c>
      <c r="T513" t="str">
        <f t="shared" si="56"/>
        <v>e</v>
      </c>
      <c r="AM513" t="str">
        <f t="shared" si="59"/>
        <v>Pass</v>
      </c>
      <c r="AN513" t="str">
        <f t="shared" si="60"/>
        <v>Pass_Completed</v>
      </c>
      <c r="AP513" t="str">
        <f t="shared" si="58"/>
        <v>Offensive</v>
      </c>
      <c r="BB513" s="23"/>
      <c r="BD513" s="21"/>
      <c r="BE513" s="21"/>
      <c r="BF513" s="21"/>
      <c r="BG513" s="21"/>
      <c r="BH513" s="21"/>
      <c r="BI513" s="21"/>
    </row>
    <row r="514" spans="1:61" x14ac:dyDescent="0.2">
      <c r="A514">
        <v>247</v>
      </c>
      <c r="B514" t="s">
        <v>887</v>
      </c>
      <c r="C514" t="str">
        <f t="shared" si="55"/>
        <v/>
      </c>
      <c r="D514" t="str">
        <f t="shared" si="61"/>
        <v/>
      </c>
      <c r="H514">
        <f t="shared" si="57"/>
        <v>1</v>
      </c>
      <c r="R514">
        <v>77</v>
      </c>
      <c r="T514" t="str">
        <f t="shared" si="56"/>
        <v>o</v>
      </c>
      <c r="AJ514">
        <v>1</v>
      </c>
      <c r="AK514">
        <v>1</v>
      </c>
      <c r="AM514" t="str">
        <f t="shared" si="59"/>
        <v>Pass</v>
      </c>
      <c r="AN514" t="str">
        <f t="shared" si="60"/>
        <v>Pass_Completed</v>
      </c>
      <c r="AP514" t="str">
        <f t="shared" si="58"/>
        <v>Defensive</v>
      </c>
      <c r="BB514" s="23"/>
      <c r="BD514" s="21"/>
      <c r="BE514" s="21"/>
      <c r="BF514" s="21"/>
      <c r="BG514" s="21"/>
      <c r="BH514" s="21"/>
      <c r="BI514" s="21"/>
    </row>
    <row r="515" spans="1:61" x14ac:dyDescent="0.2">
      <c r="A515">
        <v>247</v>
      </c>
      <c r="B515" t="s">
        <v>887</v>
      </c>
      <c r="C515" t="str">
        <f t="shared" ref="C515:C578" si="62">IF(B515&lt;&gt;"",9000+B515,"")</f>
        <v/>
      </c>
      <c r="D515" t="str">
        <f t="shared" si="61"/>
        <v/>
      </c>
      <c r="H515">
        <f t="shared" si="57"/>
        <v>1</v>
      </c>
      <c r="R515">
        <v>13</v>
      </c>
      <c r="T515" t="str">
        <f t="shared" ref="T515:T578" si="63">IF(S515="x","",IF(S515=1,"e","o"))</f>
        <v>o</v>
      </c>
      <c r="AJ515">
        <v>1</v>
      </c>
      <c r="AK515">
        <v>1</v>
      </c>
      <c r="AM515" t="str">
        <f t="shared" si="59"/>
        <v>Pass</v>
      </c>
      <c r="AN515" t="str">
        <f t="shared" si="60"/>
        <v>Pass_Completed</v>
      </c>
      <c r="AP515" t="str">
        <f t="shared" si="58"/>
        <v>Defensive</v>
      </c>
      <c r="BB515" s="23"/>
      <c r="BD515" s="21"/>
      <c r="BE515" s="21"/>
      <c r="BF515" s="21"/>
      <c r="BG515" s="21"/>
      <c r="BH515" s="21"/>
      <c r="BI515" s="21"/>
    </row>
    <row r="516" spans="1:61" x14ac:dyDescent="0.2">
      <c r="A516">
        <v>248</v>
      </c>
      <c r="B516" t="s">
        <v>887</v>
      </c>
      <c r="C516" t="str">
        <f t="shared" si="62"/>
        <v/>
      </c>
      <c r="D516" t="str">
        <f t="shared" si="61"/>
        <v/>
      </c>
      <c r="H516">
        <f t="shared" ref="H516:H579" si="64">IF(U516="Intermission",H515+1,H515)</f>
        <v>1</v>
      </c>
      <c r="I516" s="5" t="s">
        <v>742</v>
      </c>
      <c r="J516" s="5" t="s">
        <v>717</v>
      </c>
      <c r="K516" s="5" t="s">
        <v>742</v>
      </c>
      <c r="L516" s="7" t="s">
        <v>719</v>
      </c>
      <c r="Q516" t="s">
        <v>620</v>
      </c>
      <c r="R516">
        <v>42</v>
      </c>
      <c r="S516">
        <v>1</v>
      </c>
      <c r="T516" t="str">
        <f t="shared" si="63"/>
        <v>e</v>
      </c>
      <c r="U516" t="s">
        <v>15</v>
      </c>
      <c r="AF516" t="s">
        <v>635</v>
      </c>
      <c r="AM516" t="str">
        <f t="shared" si="59"/>
        <v>Possession</v>
      </c>
      <c r="AN516" t="str">
        <f t="shared" si="60"/>
        <v/>
      </c>
      <c r="AP516" t="str">
        <f t="shared" si="58"/>
        <v>Offensive</v>
      </c>
      <c r="BB516" s="23"/>
      <c r="BD516" s="21"/>
      <c r="BE516" s="21"/>
      <c r="BF516" s="21"/>
      <c r="BG516" s="21"/>
      <c r="BH516" s="21"/>
      <c r="BI516" s="21"/>
    </row>
    <row r="517" spans="1:61" x14ac:dyDescent="0.2">
      <c r="A517">
        <v>249</v>
      </c>
      <c r="B517" t="s">
        <v>887</v>
      </c>
      <c r="C517" t="str">
        <f t="shared" si="62"/>
        <v/>
      </c>
      <c r="D517" t="str">
        <f t="shared" si="61"/>
        <v/>
      </c>
      <c r="H517">
        <f t="shared" si="64"/>
        <v>1</v>
      </c>
      <c r="I517" s="5" t="s">
        <v>742</v>
      </c>
      <c r="J517" s="5" t="s">
        <v>719</v>
      </c>
      <c r="K517" s="5" t="s">
        <v>742</v>
      </c>
      <c r="L517" s="7" t="s">
        <v>721</v>
      </c>
      <c r="Q517" t="s">
        <v>620</v>
      </c>
      <c r="R517">
        <v>42</v>
      </c>
      <c r="S517">
        <v>1</v>
      </c>
      <c r="T517" t="str">
        <f t="shared" si="63"/>
        <v>e</v>
      </c>
      <c r="U517" t="s">
        <v>257</v>
      </c>
      <c r="V517" t="s">
        <v>191</v>
      </c>
      <c r="W517" t="s">
        <v>87</v>
      </c>
      <c r="X517" t="s">
        <v>706</v>
      </c>
      <c r="Y517" t="s">
        <v>677</v>
      </c>
      <c r="Z517" t="s">
        <v>767</v>
      </c>
      <c r="AA517" t="s">
        <v>706</v>
      </c>
      <c r="AF517" t="s">
        <v>401</v>
      </c>
      <c r="AJ517">
        <v>1</v>
      </c>
      <c r="AK517">
        <v>1</v>
      </c>
      <c r="AM517" t="str">
        <f t="shared" si="59"/>
        <v>Zone_Entry_Exit</v>
      </c>
      <c r="AN517" t="str">
        <f t="shared" si="60"/>
        <v>Zone_Entry</v>
      </c>
      <c r="AP517" t="str">
        <f t="shared" ref="AP517:AP580" si="65">IF(AND(T517="e",OR(AM517="Save",AN517="Turnover_Takeaway",AN517="Play_Defensive")),"Defensive",IF(AND(T517="o",OR(AM517="Save",AN517="Turnover_Takeaway",AN517="Play_Defensive")),"Offensive",IF(OR(AM517="Deadice",AM517="Stoppage",AM517="Intermission"),"",IF(T517="e","Offensive",IF(T517="o","Defensive","")))))</f>
        <v>Offensive</v>
      </c>
      <c r="BB517" s="23"/>
      <c r="BD517" s="21"/>
      <c r="BE517" s="21"/>
      <c r="BF517" s="21"/>
      <c r="BG517" s="21"/>
      <c r="BH517" s="21"/>
      <c r="BI517" s="21"/>
    </row>
    <row r="518" spans="1:61" x14ac:dyDescent="0.2">
      <c r="A518">
        <v>249</v>
      </c>
      <c r="B518" t="s">
        <v>887</v>
      </c>
      <c r="C518" t="str">
        <f t="shared" si="62"/>
        <v/>
      </c>
      <c r="D518" t="str">
        <f t="shared" si="61"/>
        <v/>
      </c>
      <c r="H518">
        <f t="shared" si="64"/>
        <v>1</v>
      </c>
      <c r="R518">
        <v>9</v>
      </c>
      <c r="S518">
        <v>1</v>
      </c>
      <c r="T518" t="str">
        <f t="shared" si="63"/>
        <v>e</v>
      </c>
      <c r="AM518" t="str">
        <f t="shared" si="59"/>
        <v>Zone_Entry_Exit</v>
      </c>
      <c r="AN518" t="str">
        <f t="shared" si="60"/>
        <v>Zone_Entry</v>
      </c>
      <c r="AP518" t="str">
        <f t="shared" si="65"/>
        <v>Offensive</v>
      </c>
      <c r="BB518" s="23"/>
      <c r="BD518" s="21"/>
      <c r="BE518" s="21"/>
      <c r="BF518" s="21"/>
      <c r="BG518" s="21"/>
      <c r="BH518" s="21"/>
      <c r="BI518" s="21"/>
    </row>
    <row r="519" spans="1:61" x14ac:dyDescent="0.2">
      <c r="A519">
        <v>249</v>
      </c>
      <c r="B519" t="s">
        <v>887</v>
      </c>
      <c r="C519" t="str">
        <f t="shared" si="62"/>
        <v/>
      </c>
      <c r="D519" t="str">
        <f t="shared" si="61"/>
        <v/>
      </c>
      <c r="H519">
        <f t="shared" si="64"/>
        <v>1</v>
      </c>
      <c r="R519">
        <v>44</v>
      </c>
      <c r="T519" t="str">
        <f t="shared" si="63"/>
        <v>o</v>
      </c>
      <c r="Y519" t="s">
        <v>715</v>
      </c>
      <c r="AA519" t="s">
        <v>705</v>
      </c>
      <c r="AJ519">
        <v>1</v>
      </c>
      <c r="AK519">
        <v>1</v>
      </c>
      <c r="AM519" t="str">
        <f t="shared" ref="AM519:AM582" si="66">IF(U519&lt;&gt;"",U519,IF($A519=$A518,AM518,""))</f>
        <v>Zone_Entry_Exit</v>
      </c>
      <c r="AN519" t="str">
        <f t="shared" ref="AN519:AN582" si="67">IF(V519&lt;&gt;"",V519,IF($A519=$A518,AN518,""))</f>
        <v>Zone_Entry</v>
      </c>
      <c r="AP519" t="str">
        <f t="shared" si="65"/>
        <v>Defensive</v>
      </c>
      <c r="BB519" s="23"/>
      <c r="BD519" s="21"/>
      <c r="BE519" s="21"/>
      <c r="BF519" s="21"/>
      <c r="BG519" s="21"/>
      <c r="BH519" s="21"/>
      <c r="BI519" s="21"/>
    </row>
    <row r="520" spans="1:61" x14ac:dyDescent="0.2">
      <c r="A520">
        <v>249</v>
      </c>
      <c r="B520" t="s">
        <v>887</v>
      </c>
      <c r="C520" t="str">
        <f t="shared" si="62"/>
        <v/>
      </c>
      <c r="D520" t="str">
        <f t="shared" ref="D520:D583" si="68">IF(C520&lt;&gt;"",C520,B520)</f>
        <v/>
      </c>
      <c r="H520">
        <f t="shared" si="64"/>
        <v>1</v>
      </c>
      <c r="R520">
        <v>77</v>
      </c>
      <c r="T520" t="str">
        <f t="shared" si="63"/>
        <v>o</v>
      </c>
      <c r="AM520" t="str">
        <f t="shared" si="66"/>
        <v>Zone_Entry_Exit</v>
      </c>
      <c r="AN520" t="str">
        <f t="shared" si="67"/>
        <v>Zone_Entry</v>
      </c>
      <c r="AP520" t="str">
        <f t="shared" si="65"/>
        <v>Defensive</v>
      </c>
      <c r="BB520" s="23"/>
      <c r="BD520" s="21"/>
      <c r="BE520" s="21"/>
      <c r="BF520" s="21"/>
      <c r="BG520" s="21"/>
      <c r="BH520" s="21"/>
      <c r="BI520" s="21"/>
    </row>
    <row r="521" spans="1:61" x14ac:dyDescent="0.2">
      <c r="A521">
        <v>249</v>
      </c>
      <c r="B521" t="s">
        <v>887</v>
      </c>
      <c r="C521" t="str">
        <f t="shared" si="62"/>
        <v/>
      </c>
      <c r="D521" t="str">
        <f t="shared" si="68"/>
        <v/>
      </c>
      <c r="H521">
        <f t="shared" si="64"/>
        <v>1</v>
      </c>
      <c r="R521">
        <v>13</v>
      </c>
      <c r="T521" t="str">
        <f t="shared" si="63"/>
        <v>o</v>
      </c>
      <c r="Y521" t="s">
        <v>764</v>
      </c>
      <c r="AA521" t="s">
        <v>705</v>
      </c>
      <c r="AJ521">
        <v>1</v>
      </c>
      <c r="AK521">
        <v>1</v>
      </c>
      <c r="AM521" t="str">
        <f t="shared" si="66"/>
        <v>Zone_Entry_Exit</v>
      </c>
      <c r="AN521" t="str">
        <f t="shared" si="67"/>
        <v>Zone_Entry</v>
      </c>
      <c r="AP521" t="str">
        <f t="shared" si="65"/>
        <v>Defensive</v>
      </c>
      <c r="BB521" s="23"/>
      <c r="BD521" s="21"/>
      <c r="BE521" s="21"/>
      <c r="BF521" s="21"/>
      <c r="BG521" s="21"/>
      <c r="BH521" s="21"/>
      <c r="BI521" s="21"/>
    </row>
    <row r="522" spans="1:61" x14ac:dyDescent="0.2">
      <c r="A522">
        <v>250</v>
      </c>
      <c r="B522" t="s">
        <v>887</v>
      </c>
      <c r="C522" t="str">
        <f t="shared" si="62"/>
        <v/>
      </c>
      <c r="D522" t="str">
        <f t="shared" si="68"/>
        <v/>
      </c>
      <c r="H522">
        <f t="shared" si="64"/>
        <v>1</v>
      </c>
      <c r="I522" s="5" t="s">
        <v>742</v>
      </c>
      <c r="J522" s="5" t="s">
        <v>721</v>
      </c>
      <c r="Q522" t="s">
        <v>619</v>
      </c>
      <c r="R522">
        <v>18</v>
      </c>
      <c r="S522">
        <v>1</v>
      </c>
      <c r="T522" t="str">
        <f t="shared" si="63"/>
        <v>e</v>
      </c>
      <c r="U522" t="s">
        <v>10</v>
      </c>
      <c r="V522" t="s">
        <v>200</v>
      </c>
      <c r="W522" t="s">
        <v>82</v>
      </c>
      <c r="X522" t="s">
        <v>706</v>
      </c>
      <c r="AF522" t="s">
        <v>623</v>
      </c>
      <c r="AM522" t="str">
        <f t="shared" si="66"/>
        <v>Turnover</v>
      </c>
      <c r="AN522" t="str">
        <f t="shared" si="67"/>
        <v>Turnover_Takeaway</v>
      </c>
      <c r="AP522" t="str">
        <f t="shared" si="65"/>
        <v>Defensive</v>
      </c>
      <c r="BB522" s="23"/>
      <c r="BD522" s="21"/>
      <c r="BE522" s="21"/>
      <c r="BF522" s="21"/>
      <c r="BG522" s="21"/>
      <c r="BH522" s="21"/>
      <c r="BI522" s="21"/>
    </row>
    <row r="523" spans="1:61" x14ac:dyDescent="0.2">
      <c r="A523">
        <v>250</v>
      </c>
      <c r="B523" t="s">
        <v>887</v>
      </c>
      <c r="C523" t="str">
        <f t="shared" si="62"/>
        <v/>
      </c>
      <c r="D523" t="str">
        <f t="shared" si="68"/>
        <v/>
      </c>
      <c r="H523">
        <f t="shared" si="64"/>
        <v>1</v>
      </c>
      <c r="R523">
        <v>42</v>
      </c>
      <c r="T523" t="str">
        <f t="shared" si="63"/>
        <v>o</v>
      </c>
      <c r="AM523" t="str">
        <f t="shared" si="66"/>
        <v>Turnover</v>
      </c>
      <c r="AN523" t="str">
        <f t="shared" si="67"/>
        <v>Turnover_Takeaway</v>
      </c>
      <c r="AP523" t="str">
        <f t="shared" si="65"/>
        <v>Offensive</v>
      </c>
      <c r="BB523" s="23"/>
      <c r="BD523" s="21"/>
      <c r="BE523" s="21"/>
      <c r="BF523" s="21"/>
      <c r="BG523" s="21"/>
      <c r="BH523" s="21"/>
      <c r="BI523" s="21"/>
    </row>
    <row r="524" spans="1:61" x14ac:dyDescent="0.2">
      <c r="A524">
        <v>251</v>
      </c>
      <c r="B524">
        <v>47</v>
      </c>
      <c r="C524">
        <f t="shared" si="62"/>
        <v>9047</v>
      </c>
      <c r="D524">
        <f t="shared" si="68"/>
        <v>9047</v>
      </c>
      <c r="H524">
        <f t="shared" si="64"/>
        <v>1</v>
      </c>
      <c r="I524" s="5" t="s">
        <v>742</v>
      </c>
      <c r="J524" s="5" t="s">
        <v>812</v>
      </c>
      <c r="Q524" t="s">
        <v>619</v>
      </c>
      <c r="R524">
        <v>18</v>
      </c>
      <c r="S524">
        <v>1</v>
      </c>
      <c r="T524" t="str">
        <f t="shared" si="63"/>
        <v>e</v>
      </c>
      <c r="U524" t="s">
        <v>257</v>
      </c>
      <c r="V524" t="s">
        <v>201</v>
      </c>
      <c r="W524" t="s">
        <v>409</v>
      </c>
      <c r="X524" t="s">
        <v>706</v>
      </c>
      <c r="AF524" t="s">
        <v>623</v>
      </c>
      <c r="AM524" t="str">
        <f t="shared" si="66"/>
        <v>Zone_Entry_Exit</v>
      </c>
      <c r="AN524" t="str">
        <f t="shared" si="67"/>
        <v>Zone_Exit</v>
      </c>
      <c r="AP524" t="str">
        <f t="shared" si="65"/>
        <v>Offensive</v>
      </c>
      <c r="BB524" s="23"/>
      <c r="BD524" s="21"/>
      <c r="BE524" s="21"/>
      <c r="BF524" s="21"/>
      <c r="BG524" s="21"/>
      <c r="BH524" s="21"/>
      <c r="BI524" s="21"/>
    </row>
    <row r="525" spans="1:61" x14ac:dyDescent="0.2">
      <c r="A525">
        <v>252</v>
      </c>
      <c r="B525">
        <v>47</v>
      </c>
      <c r="C525">
        <f t="shared" si="62"/>
        <v>9047</v>
      </c>
      <c r="D525">
        <f t="shared" si="68"/>
        <v>9047</v>
      </c>
      <c r="H525">
        <f t="shared" si="64"/>
        <v>1</v>
      </c>
      <c r="I525" s="5" t="s">
        <v>742</v>
      </c>
      <c r="J525" s="5" t="s">
        <v>812</v>
      </c>
      <c r="Q525" t="s">
        <v>619</v>
      </c>
      <c r="R525">
        <v>18</v>
      </c>
      <c r="S525">
        <v>1</v>
      </c>
      <c r="T525" t="str">
        <f t="shared" si="63"/>
        <v>e</v>
      </c>
      <c r="U525" t="s">
        <v>10</v>
      </c>
      <c r="V525" t="s">
        <v>190</v>
      </c>
      <c r="W525" t="s">
        <v>73</v>
      </c>
      <c r="AF525" t="s">
        <v>623</v>
      </c>
      <c r="AM525" t="str">
        <f t="shared" si="66"/>
        <v>Turnover</v>
      </c>
      <c r="AN525" t="str">
        <f t="shared" si="67"/>
        <v>Turnover_Giveaway</v>
      </c>
      <c r="AP525" t="str">
        <f t="shared" si="65"/>
        <v>Offensive</v>
      </c>
      <c r="BB525" s="23"/>
      <c r="BD525" s="21"/>
      <c r="BE525" s="21"/>
      <c r="BF525" s="21"/>
      <c r="BG525" s="21"/>
      <c r="BH525" s="21"/>
      <c r="BI525" s="21"/>
    </row>
    <row r="526" spans="1:61" x14ac:dyDescent="0.2">
      <c r="A526">
        <v>253</v>
      </c>
      <c r="B526" t="s">
        <v>887</v>
      </c>
      <c r="C526" t="str">
        <f t="shared" si="62"/>
        <v/>
      </c>
      <c r="D526" t="str">
        <f t="shared" si="68"/>
        <v/>
      </c>
      <c r="H526">
        <f t="shared" si="64"/>
        <v>1</v>
      </c>
      <c r="I526" s="5" t="s">
        <v>742</v>
      </c>
      <c r="J526" s="5" t="s">
        <v>726</v>
      </c>
      <c r="Q526" t="s">
        <v>620</v>
      </c>
      <c r="R526">
        <v>24</v>
      </c>
      <c r="S526">
        <v>1</v>
      </c>
      <c r="T526" t="str">
        <f t="shared" si="63"/>
        <v>e</v>
      </c>
      <c r="U526" t="s">
        <v>15</v>
      </c>
      <c r="V526" t="s">
        <v>697</v>
      </c>
      <c r="X526" t="s">
        <v>705</v>
      </c>
      <c r="Y526" t="s">
        <v>712</v>
      </c>
      <c r="AA526" t="s">
        <v>705</v>
      </c>
      <c r="AF526" t="s">
        <v>635</v>
      </c>
      <c r="AM526" t="str">
        <f t="shared" si="66"/>
        <v>Possession</v>
      </c>
      <c r="AN526" t="str">
        <f t="shared" si="67"/>
        <v>PuckRetrieval</v>
      </c>
      <c r="AP526" t="str">
        <f t="shared" si="65"/>
        <v>Offensive</v>
      </c>
      <c r="BB526" s="23"/>
      <c r="BD526" s="21"/>
      <c r="BE526" s="21"/>
      <c r="BF526" s="21"/>
      <c r="BG526" s="21"/>
      <c r="BH526" s="21"/>
      <c r="BI526" s="21"/>
    </row>
    <row r="527" spans="1:61" x14ac:dyDescent="0.2">
      <c r="A527">
        <v>254</v>
      </c>
      <c r="B527" t="s">
        <v>887</v>
      </c>
      <c r="C527" t="str">
        <f t="shared" si="62"/>
        <v/>
      </c>
      <c r="D527" t="str">
        <f t="shared" si="68"/>
        <v/>
      </c>
      <c r="H527">
        <f t="shared" si="64"/>
        <v>1</v>
      </c>
      <c r="I527" s="5" t="s">
        <v>742</v>
      </c>
      <c r="J527" s="5" t="s">
        <v>727</v>
      </c>
      <c r="K527" s="5" t="s">
        <v>742</v>
      </c>
      <c r="L527" s="7" t="s">
        <v>813</v>
      </c>
      <c r="Q527" t="s">
        <v>619</v>
      </c>
      <c r="R527">
        <v>13</v>
      </c>
      <c r="S527">
        <v>1</v>
      </c>
      <c r="T527" t="str">
        <f t="shared" si="63"/>
        <v>e</v>
      </c>
      <c r="U527" t="s">
        <v>257</v>
      </c>
      <c r="V527" t="s">
        <v>191</v>
      </c>
      <c r="W527" t="s">
        <v>87</v>
      </c>
      <c r="X527" t="s">
        <v>706</v>
      </c>
      <c r="Y527" t="s">
        <v>777</v>
      </c>
      <c r="AF527" t="s">
        <v>401</v>
      </c>
      <c r="AJ527">
        <v>1</v>
      </c>
      <c r="AK527">
        <v>1</v>
      </c>
      <c r="AM527" t="str">
        <f t="shared" si="66"/>
        <v>Zone_Entry_Exit</v>
      </c>
      <c r="AN527" t="str">
        <f t="shared" si="67"/>
        <v>Zone_Entry</v>
      </c>
      <c r="AP527" t="str">
        <f t="shared" si="65"/>
        <v>Offensive</v>
      </c>
      <c r="BB527" s="23"/>
      <c r="BD527" s="21"/>
      <c r="BE527" s="21"/>
      <c r="BF527" s="21"/>
      <c r="BG527" s="21"/>
      <c r="BH527" s="21"/>
      <c r="BI527" s="21"/>
    </row>
    <row r="528" spans="1:61" x14ac:dyDescent="0.2">
      <c r="A528">
        <v>254</v>
      </c>
      <c r="B528" t="s">
        <v>887</v>
      </c>
      <c r="C528" t="str">
        <f t="shared" si="62"/>
        <v/>
      </c>
      <c r="D528" t="str">
        <f t="shared" si="68"/>
        <v/>
      </c>
      <c r="H528">
        <f t="shared" si="64"/>
        <v>1</v>
      </c>
      <c r="R528">
        <v>84</v>
      </c>
      <c r="T528" t="str">
        <f t="shared" si="63"/>
        <v>o</v>
      </c>
      <c r="Y528" t="s">
        <v>729</v>
      </c>
      <c r="AJ528">
        <v>1</v>
      </c>
      <c r="AK528">
        <v>1</v>
      </c>
      <c r="AM528" t="str">
        <f t="shared" si="66"/>
        <v>Zone_Entry_Exit</v>
      </c>
      <c r="AN528" t="str">
        <f t="shared" si="67"/>
        <v>Zone_Entry</v>
      </c>
      <c r="AP528" t="str">
        <f t="shared" si="65"/>
        <v>Defensive</v>
      </c>
      <c r="BB528" s="23"/>
      <c r="BD528" s="21"/>
      <c r="BE528" s="21"/>
      <c r="BF528" s="21"/>
      <c r="BG528" s="21"/>
      <c r="BH528" s="21"/>
      <c r="BI528" s="21"/>
    </row>
    <row r="529" spans="1:61" x14ac:dyDescent="0.2">
      <c r="A529">
        <v>255</v>
      </c>
      <c r="B529" t="s">
        <v>887</v>
      </c>
      <c r="C529" t="str">
        <f t="shared" si="62"/>
        <v/>
      </c>
      <c r="D529" t="str">
        <f t="shared" si="68"/>
        <v/>
      </c>
      <c r="H529">
        <f t="shared" si="64"/>
        <v>1</v>
      </c>
      <c r="I529" s="5" t="s">
        <v>742</v>
      </c>
      <c r="J529" s="5" t="s">
        <v>813</v>
      </c>
      <c r="Q529" t="s">
        <v>619</v>
      </c>
      <c r="R529">
        <v>13</v>
      </c>
      <c r="S529">
        <v>1</v>
      </c>
      <c r="T529" t="str">
        <f t="shared" si="63"/>
        <v>e</v>
      </c>
      <c r="U529" t="s">
        <v>8</v>
      </c>
      <c r="V529" t="s">
        <v>209</v>
      </c>
      <c r="W529" t="s">
        <v>70</v>
      </c>
      <c r="X529" t="s">
        <v>705</v>
      </c>
      <c r="AF529" t="s">
        <v>401</v>
      </c>
      <c r="AJ529">
        <v>1</v>
      </c>
      <c r="AK529">
        <v>1</v>
      </c>
      <c r="AM529" t="str">
        <f t="shared" si="66"/>
        <v>Pass</v>
      </c>
      <c r="AN529" t="str">
        <f t="shared" si="67"/>
        <v>Pass_Deflected</v>
      </c>
      <c r="AP529" t="str">
        <f t="shared" si="65"/>
        <v>Offensive</v>
      </c>
      <c r="BB529" s="23"/>
      <c r="BD529" s="21"/>
      <c r="BE529" s="21"/>
      <c r="BF529" s="21"/>
      <c r="BG529" s="21"/>
      <c r="BH529" s="21"/>
      <c r="BI529" s="21"/>
    </row>
    <row r="530" spans="1:61" x14ac:dyDescent="0.2">
      <c r="A530">
        <v>255</v>
      </c>
      <c r="B530" t="s">
        <v>887</v>
      </c>
      <c r="C530" t="str">
        <f t="shared" si="62"/>
        <v/>
      </c>
      <c r="D530" t="str">
        <f t="shared" si="68"/>
        <v/>
      </c>
      <c r="H530">
        <f t="shared" si="64"/>
        <v>1</v>
      </c>
      <c r="R530">
        <v>84</v>
      </c>
      <c r="T530" t="str">
        <f t="shared" si="63"/>
        <v>o</v>
      </c>
      <c r="Y530" t="s">
        <v>715</v>
      </c>
      <c r="Z530" t="s">
        <v>722</v>
      </c>
      <c r="AA530" t="s">
        <v>706</v>
      </c>
      <c r="AJ530">
        <v>1</v>
      </c>
      <c r="AK530">
        <v>1</v>
      </c>
      <c r="AM530" t="str">
        <f t="shared" si="66"/>
        <v>Pass</v>
      </c>
      <c r="AN530" t="str">
        <f t="shared" si="67"/>
        <v>Pass_Deflected</v>
      </c>
      <c r="AP530" t="str">
        <f t="shared" si="65"/>
        <v>Defensive</v>
      </c>
      <c r="BB530" s="23"/>
      <c r="BD530" s="21"/>
      <c r="BE530" s="21"/>
      <c r="BF530" s="21"/>
      <c r="BG530" s="21"/>
      <c r="BH530" s="21"/>
      <c r="BI530" s="21"/>
    </row>
    <row r="531" spans="1:61" x14ac:dyDescent="0.2">
      <c r="A531">
        <v>256</v>
      </c>
      <c r="B531" t="s">
        <v>887</v>
      </c>
      <c r="C531" t="str">
        <f t="shared" si="62"/>
        <v/>
      </c>
      <c r="D531" t="str">
        <f t="shared" si="68"/>
        <v/>
      </c>
      <c r="H531">
        <f t="shared" si="64"/>
        <v>1</v>
      </c>
      <c r="I531" s="5" t="s">
        <v>742</v>
      </c>
      <c r="J531" s="5" t="s">
        <v>621</v>
      </c>
      <c r="K531" s="5" t="s">
        <v>742</v>
      </c>
      <c r="L531" s="7" t="s">
        <v>732</v>
      </c>
      <c r="Q531" t="s">
        <v>619</v>
      </c>
      <c r="R531">
        <v>44</v>
      </c>
      <c r="S531">
        <v>1</v>
      </c>
      <c r="T531" t="str">
        <f t="shared" si="63"/>
        <v>e</v>
      </c>
      <c r="U531" t="s">
        <v>15</v>
      </c>
      <c r="V531" t="s">
        <v>698</v>
      </c>
      <c r="X531" t="s">
        <v>706</v>
      </c>
      <c r="Y531" t="s">
        <v>752</v>
      </c>
      <c r="AA531" t="s">
        <v>706</v>
      </c>
      <c r="AF531" t="s">
        <v>401</v>
      </c>
      <c r="AM531" t="str">
        <f t="shared" si="66"/>
        <v>Possession</v>
      </c>
      <c r="AN531" t="str">
        <f t="shared" si="67"/>
        <v>PuckRecovery</v>
      </c>
      <c r="AP531" t="str">
        <f t="shared" si="65"/>
        <v>Offensive</v>
      </c>
      <c r="BB531" s="23"/>
      <c r="BD531" s="21"/>
      <c r="BE531" s="21"/>
      <c r="BF531" s="21"/>
      <c r="BG531" s="21"/>
      <c r="BH531" s="21"/>
      <c r="BI531" s="21"/>
    </row>
    <row r="532" spans="1:61" x14ac:dyDescent="0.2">
      <c r="A532">
        <v>257</v>
      </c>
      <c r="B532">
        <v>48</v>
      </c>
      <c r="C532">
        <f t="shared" si="62"/>
        <v>9048</v>
      </c>
      <c r="D532">
        <f t="shared" si="68"/>
        <v>9048</v>
      </c>
      <c r="H532">
        <f t="shared" si="64"/>
        <v>1</v>
      </c>
      <c r="I532" s="5" t="s">
        <v>742</v>
      </c>
      <c r="J532" s="5" t="s">
        <v>732</v>
      </c>
      <c r="Q532" t="s">
        <v>619</v>
      </c>
      <c r="R532">
        <v>44</v>
      </c>
      <c r="S532">
        <v>1</v>
      </c>
      <c r="T532" t="str">
        <f t="shared" si="63"/>
        <v>e</v>
      </c>
      <c r="U532" t="s">
        <v>7</v>
      </c>
      <c r="V532" t="s">
        <v>222</v>
      </c>
      <c r="W532" t="s">
        <v>53</v>
      </c>
      <c r="X532" t="s">
        <v>706</v>
      </c>
      <c r="AF532" t="s">
        <v>401</v>
      </c>
      <c r="AM532" t="str">
        <f t="shared" si="66"/>
        <v>Shot</v>
      </c>
      <c r="AN532" t="str">
        <f t="shared" si="67"/>
        <v>Shot_OnNetSaved</v>
      </c>
      <c r="AP532" t="str">
        <f t="shared" si="65"/>
        <v>Offensive</v>
      </c>
      <c r="BB532" s="23"/>
      <c r="BD532" s="21"/>
      <c r="BE532" s="21"/>
      <c r="BF532" s="21"/>
      <c r="BG532" s="21"/>
      <c r="BH532" s="21"/>
      <c r="BI532" s="21"/>
    </row>
    <row r="533" spans="1:61" x14ac:dyDescent="0.2">
      <c r="A533">
        <v>257</v>
      </c>
      <c r="B533">
        <v>48</v>
      </c>
      <c r="C533">
        <f t="shared" si="62"/>
        <v>9048</v>
      </c>
      <c r="D533">
        <f t="shared" si="68"/>
        <v>9048</v>
      </c>
      <c r="H533">
        <f t="shared" si="64"/>
        <v>1</v>
      </c>
      <c r="R533">
        <v>39</v>
      </c>
      <c r="T533" t="str">
        <f t="shared" si="63"/>
        <v>o</v>
      </c>
      <c r="AM533" t="str">
        <f t="shared" si="66"/>
        <v>Shot</v>
      </c>
      <c r="AN533" t="str">
        <f t="shared" si="67"/>
        <v>Shot_OnNetSaved</v>
      </c>
      <c r="AP533" t="str">
        <f t="shared" si="65"/>
        <v>Defensive</v>
      </c>
      <c r="BB533" s="23"/>
      <c r="BD533" s="21"/>
      <c r="BE533" s="21"/>
      <c r="BF533" s="21"/>
      <c r="BG533" s="21"/>
      <c r="BH533" s="21"/>
      <c r="BI533" s="21"/>
    </row>
    <row r="534" spans="1:61" x14ac:dyDescent="0.2">
      <c r="A534">
        <v>258</v>
      </c>
      <c r="B534">
        <v>48</v>
      </c>
      <c r="C534">
        <f t="shared" si="62"/>
        <v>9048</v>
      </c>
      <c r="D534">
        <f t="shared" si="68"/>
        <v>9048</v>
      </c>
      <c r="H534">
        <f t="shared" si="64"/>
        <v>1</v>
      </c>
      <c r="I534" s="5" t="s">
        <v>742</v>
      </c>
      <c r="J534" s="5" t="s">
        <v>732</v>
      </c>
      <c r="Q534" t="s">
        <v>620</v>
      </c>
      <c r="R534">
        <v>39</v>
      </c>
      <c r="S534">
        <v>1</v>
      </c>
      <c r="T534" t="str">
        <f t="shared" si="63"/>
        <v>e</v>
      </c>
      <c r="U534" t="s">
        <v>17</v>
      </c>
      <c r="V534" t="s">
        <v>196</v>
      </c>
      <c r="W534" t="s">
        <v>451</v>
      </c>
      <c r="AF534" t="s">
        <v>623</v>
      </c>
      <c r="AM534" t="str">
        <f t="shared" si="66"/>
        <v>Save</v>
      </c>
      <c r="AN534" t="str">
        <f t="shared" si="67"/>
        <v>Save_Rebound</v>
      </c>
      <c r="AP534" t="str">
        <f t="shared" si="65"/>
        <v>Defensive</v>
      </c>
      <c r="BB534" s="23"/>
      <c r="BD534" s="21"/>
      <c r="BE534" s="21"/>
      <c r="BF534" s="21"/>
      <c r="BG534" s="21"/>
      <c r="BH534" s="21"/>
      <c r="BI534" s="21"/>
    </row>
    <row r="535" spans="1:61" x14ac:dyDescent="0.2">
      <c r="A535">
        <v>258</v>
      </c>
      <c r="B535">
        <v>48</v>
      </c>
      <c r="C535">
        <f t="shared" si="62"/>
        <v>9048</v>
      </c>
      <c r="D535">
        <f t="shared" si="68"/>
        <v>9048</v>
      </c>
      <c r="H535">
        <f t="shared" si="64"/>
        <v>1</v>
      </c>
      <c r="R535">
        <v>44</v>
      </c>
      <c r="T535" t="str">
        <f t="shared" si="63"/>
        <v>o</v>
      </c>
      <c r="AM535" t="str">
        <f t="shared" si="66"/>
        <v>Save</v>
      </c>
      <c r="AN535" t="str">
        <f t="shared" si="67"/>
        <v>Save_Rebound</v>
      </c>
      <c r="AP535" t="str">
        <f t="shared" si="65"/>
        <v>Offensive</v>
      </c>
      <c r="BB535" s="23"/>
      <c r="BD535" s="21"/>
      <c r="BE535" s="21"/>
      <c r="BF535" s="21"/>
      <c r="BG535" s="21"/>
      <c r="BH535" s="21"/>
      <c r="BI535" s="21"/>
    </row>
    <row r="536" spans="1:61" x14ac:dyDescent="0.2">
      <c r="A536">
        <v>259</v>
      </c>
      <c r="B536">
        <v>48</v>
      </c>
      <c r="C536">
        <f t="shared" si="62"/>
        <v>9048</v>
      </c>
      <c r="D536">
        <f t="shared" si="68"/>
        <v>9048</v>
      </c>
      <c r="H536">
        <f t="shared" si="64"/>
        <v>1</v>
      </c>
      <c r="I536" s="5" t="s">
        <v>742</v>
      </c>
      <c r="J536" s="5" t="s">
        <v>732</v>
      </c>
      <c r="Q536" t="s">
        <v>620</v>
      </c>
      <c r="R536">
        <v>39</v>
      </c>
      <c r="S536">
        <v>1</v>
      </c>
      <c r="T536" t="str">
        <f t="shared" si="63"/>
        <v>e</v>
      </c>
      <c r="U536" t="s">
        <v>250</v>
      </c>
      <c r="V536" t="s">
        <v>253</v>
      </c>
      <c r="AF536" t="s">
        <v>623</v>
      </c>
      <c r="AM536" t="str">
        <f t="shared" si="66"/>
        <v>Rebound</v>
      </c>
      <c r="AN536" t="str">
        <f t="shared" si="67"/>
        <v>Rebound_ShotGenerated</v>
      </c>
      <c r="AP536" t="str">
        <f t="shared" si="65"/>
        <v>Offensive</v>
      </c>
      <c r="BB536" s="23"/>
      <c r="BD536" s="21"/>
      <c r="BE536" s="21"/>
      <c r="BF536" s="21"/>
      <c r="BG536" s="21"/>
      <c r="BH536" s="21"/>
      <c r="BI536" s="21"/>
    </row>
    <row r="537" spans="1:61" x14ac:dyDescent="0.2">
      <c r="A537">
        <v>260</v>
      </c>
      <c r="B537" t="s">
        <v>887</v>
      </c>
      <c r="C537" t="str">
        <f t="shared" si="62"/>
        <v/>
      </c>
      <c r="D537" t="str">
        <f t="shared" si="68"/>
        <v/>
      </c>
      <c r="H537">
        <f t="shared" si="64"/>
        <v>1</v>
      </c>
      <c r="I537" s="5" t="s">
        <v>742</v>
      </c>
      <c r="J537" s="5" t="s">
        <v>732</v>
      </c>
      <c r="Q537" t="s">
        <v>619</v>
      </c>
      <c r="R537">
        <v>13</v>
      </c>
      <c r="S537">
        <v>1</v>
      </c>
      <c r="T537" t="str">
        <f t="shared" si="63"/>
        <v>e</v>
      </c>
      <c r="U537" t="s">
        <v>7</v>
      </c>
      <c r="V537" t="s">
        <v>208</v>
      </c>
      <c r="W537" t="s">
        <v>55</v>
      </c>
      <c r="X537" t="s">
        <v>705</v>
      </c>
      <c r="AC537" t="s">
        <v>629</v>
      </c>
      <c r="AE537">
        <v>1</v>
      </c>
      <c r="AF537" t="s">
        <v>401</v>
      </c>
      <c r="AJ537">
        <v>1</v>
      </c>
      <c r="AK537">
        <v>1</v>
      </c>
      <c r="AM537" t="str">
        <f t="shared" si="66"/>
        <v>Shot</v>
      </c>
      <c r="AN537" t="str">
        <f t="shared" si="67"/>
        <v>Shot_Blocked</v>
      </c>
      <c r="AP537" t="str">
        <f t="shared" si="65"/>
        <v>Offensive</v>
      </c>
      <c r="BB537" s="23"/>
      <c r="BD537" s="21"/>
      <c r="BE537" s="21"/>
      <c r="BF537" s="21"/>
      <c r="BG537" s="21"/>
      <c r="BH537" s="21"/>
      <c r="BI537" s="21"/>
    </row>
    <row r="538" spans="1:61" x14ac:dyDescent="0.2">
      <c r="A538">
        <v>260</v>
      </c>
      <c r="B538" t="s">
        <v>887</v>
      </c>
      <c r="C538" t="str">
        <f t="shared" si="62"/>
        <v/>
      </c>
      <c r="D538" t="str">
        <f t="shared" si="68"/>
        <v/>
      </c>
      <c r="H538">
        <f t="shared" si="64"/>
        <v>1</v>
      </c>
      <c r="R538">
        <v>9</v>
      </c>
      <c r="T538" t="str">
        <f t="shared" si="63"/>
        <v>o</v>
      </c>
      <c r="Y538" t="s">
        <v>715</v>
      </c>
      <c r="Z538" t="s">
        <v>681</v>
      </c>
      <c r="AJ538">
        <v>1</v>
      </c>
      <c r="AK538">
        <v>1</v>
      </c>
      <c r="AM538" t="str">
        <f t="shared" si="66"/>
        <v>Shot</v>
      </c>
      <c r="AN538" t="str">
        <f t="shared" si="67"/>
        <v>Shot_Blocked</v>
      </c>
      <c r="AP538" t="str">
        <f t="shared" si="65"/>
        <v>Defensive</v>
      </c>
      <c r="BB538" s="23"/>
      <c r="BD538" s="21"/>
      <c r="BE538" s="21"/>
      <c r="BF538" s="21"/>
      <c r="BG538" s="21"/>
      <c r="BH538" s="21"/>
      <c r="BI538" s="21"/>
    </row>
    <row r="539" spans="1:61" x14ac:dyDescent="0.2">
      <c r="A539">
        <v>261</v>
      </c>
      <c r="B539" t="s">
        <v>887</v>
      </c>
      <c r="C539" t="str">
        <f t="shared" si="62"/>
        <v/>
      </c>
      <c r="D539" t="str">
        <f t="shared" si="68"/>
        <v/>
      </c>
      <c r="H539">
        <f t="shared" si="64"/>
        <v>1</v>
      </c>
      <c r="I539" s="5" t="s">
        <v>742</v>
      </c>
      <c r="J539" s="5" t="s">
        <v>742</v>
      </c>
      <c r="K539" s="5" t="s">
        <v>742</v>
      </c>
      <c r="L539" s="7" t="s">
        <v>734</v>
      </c>
      <c r="Q539" t="s">
        <v>619</v>
      </c>
      <c r="R539">
        <v>84</v>
      </c>
      <c r="S539">
        <v>1</v>
      </c>
      <c r="T539" t="str">
        <f t="shared" si="63"/>
        <v>e</v>
      </c>
      <c r="U539" t="s">
        <v>15</v>
      </c>
      <c r="V539" t="s">
        <v>697</v>
      </c>
      <c r="X539" t="s">
        <v>706</v>
      </c>
      <c r="Y539" t="s">
        <v>683</v>
      </c>
      <c r="AA539" t="s">
        <v>706</v>
      </c>
      <c r="AF539" t="s">
        <v>623</v>
      </c>
      <c r="AM539" t="str">
        <f t="shared" si="66"/>
        <v>Possession</v>
      </c>
      <c r="AN539" t="str">
        <f t="shared" si="67"/>
        <v>PuckRetrieval</v>
      </c>
      <c r="AP539" t="str">
        <f t="shared" si="65"/>
        <v>Offensive</v>
      </c>
      <c r="BB539" s="23"/>
      <c r="BD539" s="21"/>
      <c r="BE539" s="21"/>
      <c r="BF539" s="21"/>
      <c r="BG539" s="21"/>
      <c r="BH539" s="21"/>
      <c r="BI539" s="21"/>
    </row>
    <row r="540" spans="1:61" x14ac:dyDescent="0.2">
      <c r="A540">
        <v>262</v>
      </c>
      <c r="B540">
        <v>49</v>
      </c>
      <c r="C540">
        <f t="shared" si="62"/>
        <v>9049</v>
      </c>
      <c r="D540">
        <f t="shared" si="68"/>
        <v>9049</v>
      </c>
      <c r="H540">
        <f t="shared" si="64"/>
        <v>1</v>
      </c>
      <c r="I540" s="5" t="s">
        <v>742</v>
      </c>
      <c r="J540" s="5" t="s">
        <v>734</v>
      </c>
      <c r="Q540" t="s">
        <v>620</v>
      </c>
      <c r="R540">
        <v>84</v>
      </c>
      <c r="S540">
        <v>1</v>
      </c>
      <c r="T540" t="str">
        <f t="shared" si="63"/>
        <v>e</v>
      </c>
      <c r="U540" t="s">
        <v>8</v>
      </c>
      <c r="V540" t="s">
        <v>189</v>
      </c>
      <c r="W540" t="s">
        <v>70</v>
      </c>
      <c r="X540" t="s">
        <v>706</v>
      </c>
      <c r="AF540" t="s">
        <v>623</v>
      </c>
      <c r="AM540" t="str">
        <f t="shared" si="66"/>
        <v>Pass</v>
      </c>
      <c r="AN540" t="str">
        <f t="shared" si="67"/>
        <v>Pass_Completed</v>
      </c>
      <c r="AP540" t="str">
        <f t="shared" si="65"/>
        <v>Offensive</v>
      </c>
      <c r="BB540" s="23"/>
      <c r="BD540" s="21"/>
      <c r="BE540" s="21"/>
      <c r="BF540" s="21"/>
      <c r="BG540" s="21"/>
      <c r="BH540" s="21"/>
      <c r="BI540" s="21"/>
    </row>
    <row r="541" spans="1:61" x14ac:dyDescent="0.2">
      <c r="A541">
        <v>262</v>
      </c>
      <c r="B541">
        <v>49</v>
      </c>
      <c r="C541">
        <f t="shared" si="62"/>
        <v>9049</v>
      </c>
      <c r="D541">
        <f t="shared" si="68"/>
        <v>9049</v>
      </c>
      <c r="H541">
        <f t="shared" si="64"/>
        <v>1</v>
      </c>
      <c r="R541">
        <v>24</v>
      </c>
      <c r="S541">
        <v>1</v>
      </c>
      <c r="T541" t="str">
        <f t="shared" si="63"/>
        <v>e</v>
      </c>
      <c r="AM541" t="str">
        <f t="shared" si="66"/>
        <v>Pass</v>
      </c>
      <c r="AN541" t="str">
        <f t="shared" si="67"/>
        <v>Pass_Completed</v>
      </c>
      <c r="AP541" t="str">
        <f t="shared" si="65"/>
        <v>Offensive</v>
      </c>
      <c r="BB541" s="23"/>
      <c r="BD541" s="21"/>
      <c r="BE541" s="21"/>
      <c r="BF541" s="21"/>
      <c r="BG541" s="21"/>
      <c r="BH541" s="21"/>
      <c r="BI541" s="21"/>
    </row>
    <row r="542" spans="1:61" x14ac:dyDescent="0.2">
      <c r="A542">
        <v>262</v>
      </c>
      <c r="B542">
        <v>49</v>
      </c>
      <c r="C542">
        <f t="shared" si="62"/>
        <v>9049</v>
      </c>
      <c r="D542">
        <f t="shared" si="68"/>
        <v>9049</v>
      </c>
      <c r="H542">
        <f t="shared" si="64"/>
        <v>1</v>
      </c>
      <c r="R542">
        <v>77</v>
      </c>
      <c r="T542" t="str">
        <f t="shared" si="63"/>
        <v>o</v>
      </c>
      <c r="Y542" t="s">
        <v>722</v>
      </c>
      <c r="AM542" t="str">
        <f t="shared" si="66"/>
        <v>Pass</v>
      </c>
      <c r="AN542" t="str">
        <f t="shared" si="67"/>
        <v>Pass_Completed</v>
      </c>
      <c r="AP542" t="str">
        <f t="shared" si="65"/>
        <v>Defensive</v>
      </c>
      <c r="BB542" s="23"/>
      <c r="BD542" s="21"/>
      <c r="BE542" s="21"/>
      <c r="BF542" s="21"/>
      <c r="BG542" s="21"/>
      <c r="BH542" s="21"/>
      <c r="BI542" s="21"/>
    </row>
    <row r="543" spans="1:61" x14ac:dyDescent="0.2">
      <c r="A543">
        <v>263</v>
      </c>
      <c r="B543">
        <v>49</v>
      </c>
      <c r="C543">
        <f t="shared" si="62"/>
        <v>9049</v>
      </c>
      <c r="D543">
        <f t="shared" si="68"/>
        <v>9049</v>
      </c>
      <c r="H543">
        <f t="shared" si="64"/>
        <v>1</v>
      </c>
      <c r="Q543" t="s">
        <v>620</v>
      </c>
      <c r="R543">
        <v>84</v>
      </c>
      <c r="S543">
        <v>1</v>
      </c>
      <c r="T543" t="str">
        <f t="shared" si="63"/>
        <v>e</v>
      </c>
      <c r="U543" t="s">
        <v>257</v>
      </c>
      <c r="V543" t="s">
        <v>201</v>
      </c>
      <c r="W543" t="s">
        <v>91</v>
      </c>
      <c r="X543" t="s">
        <v>706</v>
      </c>
      <c r="AF543" t="s">
        <v>623</v>
      </c>
      <c r="AM543" t="str">
        <f t="shared" si="66"/>
        <v>Zone_Entry_Exit</v>
      </c>
      <c r="AN543" t="str">
        <f t="shared" si="67"/>
        <v>Zone_Exit</v>
      </c>
      <c r="AP543" t="str">
        <f t="shared" si="65"/>
        <v>Offensive</v>
      </c>
      <c r="BB543" s="23"/>
      <c r="BD543" s="21"/>
      <c r="BE543" s="21"/>
      <c r="BF543" s="21"/>
      <c r="BG543" s="21"/>
      <c r="BH543" s="21"/>
      <c r="BI543" s="21"/>
    </row>
    <row r="544" spans="1:61" x14ac:dyDescent="0.2">
      <c r="A544">
        <v>263</v>
      </c>
      <c r="B544">
        <v>49</v>
      </c>
      <c r="C544">
        <f t="shared" si="62"/>
        <v>9049</v>
      </c>
      <c r="D544">
        <f t="shared" si="68"/>
        <v>9049</v>
      </c>
      <c r="H544">
        <f t="shared" si="64"/>
        <v>1</v>
      </c>
      <c r="R544">
        <v>24</v>
      </c>
      <c r="S544">
        <v>1</v>
      </c>
      <c r="T544" t="str">
        <f t="shared" si="63"/>
        <v>e</v>
      </c>
      <c r="AM544" t="str">
        <f t="shared" si="66"/>
        <v>Zone_Entry_Exit</v>
      </c>
      <c r="AN544" t="str">
        <f t="shared" si="67"/>
        <v>Zone_Exit</v>
      </c>
      <c r="AP544" t="str">
        <f t="shared" si="65"/>
        <v>Offensive</v>
      </c>
      <c r="BB544" s="23"/>
      <c r="BD544" s="21"/>
      <c r="BE544" s="21"/>
      <c r="BF544" s="21"/>
      <c r="BG544" s="21"/>
      <c r="BH544" s="21"/>
      <c r="BI544" s="21"/>
    </row>
    <row r="545" spans="1:61" x14ac:dyDescent="0.2">
      <c r="A545">
        <v>263</v>
      </c>
      <c r="B545">
        <v>49</v>
      </c>
      <c r="C545">
        <f t="shared" si="62"/>
        <v>9049</v>
      </c>
      <c r="D545">
        <f t="shared" si="68"/>
        <v>9049</v>
      </c>
      <c r="H545">
        <f t="shared" si="64"/>
        <v>1</v>
      </c>
      <c r="R545">
        <v>77</v>
      </c>
      <c r="T545" t="str">
        <f t="shared" si="63"/>
        <v>o</v>
      </c>
      <c r="AM545" t="str">
        <f t="shared" si="66"/>
        <v>Zone_Entry_Exit</v>
      </c>
      <c r="AN545" t="str">
        <f t="shared" si="67"/>
        <v>Zone_Exit</v>
      </c>
      <c r="AP545" t="str">
        <f t="shared" si="65"/>
        <v>Defensive</v>
      </c>
      <c r="BB545" s="23"/>
      <c r="BD545" s="21"/>
      <c r="BE545" s="21"/>
      <c r="BF545" s="21"/>
      <c r="BG545" s="21"/>
      <c r="BH545" s="21"/>
      <c r="BI545" s="21"/>
    </row>
    <row r="546" spans="1:61" x14ac:dyDescent="0.2">
      <c r="A546">
        <v>264</v>
      </c>
      <c r="B546" t="s">
        <v>887</v>
      </c>
      <c r="C546" t="str">
        <f t="shared" si="62"/>
        <v/>
      </c>
      <c r="D546" t="str">
        <f t="shared" si="68"/>
        <v/>
      </c>
      <c r="H546">
        <f t="shared" si="64"/>
        <v>1</v>
      </c>
      <c r="I546" s="5" t="s">
        <v>742</v>
      </c>
      <c r="J546" s="5" t="s">
        <v>735</v>
      </c>
      <c r="K546" s="5" t="s">
        <v>742</v>
      </c>
      <c r="L546" s="7" t="s">
        <v>447</v>
      </c>
      <c r="Q546" t="s">
        <v>620</v>
      </c>
      <c r="R546">
        <v>24</v>
      </c>
      <c r="S546">
        <v>1</v>
      </c>
      <c r="T546" t="str">
        <f t="shared" si="63"/>
        <v>e</v>
      </c>
      <c r="U546" t="s">
        <v>15</v>
      </c>
      <c r="AF546" t="s">
        <v>635</v>
      </c>
      <c r="AJ546">
        <v>1</v>
      </c>
      <c r="AK546">
        <v>1</v>
      </c>
      <c r="AM546" t="str">
        <f t="shared" si="66"/>
        <v>Possession</v>
      </c>
      <c r="AN546" t="str">
        <f t="shared" si="67"/>
        <v/>
      </c>
      <c r="AP546" t="str">
        <f t="shared" si="65"/>
        <v>Offensive</v>
      </c>
      <c r="BB546" s="23"/>
      <c r="BD546" s="21"/>
      <c r="BE546" s="21"/>
      <c r="BF546" s="21"/>
      <c r="BG546" s="21"/>
      <c r="BH546" s="21"/>
      <c r="BI546" s="21"/>
    </row>
    <row r="547" spans="1:61" x14ac:dyDescent="0.2">
      <c r="A547">
        <v>264</v>
      </c>
      <c r="B547" t="s">
        <v>887</v>
      </c>
      <c r="C547" t="str">
        <f t="shared" si="62"/>
        <v/>
      </c>
      <c r="D547" t="str">
        <f t="shared" si="68"/>
        <v/>
      </c>
      <c r="H547">
        <f t="shared" si="64"/>
        <v>1</v>
      </c>
      <c r="R547">
        <v>44</v>
      </c>
      <c r="T547" t="str">
        <f t="shared" si="63"/>
        <v>o</v>
      </c>
      <c r="Y547" t="s">
        <v>715</v>
      </c>
      <c r="AJ547">
        <v>1</v>
      </c>
      <c r="AK547">
        <v>1</v>
      </c>
      <c r="AM547" t="str">
        <f t="shared" si="66"/>
        <v>Possession</v>
      </c>
      <c r="AN547" t="str">
        <f t="shared" si="67"/>
        <v/>
      </c>
      <c r="AP547" t="str">
        <f t="shared" si="65"/>
        <v>Defensive</v>
      </c>
      <c r="BB547" s="23"/>
      <c r="BD547" s="21"/>
      <c r="BE547" s="21"/>
      <c r="BF547" s="21"/>
      <c r="BG547" s="21"/>
      <c r="BH547" s="21"/>
      <c r="BI547" s="21"/>
    </row>
    <row r="548" spans="1:61" x14ac:dyDescent="0.2">
      <c r="A548">
        <v>265</v>
      </c>
      <c r="B548" t="s">
        <v>887</v>
      </c>
      <c r="C548" t="str">
        <f t="shared" si="62"/>
        <v/>
      </c>
      <c r="D548" t="str">
        <f t="shared" si="68"/>
        <v/>
      </c>
      <c r="H548">
        <f t="shared" si="64"/>
        <v>1</v>
      </c>
      <c r="I548" s="5" t="s">
        <v>742</v>
      </c>
      <c r="J548" s="5" t="s">
        <v>447</v>
      </c>
      <c r="Q548" t="s">
        <v>619</v>
      </c>
      <c r="R548">
        <v>77</v>
      </c>
      <c r="S548">
        <v>1</v>
      </c>
      <c r="T548" t="str">
        <f t="shared" si="63"/>
        <v>e</v>
      </c>
      <c r="U548" t="s">
        <v>10</v>
      </c>
      <c r="V548" t="s">
        <v>200</v>
      </c>
      <c r="W548" t="s">
        <v>82</v>
      </c>
      <c r="Y548" t="s">
        <v>714</v>
      </c>
      <c r="AF548" t="s">
        <v>635</v>
      </c>
      <c r="AM548" t="str">
        <f t="shared" si="66"/>
        <v>Turnover</v>
      </c>
      <c r="AN548" t="str">
        <f t="shared" si="67"/>
        <v>Turnover_Takeaway</v>
      </c>
      <c r="AP548" t="str">
        <f t="shared" si="65"/>
        <v>Defensive</v>
      </c>
      <c r="BB548" s="23"/>
      <c r="BD548" s="21"/>
      <c r="BE548" s="21"/>
      <c r="BF548" s="21"/>
      <c r="BG548" s="21"/>
      <c r="BH548" s="21"/>
      <c r="BI548" s="21"/>
    </row>
    <row r="549" spans="1:61" x14ac:dyDescent="0.2">
      <c r="A549">
        <v>265</v>
      </c>
      <c r="B549" t="s">
        <v>887</v>
      </c>
      <c r="C549" t="str">
        <f t="shared" si="62"/>
        <v/>
      </c>
      <c r="D549" t="str">
        <f t="shared" si="68"/>
        <v/>
      </c>
      <c r="H549">
        <f t="shared" si="64"/>
        <v>1</v>
      </c>
      <c r="R549">
        <v>24</v>
      </c>
      <c r="T549" t="str">
        <f t="shared" si="63"/>
        <v>o</v>
      </c>
      <c r="AM549" t="str">
        <f t="shared" si="66"/>
        <v>Turnover</v>
      </c>
      <c r="AN549" t="str">
        <f t="shared" si="67"/>
        <v>Turnover_Takeaway</v>
      </c>
      <c r="AP549" t="str">
        <f t="shared" si="65"/>
        <v>Offensive</v>
      </c>
      <c r="BB549" s="23"/>
      <c r="BD549" s="21"/>
      <c r="BE549" s="21"/>
      <c r="BF549" s="21"/>
      <c r="BG549" s="21"/>
      <c r="BH549" s="21"/>
      <c r="BI549" s="21"/>
    </row>
    <row r="550" spans="1:61" x14ac:dyDescent="0.2">
      <c r="A550">
        <v>266</v>
      </c>
      <c r="B550" t="s">
        <v>887</v>
      </c>
      <c r="C550" t="str">
        <f t="shared" si="62"/>
        <v/>
      </c>
      <c r="D550" t="str">
        <f t="shared" si="68"/>
        <v/>
      </c>
      <c r="H550">
        <f t="shared" si="64"/>
        <v>1</v>
      </c>
      <c r="I550" s="5" t="s">
        <v>742</v>
      </c>
      <c r="J550" s="5" t="s">
        <v>785</v>
      </c>
      <c r="K550" s="5" t="s">
        <v>742</v>
      </c>
      <c r="L550" s="7" t="s">
        <v>786</v>
      </c>
      <c r="Q550" t="s">
        <v>619</v>
      </c>
      <c r="R550">
        <v>77</v>
      </c>
      <c r="S550">
        <v>1</v>
      </c>
      <c r="T550" t="str">
        <f t="shared" si="63"/>
        <v>e</v>
      </c>
      <c r="U550" t="s">
        <v>15</v>
      </c>
      <c r="AF550" t="s">
        <v>635</v>
      </c>
      <c r="AJ550">
        <v>1</v>
      </c>
      <c r="AK550">
        <v>1</v>
      </c>
      <c r="AM550" t="str">
        <f t="shared" si="66"/>
        <v>Possession</v>
      </c>
      <c r="AN550" t="str">
        <f t="shared" si="67"/>
        <v/>
      </c>
      <c r="AP550" t="str">
        <f t="shared" si="65"/>
        <v>Offensive</v>
      </c>
      <c r="BB550" s="23"/>
      <c r="BD550" s="21"/>
      <c r="BE550" s="21"/>
      <c r="BF550" s="21"/>
      <c r="BG550" s="21"/>
      <c r="BH550" s="21"/>
      <c r="BI550" s="21"/>
    </row>
    <row r="551" spans="1:61" x14ac:dyDescent="0.2">
      <c r="A551">
        <v>266</v>
      </c>
      <c r="B551" t="s">
        <v>887</v>
      </c>
      <c r="C551" t="str">
        <f t="shared" si="62"/>
        <v/>
      </c>
      <c r="D551" t="str">
        <f t="shared" si="68"/>
        <v/>
      </c>
      <c r="H551">
        <f t="shared" si="64"/>
        <v>1</v>
      </c>
      <c r="R551">
        <v>42</v>
      </c>
      <c r="T551" t="str">
        <f t="shared" si="63"/>
        <v>o</v>
      </c>
      <c r="Y551" t="s">
        <v>715</v>
      </c>
      <c r="AJ551">
        <v>1</v>
      </c>
      <c r="AK551">
        <v>1</v>
      </c>
      <c r="AM551" t="str">
        <f t="shared" si="66"/>
        <v>Possession</v>
      </c>
      <c r="AN551" t="str">
        <f t="shared" si="67"/>
        <v/>
      </c>
      <c r="AP551" t="str">
        <f t="shared" si="65"/>
        <v>Defensive</v>
      </c>
      <c r="BB551" s="23"/>
      <c r="BD551" s="21"/>
      <c r="BE551" s="21"/>
      <c r="BF551" s="21"/>
      <c r="BG551" s="21"/>
      <c r="BH551" s="21"/>
      <c r="BI551" s="21"/>
    </row>
    <row r="552" spans="1:61" x14ac:dyDescent="0.2">
      <c r="A552">
        <v>267</v>
      </c>
      <c r="B552" t="s">
        <v>887</v>
      </c>
      <c r="C552" t="str">
        <f t="shared" si="62"/>
        <v/>
      </c>
      <c r="D552" t="str">
        <f t="shared" si="68"/>
        <v/>
      </c>
      <c r="H552">
        <f t="shared" si="64"/>
        <v>1</v>
      </c>
      <c r="I552" s="5" t="s">
        <v>742</v>
      </c>
      <c r="J552" s="5" t="s">
        <v>786</v>
      </c>
      <c r="K552" s="5" t="s">
        <v>734</v>
      </c>
      <c r="L552" s="7" t="s">
        <v>637</v>
      </c>
      <c r="Q552" t="s">
        <v>619</v>
      </c>
      <c r="R552">
        <v>77</v>
      </c>
      <c r="S552">
        <v>1</v>
      </c>
      <c r="T552" t="str">
        <f t="shared" si="63"/>
        <v>e</v>
      </c>
      <c r="U552" t="s">
        <v>257</v>
      </c>
      <c r="V552" t="s">
        <v>191</v>
      </c>
      <c r="W552" t="s">
        <v>87</v>
      </c>
      <c r="X552" t="s">
        <v>706</v>
      </c>
      <c r="Y552" t="s">
        <v>728</v>
      </c>
      <c r="AF552" t="s">
        <v>401</v>
      </c>
      <c r="AJ552">
        <v>1</v>
      </c>
      <c r="AK552">
        <v>1</v>
      </c>
      <c r="AM552" t="str">
        <f t="shared" si="66"/>
        <v>Zone_Entry_Exit</v>
      </c>
      <c r="AN552" t="str">
        <f t="shared" si="67"/>
        <v>Zone_Entry</v>
      </c>
      <c r="AP552" t="str">
        <f t="shared" si="65"/>
        <v>Offensive</v>
      </c>
      <c r="BB552" s="23"/>
      <c r="BD552" s="21"/>
      <c r="BE552" s="21"/>
      <c r="BF552" s="21"/>
      <c r="BG552" s="21"/>
      <c r="BH552" s="21"/>
      <c r="BI552" s="21"/>
    </row>
    <row r="553" spans="1:61" x14ac:dyDescent="0.2">
      <c r="A553">
        <v>267</v>
      </c>
      <c r="B553" t="s">
        <v>887</v>
      </c>
      <c r="C553" t="str">
        <f t="shared" si="62"/>
        <v/>
      </c>
      <c r="D553" t="str">
        <f t="shared" si="68"/>
        <v/>
      </c>
      <c r="H553">
        <f t="shared" si="64"/>
        <v>1</v>
      </c>
      <c r="R553">
        <v>42</v>
      </c>
      <c r="T553" t="str">
        <f t="shared" si="63"/>
        <v>o</v>
      </c>
      <c r="Y553" t="s">
        <v>715</v>
      </c>
      <c r="AJ553">
        <v>1</v>
      </c>
      <c r="AK553">
        <v>1</v>
      </c>
      <c r="AM553" t="str">
        <f t="shared" si="66"/>
        <v>Zone_Entry_Exit</v>
      </c>
      <c r="AN553" t="str">
        <f t="shared" si="67"/>
        <v>Zone_Entry</v>
      </c>
      <c r="AP553" t="str">
        <f t="shared" si="65"/>
        <v>Defensive</v>
      </c>
      <c r="BB553" s="23"/>
      <c r="BD553" s="21"/>
      <c r="BE553" s="21"/>
      <c r="BF553" s="21"/>
      <c r="BG553" s="21"/>
      <c r="BH553" s="21"/>
      <c r="BI553" s="21"/>
    </row>
    <row r="554" spans="1:61" x14ac:dyDescent="0.2">
      <c r="A554">
        <v>267</v>
      </c>
      <c r="B554" t="s">
        <v>887</v>
      </c>
      <c r="C554" t="str">
        <f t="shared" si="62"/>
        <v/>
      </c>
      <c r="D554" t="str">
        <f t="shared" si="68"/>
        <v/>
      </c>
      <c r="H554">
        <f t="shared" si="64"/>
        <v>1</v>
      </c>
      <c r="R554">
        <v>84</v>
      </c>
      <c r="T554" t="str">
        <f t="shared" si="63"/>
        <v>o</v>
      </c>
      <c r="Y554" t="s">
        <v>729</v>
      </c>
      <c r="AA554" t="s">
        <v>706</v>
      </c>
      <c r="AJ554">
        <v>1</v>
      </c>
      <c r="AK554">
        <v>1</v>
      </c>
      <c r="AM554" t="str">
        <f t="shared" si="66"/>
        <v>Zone_Entry_Exit</v>
      </c>
      <c r="AN554" t="str">
        <f t="shared" si="67"/>
        <v>Zone_Entry</v>
      </c>
      <c r="AP554" t="str">
        <f t="shared" si="65"/>
        <v>Defensive</v>
      </c>
      <c r="BB554" s="23"/>
      <c r="BD554" s="21"/>
      <c r="BE554" s="21"/>
      <c r="BF554" s="21"/>
      <c r="BG554" s="21"/>
      <c r="BH554" s="21"/>
      <c r="BI554" s="21"/>
    </row>
    <row r="555" spans="1:61" x14ac:dyDescent="0.2">
      <c r="A555">
        <v>267</v>
      </c>
      <c r="B555" t="s">
        <v>887</v>
      </c>
      <c r="C555" t="str">
        <f t="shared" si="62"/>
        <v/>
      </c>
      <c r="D555" t="str">
        <f t="shared" si="68"/>
        <v/>
      </c>
      <c r="H555">
        <f t="shared" si="64"/>
        <v>1</v>
      </c>
      <c r="R555">
        <v>22</v>
      </c>
      <c r="T555" t="str">
        <f t="shared" si="63"/>
        <v>o</v>
      </c>
      <c r="AM555" t="str">
        <f t="shared" si="66"/>
        <v>Zone_Entry_Exit</v>
      </c>
      <c r="AN555" t="str">
        <f t="shared" si="67"/>
        <v>Zone_Entry</v>
      </c>
      <c r="AP555" t="str">
        <f t="shared" si="65"/>
        <v>Defensive</v>
      </c>
      <c r="BB555" s="23"/>
      <c r="BD555" s="21"/>
      <c r="BE555" s="21"/>
      <c r="BF555" s="21"/>
      <c r="BG555" s="21"/>
      <c r="BH555" s="21"/>
      <c r="BI555" s="21"/>
    </row>
    <row r="556" spans="1:61" x14ac:dyDescent="0.2">
      <c r="A556">
        <v>268</v>
      </c>
      <c r="B556" t="s">
        <v>887</v>
      </c>
      <c r="C556" t="str">
        <f t="shared" si="62"/>
        <v/>
      </c>
      <c r="D556" t="str">
        <f t="shared" si="68"/>
        <v/>
      </c>
      <c r="H556">
        <f t="shared" si="64"/>
        <v>1</v>
      </c>
      <c r="I556" s="5" t="s">
        <v>734</v>
      </c>
      <c r="J556" s="5" t="s">
        <v>637</v>
      </c>
      <c r="Q556" t="s">
        <v>620</v>
      </c>
      <c r="R556">
        <v>84</v>
      </c>
      <c r="S556">
        <v>1</v>
      </c>
      <c r="T556" t="str">
        <f t="shared" si="63"/>
        <v>e</v>
      </c>
      <c r="U556" t="s">
        <v>10</v>
      </c>
      <c r="V556" t="s">
        <v>200</v>
      </c>
      <c r="W556" t="s">
        <v>82</v>
      </c>
      <c r="X556" t="s">
        <v>706</v>
      </c>
      <c r="Y556" t="s">
        <v>774</v>
      </c>
      <c r="AA556" t="s">
        <v>706</v>
      </c>
      <c r="AF556" t="s">
        <v>623</v>
      </c>
      <c r="AJ556">
        <v>1</v>
      </c>
      <c r="AK556">
        <v>1</v>
      </c>
      <c r="AM556" t="str">
        <f t="shared" si="66"/>
        <v>Turnover</v>
      </c>
      <c r="AN556" t="str">
        <f t="shared" si="67"/>
        <v>Turnover_Takeaway</v>
      </c>
      <c r="AP556" t="str">
        <f t="shared" si="65"/>
        <v>Defensive</v>
      </c>
      <c r="BB556" s="23"/>
      <c r="BD556" s="21"/>
      <c r="BE556" s="21"/>
      <c r="BF556" s="21"/>
      <c r="BG556" s="21"/>
      <c r="BH556" s="21"/>
      <c r="BI556" s="21"/>
    </row>
    <row r="557" spans="1:61" x14ac:dyDescent="0.2">
      <c r="A557">
        <v>268</v>
      </c>
      <c r="B557" t="s">
        <v>887</v>
      </c>
      <c r="C557" t="str">
        <f t="shared" si="62"/>
        <v/>
      </c>
      <c r="D557" t="str">
        <f t="shared" si="68"/>
        <v/>
      </c>
      <c r="H557">
        <f t="shared" si="64"/>
        <v>1</v>
      </c>
      <c r="R557">
        <v>77</v>
      </c>
      <c r="T557" t="str">
        <f t="shared" si="63"/>
        <v>o</v>
      </c>
      <c r="AJ557">
        <v>1</v>
      </c>
      <c r="AK557">
        <v>1</v>
      </c>
      <c r="AM557" t="str">
        <f t="shared" si="66"/>
        <v>Turnover</v>
      </c>
      <c r="AN557" t="str">
        <f t="shared" si="67"/>
        <v>Turnover_Takeaway</v>
      </c>
      <c r="AP557" t="str">
        <f t="shared" si="65"/>
        <v>Offensive</v>
      </c>
      <c r="BB557" s="23"/>
      <c r="BD557" s="21"/>
      <c r="BE557" s="21"/>
      <c r="BF557" s="21"/>
      <c r="BG557" s="21"/>
      <c r="BH557" s="21"/>
      <c r="BI557" s="21"/>
    </row>
    <row r="558" spans="1:61" x14ac:dyDescent="0.2">
      <c r="A558">
        <v>269</v>
      </c>
      <c r="B558" t="s">
        <v>887</v>
      </c>
      <c r="C558" t="str">
        <f t="shared" si="62"/>
        <v/>
      </c>
      <c r="D558" t="str">
        <f t="shared" si="68"/>
        <v/>
      </c>
      <c r="H558">
        <f t="shared" si="64"/>
        <v>1</v>
      </c>
      <c r="I558" s="5" t="s">
        <v>734</v>
      </c>
      <c r="J558" s="5" t="s">
        <v>637</v>
      </c>
      <c r="K558" s="5" t="s">
        <v>734</v>
      </c>
      <c r="L558" s="7" t="s">
        <v>788</v>
      </c>
      <c r="Q558" t="s">
        <v>620</v>
      </c>
      <c r="R558">
        <v>42</v>
      </c>
      <c r="S558">
        <v>1</v>
      </c>
      <c r="T558" t="str">
        <f t="shared" si="63"/>
        <v>e</v>
      </c>
      <c r="U558" t="s">
        <v>15</v>
      </c>
      <c r="V558" t="s">
        <v>697</v>
      </c>
      <c r="X558" t="s">
        <v>706</v>
      </c>
      <c r="Y558" t="s">
        <v>712</v>
      </c>
      <c r="AA558" t="s">
        <v>706</v>
      </c>
      <c r="AF558" t="s">
        <v>623</v>
      </c>
      <c r="AJ558">
        <v>1</v>
      </c>
      <c r="AK558">
        <v>1</v>
      </c>
      <c r="AM558" t="str">
        <f t="shared" si="66"/>
        <v>Possession</v>
      </c>
      <c r="AN558" t="str">
        <f t="shared" si="67"/>
        <v>PuckRetrieval</v>
      </c>
      <c r="AP558" t="str">
        <f t="shared" si="65"/>
        <v>Offensive</v>
      </c>
      <c r="BB558" s="23"/>
      <c r="BD558" s="21"/>
      <c r="BE558" s="21"/>
      <c r="BF558" s="21"/>
      <c r="BG558" s="21"/>
      <c r="BH558" s="21"/>
      <c r="BI558" s="21"/>
    </row>
    <row r="559" spans="1:61" x14ac:dyDescent="0.2">
      <c r="A559">
        <v>269</v>
      </c>
      <c r="B559" t="s">
        <v>887</v>
      </c>
      <c r="C559" t="str">
        <f t="shared" si="62"/>
        <v/>
      </c>
      <c r="D559" t="str">
        <f t="shared" si="68"/>
        <v/>
      </c>
      <c r="H559">
        <f t="shared" si="64"/>
        <v>1</v>
      </c>
      <c r="R559">
        <v>13</v>
      </c>
      <c r="S559">
        <v>1</v>
      </c>
      <c r="T559" t="str">
        <f t="shared" si="63"/>
        <v>e</v>
      </c>
      <c r="AJ559">
        <v>1</v>
      </c>
      <c r="AK559">
        <v>1</v>
      </c>
      <c r="AM559" t="str">
        <f t="shared" si="66"/>
        <v>Possession</v>
      </c>
      <c r="AN559" t="str">
        <f t="shared" si="67"/>
        <v>PuckRetrieval</v>
      </c>
      <c r="AP559" t="str">
        <f t="shared" si="65"/>
        <v>Offensive</v>
      </c>
      <c r="BB559" s="23"/>
      <c r="BD559" s="21"/>
      <c r="BE559" s="21"/>
      <c r="BF559" s="21"/>
      <c r="BG559" s="21"/>
      <c r="BH559" s="21"/>
      <c r="BI559" s="21"/>
    </row>
    <row r="560" spans="1:61" x14ac:dyDescent="0.2">
      <c r="A560">
        <v>270</v>
      </c>
      <c r="B560" t="s">
        <v>887</v>
      </c>
      <c r="C560" t="str">
        <f t="shared" si="62"/>
        <v/>
      </c>
      <c r="D560" t="str">
        <f t="shared" si="68"/>
        <v/>
      </c>
      <c r="H560">
        <f t="shared" si="64"/>
        <v>1</v>
      </c>
      <c r="I560" s="5" t="s">
        <v>734</v>
      </c>
      <c r="J560" s="5" t="s">
        <v>788</v>
      </c>
      <c r="Q560" t="s">
        <v>620</v>
      </c>
      <c r="R560">
        <v>42</v>
      </c>
      <c r="S560">
        <v>1</v>
      </c>
      <c r="T560" t="str">
        <f t="shared" si="63"/>
        <v>e</v>
      </c>
      <c r="U560" t="s">
        <v>8</v>
      </c>
      <c r="V560" t="s">
        <v>189</v>
      </c>
      <c r="W560" t="s">
        <v>69</v>
      </c>
      <c r="X560" t="s">
        <v>706</v>
      </c>
      <c r="Y560" t="s">
        <v>784</v>
      </c>
      <c r="AA560" t="s">
        <v>706</v>
      </c>
      <c r="AF560" t="s">
        <v>623</v>
      </c>
      <c r="AJ560">
        <v>1</v>
      </c>
      <c r="AK560">
        <v>1</v>
      </c>
      <c r="AM560" t="str">
        <f t="shared" si="66"/>
        <v>Pass</v>
      </c>
      <c r="AN560" t="str">
        <f t="shared" si="67"/>
        <v>Pass_Completed</v>
      </c>
      <c r="AP560" t="str">
        <f t="shared" si="65"/>
        <v>Offensive</v>
      </c>
      <c r="BB560" s="23"/>
      <c r="BD560" s="21"/>
      <c r="BE560" s="21"/>
      <c r="BF560" s="21"/>
      <c r="BG560" s="21"/>
      <c r="BH560" s="21"/>
      <c r="BI560" s="21"/>
    </row>
    <row r="561" spans="1:61" x14ac:dyDescent="0.2">
      <c r="A561">
        <v>270</v>
      </c>
      <c r="B561" t="s">
        <v>887</v>
      </c>
      <c r="C561" t="str">
        <f t="shared" si="62"/>
        <v/>
      </c>
      <c r="D561" t="str">
        <f t="shared" si="68"/>
        <v/>
      </c>
      <c r="H561">
        <f t="shared" si="64"/>
        <v>1</v>
      </c>
      <c r="R561">
        <v>84</v>
      </c>
      <c r="S561">
        <v>1</v>
      </c>
      <c r="T561" t="str">
        <f t="shared" si="63"/>
        <v>e</v>
      </c>
      <c r="AJ561">
        <v>1</v>
      </c>
      <c r="AK561">
        <v>1</v>
      </c>
      <c r="AM561" t="str">
        <f t="shared" si="66"/>
        <v>Pass</v>
      </c>
      <c r="AN561" t="str">
        <f t="shared" si="67"/>
        <v>Pass_Completed</v>
      </c>
      <c r="AP561" t="str">
        <f t="shared" si="65"/>
        <v>Offensive</v>
      </c>
      <c r="BB561" s="23"/>
      <c r="BD561" s="21"/>
      <c r="BE561" s="21"/>
      <c r="BF561" s="21"/>
      <c r="BG561" s="21"/>
      <c r="BH561" s="21"/>
      <c r="BI561" s="21"/>
    </row>
    <row r="562" spans="1:61" x14ac:dyDescent="0.2">
      <c r="A562">
        <v>270</v>
      </c>
      <c r="B562" t="s">
        <v>887</v>
      </c>
      <c r="C562" t="str">
        <f t="shared" si="62"/>
        <v/>
      </c>
      <c r="D562" t="str">
        <f t="shared" si="68"/>
        <v/>
      </c>
      <c r="H562">
        <f t="shared" si="64"/>
        <v>1</v>
      </c>
      <c r="R562">
        <v>13</v>
      </c>
      <c r="T562" t="str">
        <f t="shared" si="63"/>
        <v>o</v>
      </c>
      <c r="Y562" t="s">
        <v>715</v>
      </c>
      <c r="AJ562">
        <v>1</v>
      </c>
      <c r="AK562">
        <v>1</v>
      </c>
      <c r="AM562" t="str">
        <f t="shared" si="66"/>
        <v>Pass</v>
      </c>
      <c r="AN562" t="str">
        <f t="shared" si="67"/>
        <v>Pass_Completed</v>
      </c>
      <c r="AP562" t="str">
        <f t="shared" si="65"/>
        <v>Defensive</v>
      </c>
      <c r="BB562" s="23"/>
      <c r="BD562" s="21"/>
      <c r="BE562" s="21"/>
      <c r="BF562" s="21"/>
      <c r="BG562" s="21"/>
      <c r="BH562" s="21"/>
      <c r="BI562" s="21"/>
    </row>
    <row r="563" spans="1:61" x14ac:dyDescent="0.2">
      <c r="A563">
        <v>271</v>
      </c>
      <c r="B563" t="s">
        <v>887</v>
      </c>
      <c r="C563" t="str">
        <f t="shared" si="62"/>
        <v/>
      </c>
      <c r="D563" t="str">
        <f t="shared" si="68"/>
        <v/>
      </c>
      <c r="H563">
        <f t="shared" si="64"/>
        <v>1</v>
      </c>
      <c r="I563" s="5" t="s">
        <v>734</v>
      </c>
      <c r="J563" s="5" t="s">
        <v>639</v>
      </c>
      <c r="K563" s="5" t="s">
        <v>734</v>
      </c>
      <c r="L563" s="7" t="s">
        <v>673</v>
      </c>
      <c r="Q563" t="s">
        <v>620</v>
      </c>
      <c r="R563">
        <v>84</v>
      </c>
      <c r="S563">
        <v>1</v>
      </c>
      <c r="T563" t="str">
        <f t="shared" si="63"/>
        <v>e</v>
      </c>
      <c r="U563" t="s">
        <v>257</v>
      </c>
      <c r="V563" t="s">
        <v>201</v>
      </c>
      <c r="W563" t="s">
        <v>90</v>
      </c>
      <c r="X563" t="s">
        <v>706</v>
      </c>
      <c r="AF563" t="s">
        <v>623</v>
      </c>
      <c r="AM563" t="str">
        <f t="shared" si="66"/>
        <v>Zone_Entry_Exit</v>
      </c>
      <c r="AN563" t="str">
        <f t="shared" si="67"/>
        <v>Zone_Exit</v>
      </c>
      <c r="AP563" t="str">
        <f t="shared" si="65"/>
        <v>Offensive</v>
      </c>
      <c r="BB563" s="23"/>
      <c r="BD563" s="21"/>
      <c r="BE563" s="21"/>
      <c r="BF563" s="21"/>
      <c r="BG563" s="21"/>
      <c r="BH563" s="21"/>
      <c r="BI563" s="21"/>
    </row>
    <row r="564" spans="1:61" x14ac:dyDescent="0.2">
      <c r="A564">
        <v>272</v>
      </c>
      <c r="B564" t="s">
        <v>887</v>
      </c>
      <c r="C564" t="str">
        <f t="shared" si="62"/>
        <v/>
      </c>
      <c r="D564" t="str">
        <f t="shared" si="68"/>
        <v/>
      </c>
      <c r="H564">
        <f t="shared" si="64"/>
        <v>1</v>
      </c>
      <c r="I564" s="5" t="s">
        <v>734</v>
      </c>
      <c r="J564" s="5" t="s">
        <v>673</v>
      </c>
      <c r="K564" s="5" t="s">
        <v>734</v>
      </c>
      <c r="L564" s="7" t="s">
        <v>673</v>
      </c>
      <c r="Q564" t="s">
        <v>620</v>
      </c>
      <c r="R564">
        <v>84</v>
      </c>
      <c r="S564">
        <v>1</v>
      </c>
      <c r="T564" t="str">
        <f t="shared" si="63"/>
        <v>e</v>
      </c>
      <c r="U564" t="s">
        <v>15</v>
      </c>
      <c r="AF564" t="s">
        <v>635</v>
      </c>
      <c r="AM564" t="str">
        <f t="shared" si="66"/>
        <v>Possession</v>
      </c>
      <c r="AN564" t="str">
        <f t="shared" si="67"/>
        <v/>
      </c>
      <c r="AP564" t="str">
        <f t="shared" si="65"/>
        <v>Offensive</v>
      </c>
      <c r="BB564" s="23"/>
      <c r="BD564" s="21"/>
      <c r="BE564" s="21"/>
      <c r="BF564" s="21"/>
      <c r="BG564" s="21"/>
      <c r="BH564" s="21"/>
      <c r="BI564" s="21"/>
    </row>
    <row r="565" spans="1:61" x14ac:dyDescent="0.2">
      <c r="A565">
        <v>273</v>
      </c>
      <c r="B565" t="s">
        <v>887</v>
      </c>
      <c r="C565" t="str">
        <f t="shared" si="62"/>
        <v/>
      </c>
      <c r="D565" t="str">
        <f t="shared" si="68"/>
        <v/>
      </c>
      <c r="H565">
        <f t="shared" si="64"/>
        <v>1</v>
      </c>
      <c r="I565" s="5" t="s">
        <v>734</v>
      </c>
      <c r="J565" s="5" t="s">
        <v>673</v>
      </c>
      <c r="K565" s="5" t="s">
        <v>734</v>
      </c>
      <c r="L565" s="7" t="s">
        <v>711</v>
      </c>
      <c r="Q565" t="s">
        <v>620</v>
      </c>
      <c r="R565">
        <v>84</v>
      </c>
      <c r="S565">
        <v>1</v>
      </c>
      <c r="T565" t="str">
        <f t="shared" si="63"/>
        <v>e</v>
      </c>
      <c r="U565" t="s">
        <v>257</v>
      </c>
      <c r="V565" t="s">
        <v>191</v>
      </c>
      <c r="W565" t="s">
        <v>87</v>
      </c>
      <c r="X565" t="s">
        <v>706</v>
      </c>
      <c r="Y565" t="s">
        <v>728</v>
      </c>
      <c r="Z565" t="s">
        <v>777</v>
      </c>
      <c r="AA565" t="s">
        <v>706</v>
      </c>
      <c r="AF565" t="s">
        <v>401</v>
      </c>
      <c r="AJ565">
        <v>1</v>
      </c>
      <c r="AK565">
        <v>1</v>
      </c>
      <c r="AM565" t="str">
        <f t="shared" si="66"/>
        <v>Zone_Entry_Exit</v>
      </c>
      <c r="AN565" t="str">
        <f t="shared" si="67"/>
        <v>Zone_Entry</v>
      </c>
      <c r="AP565" t="str">
        <f t="shared" si="65"/>
        <v>Offensive</v>
      </c>
      <c r="BB565" s="23"/>
      <c r="BD565" s="21"/>
      <c r="BE565" s="21"/>
      <c r="BF565" s="21"/>
      <c r="BG565" s="21"/>
      <c r="BH565" s="21"/>
      <c r="BI565" s="21"/>
    </row>
    <row r="566" spans="1:61" x14ac:dyDescent="0.2">
      <c r="A566">
        <v>273</v>
      </c>
      <c r="B566" t="s">
        <v>887</v>
      </c>
      <c r="C566" t="str">
        <f t="shared" si="62"/>
        <v/>
      </c>
      <c r="D566" t="str">
        <f t="shared" si="68"/>
        <v/>
      </c>
      <c r="H566">
        <f t="shared" si="64"/>
        <v>1</v>
      </c>
      <c r="R566">
        <v>24</v>
      </c>
      <c r="S566">
        <v>1</v>
      </c>
      <c r="T566" t="str">
        <f t="shared" si="63"/>
        <v>e</v>
      </c>
      <c r="AM566" t="str">
        <f t="shared" si="66"/>
        <v>Zone_Entry_Exit</v>
      </c>
      <c r="AN566" t="str">
        <f t="shared" si="67"/>
        <v>Zone_Entry</v>
      </c>
      <c r="AP566" t="str">
        <f t="shared" si="65"/>
        <v>Offensive</v>
      </c>
      <c r="BB566" s="23"/>
      <c r="BD566" s="21"/>
      <c r="BE566" s="21"/>
      <c r="BF566" s="21"/>
      <c r="BG566" s="21"/>
      <c r="BH566" s="21"/>
      <c r="BI566" s="21"/>
    </row>
    <row r="567" spans="1:61" x14ac:dyDescent="0.2">
      <c r="A567">
        <v>273</v>
      </c>
      <c r="B567" t="s">
        <v>887</v>
      </c>
      <c r="C567" t="str">
        <f t="shared" si="62"/>
        <v/>
      </c>
      <c r="D567" t="str">
        <f t="shared" si="68"/>
        <v/>
      </c>
      <c r="H567">
        <f t="shared" si="64"/>
        <v>1</v>
      </c>
      <c r="R567">
        <v>3</v>
      </c>
      <c r="T567" t="str">
        <f t="shared" si="63"/>
        <v>o</v>
      </c>
      <c r="Y567" t="s">
        <v>787</v>
      </c>
      <c r="AA567" t="s">
        <v>705</v>
      </c>
      <c r="AJ567">
        <v>1</v>
      </c>
      <c r="AK567">
        <v>1</v>
      </c>
      <c r="AM567" t="str">
        <f t="shared" si="66"/>
        <v>Zone_Entry_Exit</v>
      </c>
      <c r="AN567" t="str">
        <f t="shared" si="67"/>
        <v>Zone_Entry</v>
      </c>
      <c r="AP567" t="str">
        <f t="shared" si="65"/>
        <v>Defensive</v>
      </c>
      <c r="BB567" s="23"/>
      <c r="BD567" s="21"/>
      <c r="BE567" s="21"/>
      <c r="BF567" s="21"/>
      <c r="BG567" s="21"/>
      <c r="BH567" s="21"/>
      <c r="BI567" s="21"/>
    </row>
    <row r="568" spans="1:61" x14ac:dyDescent="0.2">
      <c r="A568">
        <v>273</v>
      </c>
      <c r="B568" t="s">
        <v>887</v>
      </c>
      <c r="C568" t="str">
        <f t="shared" si="62"/>
        <v/>
      </c>
      <c r="D568" t="str">
        <f t="shared" si="68"/>
        <v/>
      </c>
      <c r="H568">
        <f t="shared" si="64"/>
        <v>1</v>
      </c>
      <c r="R568">
        <v>44</v>
      </c>
      <c r="T568" t="str">
        <f t="shared" si="63"/>
        <v>o</v>
      </c>
      <c r="AJ568">
        <v>1</v>
      </c>
      <c r="AK568">
        <v>1</v>
      </c>
      <c r="AM568" t="str">
        <f t="shared" si="66"/>
        <v>Zone_Entry_Exit</v>
      </c>
      <c r="AN568" t="str">
        <f t="shared" si="67"/>
        <v>Zone_Entry</v>
      </c>
      <c r="AP568" t="str">
        <f t="shared" si="65"/>
        <v>Defensive</v>
      </c>
      <c r="BB568" s="23"/>
      <c r="BD568" s="21"/>
      <c r="BE568" s="21"/>
      <c r="BF568" s="21"/>
      <c r="BG568" s="21"/>
      <c r="BH568" s="21"/>
      <c r="BI568" s="21"/>
    </row>
    <row r="569" spans="1:61" x14ac:dyDescent="0.2">
      <c r="A569">
        <v>273</v>
      </c>
      <c r="B569" t="s">
        <v>887</v>
      </c>
      <c r="C569" t="str">
        <f t="shared" si="62"/>
        <v/>
      </c>
      <c r="D569" t="str">
        <f t="shared" si="68"/>
        <v/>
      </c>
      <c r="H569">
        <f t="shared" si="64"/>
        <v>1</v>
      </c>
      <c r="R569">
        <v>18</v>
      </c>
      <c r="T569" t="str">
        <f t="shared" si="63"/>
        <v>o</v>
      </c>
      <c r="AM569" t="str">
        <f t="shared" si="66"/>
        <v>Zone_Entry_Exit</v>
      </c>
      <c r="AN569" t="str">
        <f t="shared" si="67"/>
        <v>Zone_Entry</v>
      </c>
      <c r="AP569" t="str">
        <f t="shared" si="65"/>
        <v>Defensive</v>
      </c>
      <c r="BB569" s="23"/>
      <c r="BD569" s="21"/>
      <c r="BE569" s="21"/>
      <c r="BF569" s="21"/>
      <c r="BG569" s="21"/>
      <c r="BH569" s="21"/>
      <c r="BI569" s="21"/>
    </row>
    <row r="570" spans="1:61" x14ac:dyDescent="0.2">
      <c r="A570">
        <v>273</v>
      </c>
      <c r="B570" t="s">
        <v>887</v>
      </c>
      <c r="C570" t="str">
        <f t="shared" si="62"/>
        <v/>
      </c>
      <c r="D570" t="str">
        <f t="shared" si="68"/>
        <v/>
      </c>
      <c r="H570">
        <f t="shared" si="64"/>
        <v>1</v>
      </c>
      <c r="R570">
        <v>56</v>
      </c>
      <c r="T570" t="str">
        <f t="shared" si="63"/>
        <v>o</v>
      </c>
      <c r="AM570" t="str">
        <f t="shared" si="66"/>
        <v>Zone_Entry_Exit</v>
      </c>
      <c r="AN570" t="str">
        <f t="shared" si="67"/>
        <v>Zone_Entry</v>
      </c>
      <c r="AP570" t="str">
        <f t="shared" si="65"/>
        <v>Defensive</v>
      </c>
      <c r="BB570" s="23"/>
      <c r="BD570" s="21"/>
      <c r="BE570" s="21"/>
      <c r="BF570" s="21"/>
      <c r="BG570" s="21"/>
      <c r="BH570" s="21"/>
      <c r="BI570" s="21"/>
    </row>
    <row r="571" spans="1:61" x14ac:dyDescent="0.2">
      <c r="A571">
        <v>274</v>
      </c>
      <c r="B571" t="s">
        <v>887</v>
      </c>
      <c r="C571" t="str">
        <f t="shared" si="62"/>
        <v/>
      </c>
      <c r="D571" t="str">
        <f t="shared" si="68"/>
        <v/>
      </c>
      <c r="H571">
        <f t="shared" si="64"/>
        <v>1</v>
      </c>
      <c r="I571" s="5" t="s">
        <v>734</v>
      </c>
      <c r="J571" s="5" t="s">
        <v>711</v>
      </c>
      <c r="K571" s="5" t="s">
        <v>734</v>
      </c>
      <c r="L571" s="7" t="s">
        <v>716</v>
      </c>
      <c r="Q571" t="s">
        <v>620</v>
      </c>
      <c r="R571">
        <v>84</v>
      </c>
      <c r="S571">
        <v>1</v>
      </c>
      <c r="T571" t="str">
        <f t="shared" si="63"/>
        <v>e</v>
      </c>
      <c r="U571" t="s">
        <v>15</v>
      </c>
      <c r="AF571" t="s">
        <v>401</v>
      </c>
      <c r="AJ571">
        <v>1</v>
      </c>
      <c r="AK571">
        <v>1</v>
      </c>
      <c r="AM571" t="str">
        <f t="shared" si="66"/>
        <v>Possession</v>
      </c>
      <c r="AN571" t="str">
        <f t="shared" si="67"/>
        <v/>
      </c>
      <c r="AP571" t="str">
        <f t="shared" si="65"/>
        <v>Offensive</v>
      </c>
      <c r="BB571" s="23"/>
      <c r="BD571" s="21"/>
      <c r="BE571" s="21"/>
      <c r="BF571" s="21"/>
      <c r="BG571" s="21"/>
      <c r="BH571" s="21"/>
      <c r="BI571" s="21"/>
    </row>
    <row r="572" spans="1:61" x14ac:dyDescent="0.2">
      <c r="A572">
        <v>274</v>
      </c>
      <c r="B572" t="s">
        <v>887</v>
      </c>
      <c r="C572" t="str">
        <f t="shared" si="62"/>
        <v/>
      </c>
      <c r="D572" t="str">
        <f t="shared" si="68"/>
        <v/>
      </c>
      <c r="H572">
        <f t="shared" si="64"/>
        <v>1</v>
      </c>
      <c r="R572">
        <v>44</v>
      </c>
      <c r="T572" t="str">
        <f t="shared" si="63"/>
        <v>o</v>
      </c>
      <c r="AJ572">
        <v>1</v>
      </c>
      <c r="AK572">
        <v>1</v>
      </c>
      <c r="AM572" t="str">
        <f t="shared" si="66"/>
        <v>Possession</v>
      </c>
      <c r="AN572" t="str">
        <f t="shared" si="67"/>
        <v/>
      </c>
      <c r="AP572" t="str">
        <f t="shared" si="65"/>
        <v>Defensive</v>
      </c>
      <c r="BB572" s="23"/>
      <c r="BD572" s="21"/>
      <c r="BE572" s="21"/>
      <c r="BF572" s="21"/>
      <c r="BG572" s="21"/>
      <c r="BH572" s="21"/>
      <c r="BI572" s="21"/>
    </row>
    <row r="573" spans="1:61" x14ac:dyDescent="0.2">
      <c r="A573">
        <v>275</v>
      </c>
      <c r="B573" t="s">
        <v>887</v>
      </c>
      <c r="C573" t="str">
        <f t="shared" si="62"/>
        <v/>
      </c>
      <c r="D573" t="str">
        <f t="shared" si="68"/>
        <v/>
      </c>
      <c r="H573">
        <f t="shared" si="64"/>
        <v>1</v>
      </c>
      <c r="I573" s="5" t="s">
        <v>734</v>
      </c>
      <c r="J573" s="5" t="s">
        <v>716</v>
      </c>
      <c r="Q573" t="s">
        <v>620</v>
      </c>
      <c r="R573">
        <v>84</v>
      </c>
      <c r="S573">
        <v>1</v>
      </c>
      <c r="T573" t="str">
        <f t="shared" si="63"/>
        <v>e</v>
      </c>
      <c r="U573" t="s">
        <v>10</v>
      </c>
      <c r="V573" t="s">
        <v>190</v>
      </c>
      <c r="W573" t="s">
        <v>73</v>
      </c>
      <c r="AF573" t="s">
        <v>401</v>
      </c>
      <c r="AJ573">
        <v>1</v>
      </c>
      <c r="AK573">
        <v>1</v>
      </c>
      <c r="AM573" t="str">
        <f t="shared" si="66"/>
        <v>Turnover</v>
      </c>
      <c r="AN573" t="str">
        <f t="shared" si="67"/>
        <v>Turnover_Giveaway</v>
      </c>
      <c r="AP573" t="str">
        <f t="shared" si="65"/>
        <v>Offensive</v>
      </c>
      <c r="BB573" s="23"/>
      <c r="BD573" s="21"/>
      <c r="BE573" s="21"/>
      <c r="BF573" s="21"/>
      <c r="BG573" s="21"/>
      <c r="BH573" s="21"/>
      <c r="BI573" s="21"/>
    </row>
    <row r="574" spans="1:61" x14ac:dyDescent="0.2">
      <c r="A574">
        <v>275</v>
      </c>
      <c r="B574" t="s">
        <v>887</v>
      </c>
      <c r="C574" t="str">
        <f t="shared" si="62"/>
        <v/>
      </c>
      <c r="D574" t="str">
        <f t="shared" si="68"/>
        <v/>
      </c>
      <c r="H574">
        <f t="shared" si="64"/>
        <v>1</v>
      </c>
      <c r="R574">
        <v>44</v>
      </c>
      <c r="T574" t="str">
        <f t="shared" si="63"/>
        <v>o</v>
      </c>
      <c r="AJ574">
        <v>1</v>
      </c>
      <c r="AK574">
        <v>1</v>
      </c>
      <c r="AM574" t="str">
        <f t="shared" si="66"/>
        <v>Turnover</v>
      </c>
      <c r="AN574" t="str">
        <f t="shared" si="67"/>
        <v>Turnover_Giveaway</v>
      </c>
      <c r="AP574" t="str">
        <f t="shared" si="65"/>
        <v>Defensive</v>
      </c>
      <c r="BB574" s="23"/>
      <c r="BD574" s="21"/>
      <c r="BE574" s="21"/>
      <c r="BF574" s="21"/>
      <c r="BG574" s="21"/>
      <c r="BH574" s="21"/>
      <c r="BI574" s="21"/>
    </row>
    <row r="575" spans="1:61" x14ac:dyDescent="0.2">
      <c r="A575">
        <v>276</v>
      </c>
      <c r="B575" t="s">
        <v>887</v>
      </c>
      <c r="C575" t="str">
        <f t="shared" si="62"/>
        <v/>
      </c>
      <c r="D575" t="str">
        <f t="shared" si="68"/>
        <v/>
      </c>
      <c r="H575">
        <f t="shared" si="64"/>
        <v>1</v>
      </c>
      <c r="I575" s="5" t="s">
        <v>734</v>
      </c>
      <c r="J575" s="5" t="s">
        <v>790</v>
      </c>
      <c r="Q575" t="s">
        <v>619</v>
      </c>
      <c r="R575">
        <v>3</v>
      </c>
      <c r="S575">
        <v>1</v>
      </c>
      <c r="T575" t="str">
        <f t="shared" si="63"/>
        <v>e</v>
      </c>
      <c r="U575" t="s">
        <v>15</v>
      </c>
      <c r="V575" t="s">
        <v>697</v>
      </c>
      <c r="X575" t="s">
        <v>706</v>
      </c>
      <c r="Y575" t="s">
        <v>712</v>
      </c>
      <c r="AA575" t="s">
        <v>706</v>
      </c>
      <c r="AF575" t="s">
        <v>623</v>
      </c>
      <c r="AM575" t="str">
        <f t="shared" si="66"/>
        <v>Possession</v>
      </c>
      <c r="AN575" t="str">
        <f t="shared" si="67"/>
        <v>PuckRetrieval</v>
      </c>
      <c r="AP575" t="str">
        <f t="shared" si="65"/>
        <v>Offensive</v>
      </c>
      <c r="BB575" s="23"/>
      <c r="BD575" s="21"/>
      <c r="BE575" s="21"/>
      <c r="BF575" s="21"/>
      <c r="BG575" s="21"/>
      <c r="BH575" s="21"/>
      <c r="BI575" s="21"/>
    </row>
    <row r="576" spans="1:61" x14ac:dyDescent="0.2">
      <c r="A576">
        <v>277</v>
      </c>
      <c r="B576" t="s">
        <v>887</v>
      </c>
      <c r="C576" t="str">
        <f t="shared" si="62"/>
        <v/>
      </c>
      <c r="D576" t="str">
        <f t="shared" si="68"/>
        <v/>
      </c>
      <c r="H576">
        <f t="shared" si="64"/>
        <v>1</v>
      </c>
      <c r="I576" s="5" t="s">
        <v>734</v>
      </c>
      <c r="J576" s="5" t="s">
        <v>790</v>
      </c>
      <c r="Q576" t="s">
        <v>619</v>
      </c>
      <c r="R576">
        <v>3</v>
      </c>
      <c r="S576">
        <v>1</v>
      </c>
      <c r="T576" t="str">
        <f t="shared" si="63"/>
        <v>e</v>
      </c>
      <c r="U576" t="s">
        <v>8</v>
      </c>
      <c r="V576" t="s">
        <v>189</v>
      </c>
      <c r="W576" t="s">
        <v>70</v>
      </c>
      <c r="X576" t="s">
        <v>706</v>
      </c>
      <c r="Y576" t="s">
        <v>814</v>
      </c>
      <c r="AA576" t="s">
        <v>706</v>
      </c>
      <c r="AF576" t="s">
        <v>623</v>
      </c>
      <c r="AM576" t="str">
        <f t="shared" si="66"/>
        <v>Pass</v>
      </c>
      <c r="AN576" t="str">
        <f t="shared" si="67"/>
        <v>Pass_Completed</v>
      </c>
      <c r="AP576" t="str">
        <f t="shared" si="65"/>
        <v>Offensive</v>
      </c>
      <c r="BB576" s="23"/>
      <c r="BD576" s="21"/>
      <c r="BE576" s="21"/>
      <c r="BF576" s="21"/>
      <c r="BG576" s="21"/>
      <c r="BH576" s="21"/>
      <c r="BI576" s="21"/>
    </row>
    <row r="577" spans="1:61" x14ac:dyDescent="0.2">
      <c r="A577">
        <v>277</v>
      </c>
      <c r="B577" t="s">
        <v>887</v>
      </c>
      <c r="C577" t="str">
        <f t="shared" si="62"/>
        <v/>
      </c>
      <c r="D577" t="str">
        <f t="shared" si="68"/>
        <v/>
      </c>
      <c r="H577">
        <f t="shared" si="64"/>
        <v>1</v>
      </c>
      <c r="R577">
        <v>56</v>
      </c>
      <c r="S577">
        <v>1</v>
      </c>
      <c r="T577" t="str">
        <f t="shared" si="63"/>
        <v>e</v>
      </c>
      <c r="AM577" t="str">
        <f t="shared" si="66"/>
        <v>Pass</v>
      </c>
      <c r="AN577" t="str">
        <f t="shared" si="67"/>
        <v>Pass_Completed</v>
      </c>
      <c r="AP577" t="str">
        <f t="shared" si="65"/>
        <v>Offensive</v>
      </c>
      <c r="BB577" s="23"/>
      <c r="BD577" s="21"/>
      <c r="BE577" s="21"/>
      <c r="BF577" s="21"/>
      <c r="BG577" s="21"/>
      <c r="BH577" s="21"/>
      <c r="BI577" s="21"/>
    </row>
    <row r="578" spans="1:61" x14ac:dyDescent="0.2">
      <c r="A578">
        <v>278</v>
      </c>
      <c r="B578" t="s">
        <v>887</v>
      </c>
      <c r="C578" t="str">
        <f t="shared" si="62"/>
        <v/>
      </c>
      <c r="D578" t="str">
        <f t="shared" si="68"/>
        <v/>
      </c>
      <c r="H578">
        <f t="shared" si="64"/>
        <v>1</v>
      </c>
      <c r="I578" s="5" t="s">
        <v>734</v>
      </c>
      <c r="J578" s="5" t="s">
        <v>776</v>
      </c>
      <c r="Q578" t="s">
        <v>619</v>
      </c>
      <c r="R578">
        <v>56</v>
      </c>
      <c r="T578" t="str">
        <f t="shared" si="63"/>
        <v>o</v>
      </c>
      <c r="U578" t="s">
        <v>10</v>
      </c>
      <c r="V578" t="s">
        <v>190</v>
      </c>
      <c r="W578" t="s">
        <v>73</v>
      </c>
      <c r="AF578" t="s">
        <v>623</v>
      </c>
      <c r="AM578" t="str">
        <f t="shared" si="66"/>
        <v>Turnover</v>
      </c>
      <c r="AN578" t="str">
        <f t="shared" si="67"/>
        <v>Turnover_Giveaway</v>
      </c>
      <c r="AP578" t="str">
        <f t="shared" si="65"/>
        <v>Defensive</v>
      </c>
      <c r="BB578" s="23"/>
      <c r="BD578" s="21"/>
      <c r="BE578" s="21"/>
      <c r="BF578" s="21"/>
      <c r="BG578" s="21"/>
      <c r="BH578" s="21"/>
      <c r="BI578" s="21"/>
    </row>
    <row r="579" spans="1:61" x14ac:dyDescent="0.2">
      <c r="A579">
        <v>279</v>
      </c>
      <c r="B579" t="s">
        <v>887</v>
      </c>
      <c r="C579" t="str">
        <f t="shared" ref="C579:C642" si="69">IF(B579&lt;&gt;"",9000+B579,"")</f>
        <v/>
      </c>
      <c r="D579" t="str">
        <f t="shared" si="68"/>
        <v/>
      </c>
      <c r="H579">
        <f t="shared" si="64"/>
        <v>1</v>
      </c>
      <c r="I579" s="5" t="s">
        <v>734</v>
      </c>
      <c r="J579" s="5" t="s">
        <v>717</v>
      </c>
      <c r="Q579" t="s">
        <v>620</v>
      </c>
      <c r="R579">
        <v>22</v>
      </c>
      <c r="S579">
        <v>1</v>
      </c>
      <c r="T579" t="str">
        <f t="shared" ref="T579:T642" si="70">IF(S579="x","",IF(S579=1,"e","o"))</f>
        <v>e</v>
      </c>
      <c r="U579" t="s">
        <v>257</v>
      </c>
      <c r="V579" t="s">
        <v>210</v>
      </c>
      <c r="W579" t="s">
        <v>93</v>
      </c>
      <c r="X579" t="s">
        <v>706</v>
      </c>
      <c r="AF579" t="s">
        <v>401</v>
      </c>
      <c r="AM579" t="str">
        <f t="shared" si="66"/>
        <v>Zone_Entry_Exit</v>
      </c>
      <c r="AN579" t="str">
        <f t="shared" si="67"/>
        <v>Zone_Keepin</v>
      </c>
      <c r="AP579" t="str">
        <f t="shared" si="65"/>
        <v>Offensive</v>
      </c>
      <c r="BB579" s="23"/>
      <c r="BD579" s="21"/>
      <c r="BE579" s="21"/>
      <c r="BF579" s="21"/>
      <c r="BG579" s="21"/>
      <c r="BH579" s="21"/>
      <c r="BI579" s="21"/>
    </row>
    <row r="580" spans="1:61" x14ac:dyDescent="0.2">
      <c r="A580">
        <v>280</v>
      </c>
      <c r="B580" t="s">
        <v>887</v>
      </c>
      <c r="C580" t="str">
        <f t="shared" si="69"/>
        <v/>
      </c>
      <c r="D580" t="str">
        <f t="shared" si="68"/>
        <v/>
      </c>
      <c r="H580">
        <f t="shared" ref="H580:H643" si="71">IF(U580="Intermission",H579+1,H579)</f>
        <v>1</v>
      </c>
      <c r="I580" s="5" t="s">
        <v>734</v>
      </c>
      <c r="J580" s="5" t="s">
        <v>717</v>
      </c>
      <c r="Q580" t="s">
        <v>620</v>
      </c>
      <c r="R580">
        <v>22</v>
      </c>
      <c r="S580">
        <v>1</v>
      </c>
      <c r="T580" t="str">
        <f t="shared" si="70"/>
        <v>e</v>
      </c>
      <c r="U580" t="s">
        <v>10</v>
      </c>
      <c r="V580" t="s">
        <v>190</v>
      </c>
      <c r="W580" t="s">
        <v>387</v>
      </c>
      <c r="AF580" t="s">
        <v>401</v>
      </c>
      <c r="AM580" t="str">
        <f t="shared" si="66"/>
        <v>Turnover</v>
      </c>
      <c r="AN580" t="str">
        <f t="shared" si="67"/>
        <v>Turnover_Giveaway</v>
      </c>
      <c r="AP580" t="str">
        <f t="shared" si="65"/>
        <v>Offensive</v>
      </c>
      <c r="BB580" s="23"/>
      <c r="BD580" s="21"/>
      <c r="BE580" s="21"/>
      <c r="BF580" s="21"/>
      <c r="BG580" s="21"/>
      <c r="BH580" s="21"/>
      <c r="BI580" s="21"/>
    </row>
    <row r="581" spans="1:61" x14ac:dyDescent="0.2">
      <c r="A581">
        <v>281</v>
      </c>
      <c r="B581" t="s">
        <v>887</v>
      </c>
      <c r="C581" t="str">
        <f t="shared" si="69"/>
        <v/>
      </c>
      <c r="D581" t="str">
        <f t="shared" si="68"/>
        <v/>
      </c>
      <c r="H581">
        <f t="shared" si="71"/>
        <v>1</v>
      </c>
      <c r="I581" s="5" t="s">
        <v>734</v>
      </c>
      <c r="J581" s="5" t="s">
        <v>778</v>
      </c>
      <c r="K581" s="5" t="s">
        <v>734</v>
      </c>
      <c r="L581" s="7" t="s">
        <v>779</v>
      </c>
      <c r="Q581" t="s">
        <v>619</v>
      </c>
      <c r="R581">
        <v>3</v>
      </c>
      <c r="S581">
        <v>1</v>
      </c>
      <c r="T581" t="str">
        <f t="shared" si="70"/>
        <v>e</v>
      </c>
      <c r="U581" t="s">
        <v>15</v>
      </c>
      <c r="V581" t="s">
        <v>697</v>
      </c>
      <c r="X581" t="s">
        <v>706</v>
      </c>
      <c r="Y581" t="s">
        <v>712</v>
      </c>
      <c r="AA581" t="s">
        <v>706</v>
      </c>
      <c r="AF581" t="s">
        <v>623</v>
      </c>
      <c r="AM581" t="str">
        <f t="shared" si="66"/>
        <v>Possession</v>
      </c>
      <c r="AN581" t="str">
        <f t="shared" si="67"/>
        <v>PuckRetrieval</v>
      </c>
      <c r="AP581" t="str">
        <f t="shared" ref="AP581:AP644" si="72">IF(AND(T581="e",OR(AM581="Save",AN581="Turnover_Takeaway",AN581="Play_Defensive")),"Defensive",IF(AND(T581="o",OR(AM581="Save",AN581="Turnover_Takeaway",AN581="Play_Defensive")),"Offensive",IF(OR(AM581="Deadice",AM581="Stoppage",AM581="Intermission"),"",IF(T581="e","Offensive",IF(T581="o","Defensive","")))))</f>
        <v>Offensive</v>
      </c>
      <c r="BB581" s="23"/>
      <c r="BD581" s="21"/>
      <c r="BE581" s="21"/>
      <c r="BF581" s="21"/>
      <c r="BG581" s="21"/>
      <c r="BH581" s="21"/>
      <c r="BI581" s="21"/>
    </row>
    <row r="582" spans="1:61" x14ac:dyDescent="0.2">
      <c r="A582">
        <v>282</v>
      </c>
      <c r="B582">
        <v>50</v>
      </c>
      <c r="C582">
        <f t="shared" si="69"/>
        <v>9050</v>
      </c>
      <c r="D582">
        <f t="shared" si="68"/>
        <v>9050</v>
      </c>
      <c r="H582">
        <f t="shared" si="71"/>
        <v>1</v>
      </c>
      <c r="I582" s="5" t="s">
        <v>734</v>
      </c>
      <c r="J582" s="5" t="s">
        <v>779</v>
      </c>
      <c r="Q582" t="s">
        <v>619</v>
      </c>
      <c r="R582">
        <v>3</v>
      </c>
      <c r="S582">
        <v>1</v>
      </c>
      <c r="T582" t="str">
        <f t="shared" si="70"/>
        <v>e</v>
      </c>
      <c r="U582" t="s">
        <v>8</v>
      </c>
      <c r="V582" t="s">
        <v>189</v>
      </c>
      <c r="W582" t="s">
        <v>71</v>
      </c>
      <c r="X582" t="s">
        <v>706</v>
      </c>
      <c r="AF582" t="s">
        <v>623</v>
      </c>
      <c r="AM582" t="str">
        <f t="shared" si="66"/>
        <v>Pass</v>
      </c>
      <c r="AN582" t="str">
        <f t="shared" si="67"/>
        <v>Pass_Completed</v>
      </c>
      <c r="AP582" t="str">
        <f t="shared" si="72"/>
        <v>Offensive</v>
      </c>
      <c r="BB582" s="23"/>
      <c r="BD582" s="21"/>
      <c r="BE582" s="21"/>
      <c r="BF582" s="21"/>
      <c r="BG582" s="21"/>
      <c r="BH582" s="21"/>
      <c r="BI582" s="21"/>
    </row>
    <row r="583" spans="1:61" x14ac:dyDescent="0.2">
      <c r="A583">
        <v>282</v>
      </c>
      <c r="B583">
        <v>50</v>
      </c>
      <c r="C583">
        <f t="shared" si="69"/>
        <v>9050</v>
      </c>
      <c r="D583">
        <f t="shared" si="68"/>
        <v>9050</v>
      </c>
      <c r="H583">
        <f t="shared" si="71"/>
        <v>1</v>
      </c>
      <c r="R583">
        <v>12</v>
      </c>
      <c r="S583">
        <v>1</v>
      </c>
      <c r="T583" t="str">
        <f t="shared" si="70"/>
        <v>e</v>
      </c>
      <c r="AM583" t="str">
        <f t="shared" ref="AM583:AM646" si="73">IF(U583&lt;&gt;"",U583,IF($A583=$A582,AM582,""))</f>
        <v>Pass</v>
      </c>
      <c r="AN583" t="str">
        <f t="shared" ref="AN583:AN646" si="74">IF(V583&lt;&gt;"",V583,IF($A583=$A582,AN582,""))</f>
        <v>Pass_Completed</v>
      </c>
      <c r="AP583" t="str">
        <f t="shared" si="72"/>
        <v>Offensive</v>
      </c>
      <c r="BB583" s="23"/>
      <c r="BD583" s="21"/>
      <c r="BE583" s="21"/>
      <c r="BF583" s="21"/>
      <c r="BG583" s="21"/>
      <c r="BH583" s="21"/>
      <c r="BI583" s="21"/>
    </row>
    <row r="584" spans="1:61" x14ac:dyDescent="0.2">
      <c r="A584">
        <v>282</v>
      </c>
      <c r="B584">
        <v>50</v>
      </c>
      <c r="C584">
        <f t="shared" si="69"/>
        <v>9050</v>
      </c>
      <c r="D584">
        <f t="shared" ref="D584:D647" si="75">IF(C584&lt;&gt;"",C584,B584)</f>
        <v>9050</v>
      </c>
      <c r="H584">
        <f t="shared" si="71"/>
        <v>1</v>
      </c>
      <c r="R584">
        <v>24</v>
      </c>
      <c r="T584" t="str">
        <f t="shared" si="70"/>
        <v>o</v>
      </c>
      <c r="AM584" t="str">
        <f t="shared" si="73"/>
        <v>Pass</v>
      </c>
      <c r="AN584" t="str">
        <f t="shared" si="74"/>
        <v>Pass_Completed</v>
      </c>
      <c r="AP584" t="str">
        <f t="shared" si="72"/>
        <v>Defensive</v>
      </c>
      <c r="BB584" s="23"/>
      <c r="BD584" s="21"/>
      <c r="BE584" s="21"/>
      <c r="BF584" s="21"/>
      <c r="BG584" s="21"/>
      <c r="BH584" s="21"/>
      <c r="BI584" s="21"/>
    </row>
    <row r="585" spans="1:61" x14ac:dyDescent="0.2">
      <c r="A585">
        <v>283</v>
      </c>
      <c r="B585">
        <v>50</v>
      </c>
      <c r="C585">
        <f t="shared" si="69"/>
        <v>9050</v>
      </c>
      <c r="D585">
        <f t="shared" si="75"/>
        <v>9050</v>
      </c>
      <c r="H585">
        <f t="shared" si="71"/>
        <v>1</v>
      </c>
      <c r="I585" s="5" t="s">
        <v>734</v>
      </c>
      <c r="J585" s="5" t="s">
        <v>779</v>
      </c>
      <c r="Q585" t="s">
        <v>619</v>
      </c>
      <c r="R585">
        <v>3</v>
      </c>
      <c r="S585">
        <v>1</v>
      </c>
      <c r="T585" t="str">
        <f t="shared" si="70"/>
        <v>e</v>
      </c>
      <c r="U585" t="s">
        <v>257</v>
      </c>
      <c r="V585" t="s">
        <v>201</v>
      </c>
      <c r="W585" t="s">
        <v>91</v>
      </c>
      <c r="X585" t="s">
        <v>706</v>
      </c>
      <c r="AF585" t="s">
        <v>623</v>
      </c>
      <c r="AM585" t="str">
        <f t="shared" si="73"/>
        <v>Zone_Entry_Exit</v>
      </c>
      <c r="AN585" t="str">
        <f t="shared" si="74"/>
        <v>Zone_Exit</v>
      </c>
      <c r="AP585" t="str">
        <f t="shared" si="72"/>
        <v>Offensive</v>
      </c>
      <c r="BB585" s="23"/>
      <c r="BD585" s="21"/>
      <c r="BE585" s="21"/>
      <c r="BF585" s="21"/>
      <c r="BG585" s="21"/>
      <c r="BH585" s="21"/>
      <c r="BI585" s="21"/>
    </row>
    <row r="586" spans="1:61" x14ac:dyDescent="0.2">
      <c r="A586">
        <v>283</v>
      </c>
      <c r="B586">
        <v>50</v>
      </c>
      <c r="C586">
        <f t="shared" si="69"/>
        <v>9050</v>
      </c>
      <c r="D586">
        <f t="shared" si="75"/>
        <v>9050</v>
      </c>
      <c r="H586">
        <f t="shared" si="71"/>
        <v>1</v>
      </c>
      <c r="R586">
        <v>12</v>
      </c>
      <c r="S586">
        <v>1</v>
      </c>
      <c r="T586" t="str">
        <f t="shared" si="70"/>
        <v>e</v>
      </c>
      <c r="AM586" t="str">
        <f t="shared" si="73"/>
        <v>Zone_Entry_Exit</v>
      </c>
      <c r="AN586" t="str">
        <f t="shared" si="74"/>
        <v>Zone_Exit</v>
      </c>
      <c r="AP586" t="str">
        <f t="shared" si="72"/>
        <v>Offensive</v>
      </c>
      <c r="BB586" s="23"/>
      <c r="BD586" s="21"/>
      <c r="BE586" s="21"/>
      <c r="BF586" s="21"/>
      <c r="BG586" s="21"/>
      <c r="BH586" s="21"/>
      <c r="BI586" s="21"/>
    </row>
    <row r="587" spans="1:61" x14ac:dyDescent="0.2">
      <c r="A587">
        <v>283</v>
      </c>
      <c r="B587">
        <v>50</v>
      </c>
      <c r="C587">
        <f t="shared" si="69"/>
        <v>9050</v>
      </c>
      <c r="D587">
        <f t="shared" si="75"/>
        <v>9050</v>
      </c>
      <c r="H587">
        <f t="shared" si="71"/>
        <v>1</v>
      </c>
      <c r="R587">
        <v>24</v>
      </c>
      <c r="T587" t="str">
        <f t="shared" si="70"/>
        <v>o</v>
      </c>
      <c r="AM587" t="str">
        <f t="shared" si="73"/>
        <v>Zone_Entry_Exit</v>
      </c>
      <c r="AN587" t="str">
        <f t="shared" si="74"/>
        <v>Zone_Exit</v>
      </c>
      <c r="AP587" t="str">
        <f t="shared" si="72"/>
        <v>Defensive</v>
      </c>
      <c r="BB587" s="23"/>
      <c r="BD587" s="21"/>
      <c r="BE587" s="21"/>
      <c r="BF587" s="21"/>
      <c r="BG587" s="21"/>
      <c r="BH587" s="21"/>
      <c r="BI587" s="21"/>
    </row>
    <row r="588" spans="1:61" x14ac:dyDescent="0.2">
      <c r="A588">
        <v>284</v>
      </c>
      <c r="B588" t="s">
        <v>887</v>
      </c>
      <c r="C588" t="str">
        <f t="shared" si="69"/>
        <v/>
      </c>
      <c r="D588" t="str">
        <f t="shared" si="75"/>
        <v/>
      </c>
      <c r="H588">
        <f t="shared" si="71"/>
        <v>1</v>
      </c>
      <c r="I588" s="5" t="s">
        <v>734</v>
      </c>
      <c r="J588" s="5" t="s">
        <v>779</v>
      </c>
      <c r="K588" s="5" t="s">
        <v>734</v>
      </c>
      <c r="L588" s="7" t="s">
        <v>721</v>
      </c>
      <c r="Q588" t="s">
        <v>619</v>
      </c>
      <c r="R588">
        <v>12</v>
      </c>
      <c r="S588">
        <v>1</v>
      </c>
      <c r="T588" t="str">
        <f t="shared" si="70"/>
        <v>e</v>
      </c>
      <c r="U588" t="s">
        <v>15</v>
      </c>
      <c r="AF588" t="s">
        <v>635</v>
      </c>
      <c r="AM588" t="str">
        <f t="shared" si="73"/>
        <v>Possession</v>
      </c>
      <c r="AN588" t="str">
        <f t="shared" si="74"/>
        <v/>
      </c>
      <c r="AP588" t="str">
        <f t="shared" si="72"/>
        <v>Offensive</v>
      </c>
      <c r="BB588" s="23"/>
      <c r="BD588" s="21"/>
      <c r="BE588" s="21"/>
      <c r="BF588" s="21"/>
      <c r="BG588" s="21"/>
      <c r="BH588" s="21"/>
      <c r="BI588" s="21"/>
    </row>
    <row r="589" spans="1:61" x14ac:dyDescent="0.2">
      <c r="A589">
        <v>285</v>
      </c>
      <c r="B589">
        <v>51</v>
      </c>
      <c r="C589">
        <f t="shared" si="69"/>
        <v>9051</v>
      </c>
      <c r="D589">
        <f t="shared" si="75"/>
        <v>9051</v>
      </c>
      <c r="H589">
        <f t="shared" si="71"/>
        <v>1</v>
      </c>
      <c r="I589" s="5" t="s">
        <v>734</v>
      </c>
      <c r="J589" s="5" t="s">
        <v>721</v>
      </c>
      <c r="Q589" t="s">
        <v>619</v>
      </c>
      <c r="R589">
        <v>12</v>
      </c>
      <c r="S589">
        <v>1</v>
      </c>
      <c r="T589" t="str">
        <f t="shared" si="70"/>
        <v>e</v>
      </c>
      <c r="U589" t="s">
        <v>257</v>
      </c>
      <c r="V589" t="s">
        <v>191</v>
      </c>
      <c r="W589" t="s">
        <v>89</v>
      </c>
      <c r="X589" t="s">
        <v>706</v>
      </c>
      <c r="Y589" t="s">
        <v>718</v>
      </c>
      <c r="AA589" t="s">
        <v>705</v>
      </c>
      <c r="AF589" t="s">
        <v>635</v>
      </c>
      <c r="AJ589">
        <v>1</v>
      </c>
      <c r="AM589" t="str">
        <f t="shared" si="73"/>
        <v>Zone_Entry_Exit</v>
      </c>
      <c r="AN589" t="str">
        <f t="shared" si="74"/>
        <v>Zone_Entry</v>
      </c>
      <c r="AP589" t="str">
        <f t="shared" si="72"/>
        <v>Offensive</v>
      </c>
      <c r="BB589" s="23"/>
      <c r="BD589" s="21"/>
      <c r="BE589" s="21"/>
      <c r="BF589" s="21"/>
      <c r="BG589" s="21"/>
      <c r="BH589" s="21"/>
      <c r="BI589" s="21"/>
    </row>
    <row r="590" spans="1:61" x14ac:dyDescent="0.2">
      <c r="A590">
        <v>285</v>
      </c>
      <c r="B590">
        <v>51</v>
      </c>
      <c r="C590">
        <f t="shared" si="69"/>
        <v>9051</v>
      </c>
      <c r="D590">
        <f t="shared" si="75"/>
        <v>9051</v>
      </c>
      <c r="H590">
        <f t="shared" si="71"/>
        <v>1</v>
      </c>
      <c r="R590">
        <v>55</v>
      </c>
      <c r="T590" t="str">
        <f t="shared" si="70"/>
        <v>o</v>
      </c>
      <c r="AJ590">
        <v>1</v>
      </c>
      <c r="AM590" t="str">
        <f t="shared" si="73"/>
        <v>Zone_Entry_Exit</v>
      </c>
      <c r="AN590" t="str">
        <f t="shared" si="74"/>
        <v>Zone_Entry</v>
      </c>
      <c r="AP590" t="str">
        <f t="shared" si="72"/>
        <v>Defensive</v>
      </c>
      <c r="BB590" s="23"/>
      <c r="BD590" s="21"/>
      <c r="BE590" s="21"/>
      <c r="BF590" s="21"/>
      <c r="BG590" s="21"/>
      <c r="BH590" s="21"/>
      <c r="BI590" s="21"/>
    </row>
    <row r="591" spans="1:61" x14ac:dyDescent="0.2">
      <c r="A591">
        <v>286</v>
      </c>
      <c r="B591">
        <v>51</v>
      </c>
      <c r="C591">
        <f t="shared" si="69"/>
        <v>9051</v>
      </c>
      <c r="D591">
        <f t="shared" si="75"/>
        <v>9051</v>
      </c>
      <c r="H591">
        <f t="shared" si="71"/>
        <v>1</v>
      </c>
      <c r="I591" s="5" t="s">
        <v>734</v>
      </c>
      <c r="J591" s="5" t="s">
        <v>721</v>
      </c>
      <c r="Q591" t="s">
        <v>619</v>
      </c>
      <c r="R591">
        <v>12</v>
      </c>
      <c r="S591">
        <v>1</v>
      </c>
      <c r="T591" t="str">
        <f t="shared" si="70"/>
        <v>e</v>
      </c>
      <c r="U591" t="s">
        <v>10</v>
      </c>
      <c r="V591" t="s">
        <v>190</v>
      </c>
      <c r="W591" t="s">
        <v>387</v>
      </c>
      <c r="AF591" t="s">
        <v>635</v>
      </c>
      <c r="AM591" t="str">
        <f t="shared" si="73"/>
        <v>Turnover</v>
      </c>
      <c r="AN591" t="str">
        <f t="shared" si="74"/>
        <v>Turnover_Giveaway</v>
      </c>
      <c r="AP591" t="str">
        <f t="shared" si="72"/>
        <v>Offensive</v>
      </c>
      <c r="BB591" s="23"/>
      <c r="BD591" s="21"/>
      <c r="BE591" s="21"/>
      <c r="BF591" s="21"/>
      <c r="BG591" s="21"/>
      <c r="BH591" s="21"/>
      <c r="BI591" s="21"/>
    </row>
    <row r="592" spans="1:61" x14ac:dyDescent="0.2">
      <c r="A592">
        <v>287</v>
      </c>
      <c r="B592" t="s">
        <v>887</v>
      </c>
      <c r="C592" t="str">
        <f t="shared" si="69"/>
        <v/>
      </c>
      <c r="D592" t="str">
        <f t="shared" si="75"/>
        <v/>
      </c>
      <c r="H592">
        <f t="shared" si="71"/>
        <v>1</v>
      </c>
      <c r="I592" s="5" t="s">
        <v>734</v>
      </c>
      <c r="J592" s="5" t="s">
        <v>759</v>
      </c>
      <c r="Q592" t="s">
        <v>620</v>
      </c>
      <c r="R592">
        <v>84</v>
      </c>
      <c r="S592">
        <v>1</v>
      </c>
      <c r="T592" t="str">
        <f t="shared" si="70"/>
        <v>e</v>
      </c>
      <c r="U592" t="s">
        <v>15</v>
      </c>
      <c r="V592" t="s">
        <v>697</v>
      </c>
      <c r="X592" t="s">
        <v>706</v>
      </c>
      <c r="Y592" t="s">
        <v>720</v>
      </c>
      <c r="AA592" t="s">
        <v>706</v>
      </c>
      <c r="AF592" t="s">
        <v>623</v>
      </c>
      <c r="AM592" t="str">
        <f t="shared" si="73"/>
        <v>Possession</v>
      </c>
      <c r="AN592" t="str">
        <f t="shared" si="74"/>
        <v>PuckRetrieval</v>
      </c>
      <c r="AP592" t="str">
        <f t="shared" si="72"/>
        <v>Offensive</v>
      </c>
      <c r="BB592" s="23"/>
      <c r="BD592" s="21"/>
      <c r="BE592" s="21"/>
      <c r="BF592" s="21"/>
      <c r="BG592" s="21"/>
      <c r="BH592" s="21"/>
      <c r="BI592" s="21"/>
    </row>
    <row r="593" spans="1:61" x14ac:dyDescent="0.2">
      <c r="A593">
        <v>288</v>
      </c>
      <c r="B593" t="s">
        <v>887</v>
      </c>
      <c r="C593" t="str">
        <f t="shared" si="69"/>
        <v/>
      </c>
      <c r="D593" t="str">
        <f t="shared" si="75"/>
        <v/>
      </c>
      <c r="H593">
        <f t="shared" si="71"/>
        <v>1</v>
      </c>
      <c r="I593" s="5" t="s">
        <v>734</v>
      </c>
      <c r="J593" s="5" t="s">
        <v>759</v>
      </c>
      <c r="Q593" t="s">
        <v>620</v>
      </c>
      <c r="R593">
        <v>84</v>
      </c>
      <c r="S593">
        <v>1</v>
      </c>
      <c r="T593" t="str">
        <f t="shared" si="70"/>
        <v>e</v>
      </c>
      <c r="U593" t="s">
        <v>10</v>
      </c>
      <c r="V593" t="s">
        <v>190</v>
      </c>
      <c r="W593" t="s">
        <v>398</v>
      </c>
      <c r="Y593" t="s">
        <v>746</v>
      </c>
      <c r="AA593" t="s">
        <v>705</v>
      </c>
      <c r="AF593" t="s">
        <v>623</v>
      </c>
      <c r="AM593" t="str">
        <f t="shared" si="73"/>
        <v>Turnover</v>
      </c>
      <c r="AN593" t="str">
        <f t="shared" si="74"/>
        <v>Turnover_Giveaway</v>
      </c>
      <c r="AP593" t="str">
        <f t="shared" si="72"/>
        <v>Offensive</v>
      </c>
      <c r="BB593" s="23"/>
      <c r="BD593" s="21"/>
      <c r="BE593" s="21"/>
      <c r="BF593" s="21"/>
      <c r="BG593" s="21"/>
      <c r="BH593" s="21"/>
      <c r="BI593" s="21"/>
    </row>
    <row r="594" spans="1:61" x14ac:dyDescent="0.2">
      <c r="A594">
        <v>289</v>
      </c>
      <c r="B594" t="s">
        <v>887</v>
      </c>
      <c r="C594" t="str">
        <f t="shared" si="69"/>
        <v/>
      </c>
      <c r="D594" t="str">
        <f t="shared" si="75"/>
        <v/>
      </c>
      <c r="H594">
        <f t="shared" si="71"/>
        <v>1</v>
      </c>
      <c r="I594" s="5" t="s">
        <v>734</v>
      </c>
      <c r="J594" s="5" t="s">
        <v>813</v>
      </c>
      <c r="Q594" t="s">
        <v>619</v>
      </c>
      <c r="R594">
        <v>18</v>
      </c>
      <c r="S594">
        <v>1</v>
      </c>
      <c r="T594" t="str">
        <f t="shared" si="70"/>
        <v>e</v>
      </c>
      <c r="U594" t="s">
        <v>257</v>
      </c>
      <c r="V594" t="s">
        <v>210</v>
      </c>
      <c r="W594" t="s">
        <v>93</v>
      </c>
      <c r="X594" t="s">
        <v>706</v>
      </c>
      <c r="Y594" t="s">
        <v>712</v>
      </c>
      <c r="AA594" t="s">
        <v>706</v>
      </c>
      <c r="AF594" t="s">
        <v>401</v>
      </c>
      <c r="AM594" t="str">
        <f t="shared" si="73"/>
        <v>Zone_Entry_Exit</v>
      </c>
      <c r="AN594" t="str">
        <f t="shared" si="74"/>
        <v>Zone_Keepin</v>
      </c>
      <c r="AP594" t="str">
        <f t="shared" si="72"/>
        <v>Offensive</v>
      </c>
      <c r="BB594" s="23"/>
      <c r="BD594" s="21"/>
      <c r="BE594" s="21"/>
      <c r="BF594" s="21"/>
      <c r="BG594" s="21"/>
      <c r="BH594" s="21"/>
      <c r="BI594" s="21"/>
    </row>
    <row r="595" spans="1:61" x14ac:dyDescent="0.2">
      <c r="A595">
        <v>290</v>
      </c>
      <c r="B595" t="s">
        <v>887</v>
      </c>
      <c r="C595" t="str">
        <f t="shared" si="69"/>
        <v/>
      </c>
      <c r="D595" t="str">
        <f t="shared" si="75"/>
        <v/>
      </c>
      <c r="H595">
        <f t="shared" si="71"/>
        <v>1</v>
      </c>
      <c r="I595" s="5" t="s">
        <v>734</v>
      </c>
      <c r="J595" s="5" t="s">
        <v>813</v>
      </c>
      <c r="Q595" t="s">
        <v>619</v>
      </c>
      <c r="R595">
        <v>18</v>
      </c>
      <c r="S595">
        <v>1</v>
      </c>
      <c r="T595" t="str">
        <f t="shared" si="70"/>
        <v>e</v>
      </c>
      <c r="U595" t="s">
        <v>8</v>
      </c>
      <c r="V595" t="s">
        <v>209</v>
      </c>
      <c r="W595" t="s">
        <v>405</v>
      </c>
      <c r="X595" t="s">
        <v>706</v>
      </c>
      <c r="Y595" t="s">
        <v>814</v>
      </c>
      <c r="AA595" t="s">
        <v>706</v>
      </c>
      <c r="AF595" t="s">
        <v>401</v>
      </c>
      <c r="AM595" t="str">
        <f t="shared" si="73"/>
        <v>Pass</v>
      </c>
      <c r="AN595" t="str">
        <f t="shared" si="74"/>
        <v>Pass_Deflected</v>
      </c>
      <c r="AP595" t="str">
        <f t="shared" si="72"/>
        <v>Offensive</v>
      </c>
      <c r="BB595" s="23"/>
      <c r="BD595" s="21"/>
      <c r="BE595" s="21"/>
      <c r="BF595" s="21"/>
      <c r="BG595" s="21"/>
      <c r="BH595" s="21"/>
      <c r="BI595" s="21"/>
    </row>
    <row r="596" spans="1:61" x14ac:dyDescent="0.2">
      <c r="A596">
        <v>290</v>
      </c>
      <c r="B596" t="s">
        <v>887</v>
      </c>
      <c r="C596" t="str">
        <f t="shared" si="69"/>
        <v/>
      </c>
      <c r="D596" t="str">
        <f t="shared" si="75"/>
        <v/>
      </c>
      <c r="H596">
        <f t="shared" si="71"/>
        <v>1</v>
      </c>
      <c r="R596">
        <v>12</v>
      </c>
      <c r="S596">
        <v>1</v>
      </c>
      <c r="T596" t="str">
        <f t="shared" si="70"/>
        <v>e</v>
      </c>
      <c r="Y596" t="s">
        <v>770</v>
      </c>
      <c r="AM596" t="str">
        <f t="shared" si="73"/>
        <v>Pass</v>
      </c>
      <c r="AN596" t="str">
        <f t="shared" si="74"/>
        <v>Pass_Deflected</v>
      </c>
      <c r="AP596" t="str">
        <f t="shared" si="72"/>
        <v>Offensive</v>
      </c>
      <c r="BB596" s="23"/>
      <c r="BD596" s="21"/>
      <c r="BE596" s="21"/>
      <c r="BF596" s="21"/>
      <c r="BG596" s="21"/>
      <c r="BH596" s="21"/>
      <c r="BI596" s="21"/>
    </row>
    <row r="597" spans="1:61" x14ac:dyDescent="0.2">
      <c r="A597">
        <v>290</v>
      </c>
      <c r="B597" t="s">
        <v>887</v>
      </c>
      <c r="C597" t="str">
        <f t="shared" si="69"/>
        <v/>
      </c>
      <c r="D597" t="str">
        <f t="shared" si="75"/>
        <v/>
      </c>
      <c r="H597">
        <f t="shared" si="71"/>
        <v>1</v>
      </c>
      <c r="R597">
        <v>84</v>
      </c>
      <c r="T597" t="str">
        <f t="shared" si="70"/>
        <v>o</v>
      </c>
      <c r="Y597" t="s">
        <v>806</v>
      </c>
      <c r="AM597" t="str">
        <f t="shared" si="73"/>
        <v>Pass</v>
      </c>
      <c r="AN597" t="str">
        <f t="shared" si="74"/>
        <v>Pass_Deflected</v>
      </c>
      <c r="AP597" t="str">
        <f t="shared" si="72"/>
        <v>Defensive</v>
      </c>
      <c r="BB597" s="23"/>
      <c r="BD597" s="21"/>
      <c r="BE597" s="21"/>
      <c r="BF597" s="21"/>
      <c r="BG597" s="21"/>
      <c r="BH597" s="21"/>
      <c r="BI597" s="21"/>
    </row>
    <row r="598" spans="1:61" x14ac:dyDescent="0.2">
      <c r="A598">
        <v>290</v>
      </c>
      <c r="B598" t="s">
        <v>887</v>
      </c>
      <c r="C598" t="str">
        <f t="shared" si="69"/>
        <v/>
      </c>
      <c r="D598" t="str">
        <f t="shared" si="75"/>
        <v/>
      </c>
      <c r="H598">
        <f t="shared" si="71"/>
        <v>1</v>
      </c>
      <c r="R598">
        <v>70</v>
      </c>
      <c r="T598" t="str">
        <f t="shared" si="70"/>
        <v>o</v>
      </c>
      <c r="Y598" t="s">
        <v>722</v>
      </c>
      <c r="AM598" t="str">
        <f t="shared" si="73"/>
        <v>Pass</v>
      </c>
      <c r="AN598" t="str">
        <f t="shared" si="74"/>
        <v>Pass_Deflected</v>
      </c>
      <c r="AP598" t="str">
        <f t="shared" si="72"/>
        <v>Defensive</v>
      </c>
      <c r="BB598" s="23"/>
      <c r="BD598" s="21"/>
      <c r="BE598" s="21"/>
      <c r="BF598" s="21"/>
      <c r="BG598" s="21"/>
      <c r="BH598" s="21"/>
      <c r="BI598" s="21"/>
    </row>
    <row r="599" spans="1:61" x14ac:dyDescent="0.2">
      <c r="A599">
        <v>291</v>
      </c>
      <c r="B599">
        <v>52</v>
      </c>
      <c r="C599">
        <f t="shared" si="69"/>
        <v>9052</v>
      </c>
      <c r="D599">
        <f t="shared" si="75"/>
        <v>9052</v>
      </c>
      <c r="H599">
        <f t="shared" si="71"/>
        <v>1</v>
      </c>
      <c r="I599" s="5" t="s">
        <v>734</v>
      </c>
      <c r="J599" s="5" t="s">
        <v>760</v>
      </c>
      <c r="Q599" t="s">
        <v>619</v>
      </c>
      <c r="R599">
        <v>12</v>
      </c>
      <c r="S599">
        <v>1</v>
      </c>
      <c r="T599" t="str">
        <f t="shared" si="70"/>
        <v>e</v>
      </c>
      <c r="U599" t="s">
        <v>7</v>
      </c>
      <c r="V599" t="s">
        <v>224</v>
      </c>
      <c r="W599" t="s">
        <v>56</v>
      </c>
      <c r="X599" t="s">
        <v>706</v>
      </c>
      <c r="Y599" t="s">
        <v>770</v>
      </c>
      <c r="AC599" t="s">
        <v>629</v>
      </c>
      <c r="AE599">
        <v>1</v>
      </c>
      <c r="AF599" t="s">
        <v>401</v>
      </c>
      <c r="AJ599">
        <v>1</v>
      </c>
      <c r="AM599" t="str">
        <f t="shared" si="73"/>
        <v>Shot</v>
      </c>
      <c r="AN599" t="str">
        <f t="shared" si="74"/>
        <v>Shot_TippedOnNetSaved</v>
      </c>
      <c r="AP599" t="str">
        <f t="shared" si="72"/>
        <v>Offensive</v>
      </c>
      <c r="BB599" s="23"/>
      <c r="BD599" s="21"/>
      <c r="BE599" s="21"/>
      <c r="BF599" s="21"/>
      <c r="BG599" s="21"/>
      <c r="BH599" s="21"/>
      <c r="BI599" s="21"/>
    </row>
    <row r="600" spans="1:61" x14ac:dyDescent="0.2">
      <c r="A600">
        <v>291</v>
      </c>
      <c r="B600">
        <v>52</v>
      </c>
      <c r="C600">
        <f t="shared" si="69"/>
        <v>9052</v>
      </c>
      <c r="D600">
        <f t="shared" si="75"/>
        <v>9052</v>
      </c>
      <c r="H600">
        <f t="shared" si="71"/>
        <v>1</v>
      </c>
      <c r="R600">
        <v>39</v>
      </c>
      <c r="T600" t="str">
        <f t="shared" si="70"/>
        <v>o</v>
      </c>
      <c r="AM600" t="str">
        <f t="shared" si="73"/>
        <v>Shot</v>
      </c>
      <c r="AN600" t="str">
        <f t="shared" si="74"/>
        <v>Shot_TippedOnNetSaved</v>
      </c>
      <c r="AP600" t="str">
        <f t="shared" si="72"/>
        <v>Defensive</v>
      </c>
      <c r="BB600" s="23"/>
      <c r="BD600" s="21"/>
      <c r="BE600" s="21"/>
      <c r="BF600" s="21"/>
      <c r="BG600" s="21"/>
      <c r="BH600" s="21"/>
      <c r="BI600" s="21"/>
    </row>
    <row r="601" spans="1:61" x14ac:dyDescent="0.2">
      <c r="A601">
        <v>291</v>
      </c>
      <c r="B601">
        <v>52</v>
      </c>
      <c r="C601">
        <f t="shared" si="69"/>
        <v>9052</v>
      </c>
      <c r="D601">
        <f t="shared" si="75"/>
        <v>9052</v>
      </c>
      <c r="H601">
        <f t="shared" si="71"/>
        <v>1</v>
      </c>
      <c r="R601">
        <v>84</v>
      </c>
      <c r="T601" t="str">
        <f t="shared" si="70"/>
        <v>o</v>
      </c>
      <c r="Y601" t="s">
        <v>806</v>
      </c>
      <c r="AJ601">
        <v>1</v>
      </c>
      <c r="AM601" t="str">
        <f t="shared" si="73"/>
        <v>Shot</v>
      </c>
      <c r="AN601" t="str">
        <f t="shared" si="74"/>
        <v>Shot_TippedOnNetSaved</v>
      </c>
      <c r="AP601" t="str">
        <f t="shared" si="72"/>
        <v>Defensive</v>
      </c>
      <c r="BB601" s="23"/>
      <c r="BD601" s="21"/>
      <c r="BE601" s="21"/>
      <c r="BF601" s="21"/>
      <c r="BG601" s="21"/>
      <c r="BH601" s="21"/>
      <c r="BI601" s="21"/>
    </row>
    <row r="602" spans="1:61" x14ac:dyDescent="0.2">
      <c r="A602">
        <v>292</v>
      </c>
      <c r="B602">
        <v>52</v>
      </c>
      <c r="C602">
        <f t="shared" si="69"/>
        <v>9052</v>
      </c>
      <c r="D602">
        <f t="shared" si="75"/>
        <v>9052</v>
      </c>
      <c r="H602">
        <f t="shared" si="71"/>
        <v>1</v>
      </c>
      <c r="I602" s="5" t="s">
        <v>734</v>
      </c>
      <c r="J602" s="5" t="s">
        <v>760</v>
      </c>
      <c r="Q602" t="s">
        <v>620</v>
      </c>
      <c r="R602">
        <v>39</v>
      </c>
      <c r="S602">
        <v>1</v>
      </c>
      <c r="T602" t="str">
        <f t="shared" si="70"/>
        <v>e</v>
      </c>
      <c r="U602" t="s">
        <v>17</v>
      </c>
      <c r="V602" t="s">
        <v>206</v>
      </c>
      <c r="W602" t="s">
        <v>99</v>
      </c>
      <c r="AC602" t="s">
        <v>629</v>
      </c>
      <c r="AE602">
        <v>1</v>
      </c>
      <c r="AF602" t="s">
        <v>623</v>
      </c>
      <c r="AM602" t="str">
        <f t="shared" si="73"/>
        <v>Save</v>
      </c>
      <c r="AN602" t="str">
        <f t="shared" si="74"/>
        <v>Save_Freeze</v>
      </c>
      <c r="AP602" t="str">
        <f t="shared" si="72"/>
        <v>Defensive</v>
      </c>
      <c r="BB602" s="23"/>
      <c r="BD602" s="21"/>
      <c r="BE602" s="21"/>
      <c r="BF602" s="21"/>
      <c r="BG602" s="21"/>
      <c r="BH602" s="21"/>
      <c r="BI602" s="21"/>
    </row>
    <row r="603" spans="1:61" x14ac:dyDescent="0.2">
      <c r="A603">
        <v>292</v>
      </c>
      <c r="B603">
        <v>52</v>
      </c>
      <c r="C603">
        <f t="shared" si="69"/>
        <v>9052</v>
      </c>
      <c r="D603">
        <f t="shared" si="75"/>
        <v>9052</v>
      </c>
      <c r="H603">
        <f t="shared" si="71"/>
        <v>1</v>
      </c>
      <c r="R603">
        <v>84</v>
      </c>
      <c r="S603">
        <v>1</v>
      </c>
      <c r="T603" t="str">
        <f t="shared" si="70"/>
        <v>e</v>
      </c>
      <c r="Y603" t="s">
        <v>806</v>
      </c>
      <c r="AJ603">
        <v>1</v>
      </c>
      <c r="AM603" t="str">
        <f t="shared" si="73"/>
        <v>Save</v>
      </c>
      <c r="AN603" t="str">
        <f t="shared" si="74"/>
        <v>Save_Freeze</v>
      </c>
      <c r="AP603" t="str">
        <f t="shared" si="72"/>
        <v>Defensive</v>
      </c>
      <c r="BB603" s="23"/>
      <c r="BD603" s="21"/>
      <c r="BE603" s="21"/>
      <c r="BF603" s="21"/>
      <c r="BG603" s="21"/>
      <c r="BH603" s="21"/>
      <c r="BI603" s="21"/>
    </row>
    <row r="604" spans="1:61" x14ac:dyDescent="0.2">
      <c r="A604">
        <v>292</v>
      </c>
      <c r="B604">
        <v>52</v>
      </c>
      <c r="C604">
        <f t="shared" si="69"/>
        <v>9052</v>
      </c>
      <c r="D604">
        <f t="shared" si="75"/>
        <v>9052</v>
      </c>
      <c r="H604">
        <f t="shared" si="71"/>
        <v>1</v>
      </c>
      <c r="R604">
        <v>12</v>
      </c>
      <c r="T604" t="str">
        <f t="shared" si="70"/>
        <v>o</v>
      </c>
      <c r="Y604" t="s">
        <v>770</v>
      </c>
      <c r="AJ604">
        <v>1</v>
      </c>
      <c r="AM604" t="str">
        <f t="shared" si="73"/>
        <v>Save</v>
      </c>
      <c r="AN604" t="str">
        <f t="shared" si="74"/>
        <v>Save_Freeze</v>
      </c>
      <c r="AP604" t="str">
        <f t="shared" si="72"/>
        <v>Offensive</v>
      </c>
      <c r="BB604" s="23"/>
      <c r="BD604" s="21"/>
      <c r="BE604" s="21"/>
      <c r="BF604" s="21"/>
      <c r="BG604" s="21"/>
      <c r="BH604" s="21"/>
      <c r="BI604" s="21"/>
    </row>
    <row r="605" spans="1:61" x14ac:dyDescent="0.2">
      <c r="A605">
        <v>293</v>
      </c>
      <c r="B605">
        <v>52</v>
      </c>
      <c r="C605">
        <f t="shared" si="69"/>
        <v>9052</v>
      </c>
      <c r="D605">
        <f t="shared" si="75"/>
        <v>9052</v>
      </c>
      <c r="H605">
        <f t="shared" si="71"/>
        <v>1</v>
      </c>
      <c r="I605" s="5" t="s">
        <v>734</v>
      </c>
      <c r="J605" s="5" t="s">
        <v>731</v>
      </c>
      <c r="R605">
        <v>39</v>
      </c>
      <c r="S605">
        <v>1</v>
      </c>
      <c r="T605" t="str">
        <f t="shared" si="70"/>
        <v>e</v>
      </c>
      <c r="U605" t="s">
        <v>13</v>
      </c>
      <c r="V605" t="s">
        <v>204</v>
      </c>
      <c r="W605" t="s">
        <v>110</v>
      </c>
      <c r="AF605" t="s">
        <v>623</v>
      </c>
      <c r="AM605" t="str">
        <f t="shared" si="73"/>
        <v>Stoppage</v>
      </c>
      <c r="AN605" t="str">
        <f t="shared" si="74"/>
        <v>Stoppage_Play</v>
      </c>
      <c r="AP605" t="str">
        <f t="shared" si="72"/>
        <v/>
      </c>
      <c r="BB605" s="23"/>
      <c r="BD605" s="21"/>
      <c r="BE605" s="21"/>
      <c r="BF605" s="21"/>
      <c r="BG605" s="21"/>
      <c r="BH605" s="21"/>
      <c r="BI605" s="21"/>
    </row>
    <row r="606" spans="1:61" x14ac:dyDescent="0.2">
      <c r="A606">
        <v>294</v>
      </c>
      <c r="B606">
        <v>52</v>
      </c>
      <c r="C606">
        <f t="shared" si="69"/>
        <v>9052</v>
      </c>
      <c r="D606">
        <f t="shared" si="75"/>
        <v>9052</v>
      </c>
      <c r="H606">
        <f t="shared" si="71"/>
        <v>1</v>
      </c>
      <c r="I606" s="5" t="s">
        <v>734</v>
      </c>
      <c r="J606" s="5" t="s">
        <v>731</v>
      </c>
      <c r="K606" s="5" t="s">
        <v>734</v>
      </c>
      <c r="L606" s="7" t="s">
        <v>446</v>
      </c>
      <c r="R606">
        <v>39</v>
      </c>
      <c r="S606">
        <v>1</v>
      </c>
      <c r="T606" t="str">
        <f t="shared" si="70"/>
        <v>e</v>
      </c>
      <c r="U606" t="s">
        <v>262</v>
      </c>
      <c r="AF606" t="s">
        <v>623</v>
      </c>
      <c r="AM606" t="str">
        <f t="shared" si="73"/>
        <v>DeadIce</v>
      </c>
      <c r="AN606" t="str">
        <f t="shared" si="74"/>
        <v/>
      </c>
      <c r="AP606" t="str">
        <f t="shared" si="72"/>
        <v/>
      </c>
      <c r="BB606" s="23"/>
      <c r="BD606" s="21"/>
      <c r="BE606" s="21"/>
      <c r="BF606" s="21"/>
      <c r="BG606" s="21"/>
      <c r="BH606" s="21"/>
      <c r="BI606" s="21"/>
    </row>
    <row r="607" spans="1:61" x14ac:dyDescent="0.2">
      <c r="A607">
        <v>295</v>
      </c>
      <c r="B607" t="s">
        <v>887</v>
      </c>
      <c r="C607" t="str">
        <f t="shared" si="69"/>
        <v/>
      </c>
      <c r="D607" t="str">
        <f t="shared" si="75"/>
        <v/>
      </c>
      <c r="H607">
        <f t="shared" si="71"/>
        <v>1</v>
      </c>
      <c r="I607" s="5" t="s">
        <v>734</v>
      </c>
      <c r="J607" s="5" t="s">
        <v>446</v>
      </c>
      <c r="Q607" t="s">
        <v>619</v>
      </c>
      <c r="R607">
        <v>3</v>
      </c>
      <c r="S607">
        <v>1</v>
      </c>
      <c r="T607" t="str">
        <f t="shared" si="70"/>
        <v>e</v>
      </c>
      <c r="U607" t="s">
        <v>6</v>
      </c>
      <c r="V607" t="s">
        <v>255</v>
      </c>
      <c r="AF607" t="s">
        <v>401</v>
      </c>
      <c r="AM607" t="str">
        <f t="shared" si="73"/>
        <v>Faceoff</v>
      </c>
      <c r="AN607" t="str">
        <f t="shared" si="74"/>
        <v>Faceoff_AfterStoppage</v>
      </c>
      <c r="AP607" t="str">
        <f t="shared" si="72"/>
        <v>Offensive</v>
      </c>
      <c r="BB607" s="23"/>
      <c r="BD607" s="21"/>
      <c r="BE607" s="21"/>
      <c r="BF607" s="21"/>
      <c r="BG607" s="21"/>
      <c r="BH607" s="21"/>
      <c r="BI607" s="21"/>
    </row>
    <row r="608" spans="1:61" x14ac:dyDescent="0.2">
      <c r="A608">
        <v>295</v>
      </c>
      <c r="B608" t="s">
        <v>887</v>
      </c>
      <c r="C608" t="str">
        <f t="shared" si="69"/>
        <v/>
      </c>
      <c r="D608" t="str">
        <f t="shared" si="75"/>
        <v/>
      </c>
      <c r="H608">
        <f t="shared" si="71"/>
        <v>1</v>
      </c>
      <c r="R608">
        <v>70</v>
      </c>
      <c r="T608" t="str">
        <f t="shared" si="70"/>
        <v>o</v>
      </c>
      <c r="AM608" t="str">
        <f t="shared" si="73"/>
        <v>Faceoff</v>
      </c>
      <c r="AN608" t="str">
        <f t="shared" si="74"/>
        <v>Faceoff_AfterStoppage</v>
      </c>
      <c r="AP608" t="str">
        <f t="shared" si="72"/>
        <v>Defensive</v>
      </c>
      <c r="BB608" s="23"/>
      <c r="BD608" s="21"/>
      <c r="BE608" s="21"/>
      <c r="BF608" s="21"/>
      <c r="BG608" s="21"/>
      <c r="BH608" s="21"/>
      <c r="BI608" s="21"/>
    </row>
    <row r="609" spans="1:61" x14ac:dyDescent="0.2">
      <c r="A609">
        <v>296</v>
      </c>
      <c r="B609" t="s">
        <v>887</v>
      </c>
      <c r="C609" t="str">
        <f t="shared" si="69"/>
        <v/>
      </c>
      <c r="D609" t="str">
        <f t="shared" si="75"/>
        <v/>
      </c>
      <c r="H609">
        <f t="shared" si="71"/>
        <v>1</v>
      </c>
      <c r="I609" s="5" t="s">
        <v>815</v>
      </c>
      <c r="J609" s="5" t="s">
        <v>637</v>
      </c>
      <c r="Q609" t="s">
        <v>619</v>
      </c>
      <c r="R609">
        <v>18</v>
      </c>
      <c r="S609">
        <v>1</v>
      </c>
      <c r="T609" t="str">
        <f t="shared" si="70"/>
        <v>e</v>
      </c>
      <c r="U609" t="s">
        <v>7</v>
      </c>
      <c r="V609" t="s">
        <v>198</v>
      </c>
      <c r="W609" t="s">
        <v>53</v>
      </c>
      <c r="AF609" t="s">
        <v>401</v>
      </c>
      <c r="AM609" t="str">
        <f t="shared" si="73"/>
        <v>Shot</v>
      </c>
      <c r="AN609" t="str">
        <f t="shared" si="74"/>
        <v>Shot_Missed</v>
      </c>
      <c r="AP609" t="str">
        <f t="shared" si="72"/>
        <v>Offensive</v>
      </c>
      <c r="BB609" s="23"/>
      <c r="BD609" s="21"/>
      <c r="BE609" s="21"/>
      <c r="BF609" s="21"/>
      <c r="BG609" s="21"/>
      <c r="BH609" s="21"/>
      <c r="BI609" s="21"/>
    </row>
    <row r="610" spans="1:61" x14ac:dyDescent="0.2">
      <c r="A610">
        <v>297</v>
      </c>
      <c r="B610" t="s">
        <v>887</v>
      </c>
      <c r="C610" t="str">
        <f t="shared" si="69"/>
        <v/>
      </c>
      <c r="D610" t="str">
        <f t="shared" si="75"/>
        <v/>
      </c>
      <c r="H610">
        <f t="shared" si="71"/>
        <v>1</v>
      </c>
      <c r="I610" s="5" t="s">
        <v>815</v>
      </c>
      <c r="J610" s="5" t="s">
        <v>751</v>
      </c>
      <c r="K610" s="5" t="s">
        <v>815</v>
      </c>
      <c r="L610" s="7" t="s">
        <v>773</v>
      </c>
      <c r="Q610" t="s">
        <v>619</v>
      </c>
      <c r="R610">
        <v>12</v>
      </c>
      <c r="S610">
        <v>1</v>
      </c>
      <c r="T610" t="str">
        <f t="shared" si="70"/>
        <v>e</v>
      </c>
      <c r="U610" t="s">
        <v>15</v>
      </c>
      <c r="V610" t="s">
        <v>697</v>
      </c>
      <c r="X610" t="s">
        <v>706</v>
      </c>
      <c r="Y610" t="s">
        <v>683</v>
      </c>
      <c r="AA610" t="s">
        <v>706</v>
      </c>
      <c r="AM610" t="str">
        <f t="shared" si="73"/>
        <v>Possession</v>
      </c>
      <c r="AN610" t="str">
        <f t="shared" si="74"/>
        <v>PuckRetrieval</v>
      </c>
      <c r="AP610" t="str">
        <f t="shared" si="72"/>
        <v>Offensive</v>
      </c>
      <c r="BB610" s="23"/>
      <c r="BD610" s="21"/>
      <c r="BE610" s="21"/>
      <c r="BF610" s="21"/>
      <c r="BG610" s="21"/>
      <c r="BH610" s="21"/>
      <c r="BI610" s="21"/>
    </row>
    <row r="611" spans="1:61" x14ac:dyDescent="0.2">
      <c r="A611">
        <v>298</v>
      </c>
      <c r="B611" t="s">
        <v>887</v>
      </c>
      <c r="C611" t="str">
        <f t="shared" si="69"/>
        <v/>
      </c>
      <c r="D611" t="str">
        <f t="shared" si="75"/>
        <v/>
      </c>
      <c r="H611">
        <f t="shared" si="71"/>
        <v>1</v>
      </c>
      <c r="I611" s="5" t="s">
        <v>815</v>
      </c>
      <c r="J611" s="5" t="s">
        <v>773</v>
      </c>
      <c r="Q611" t="s">
        <v>619</v>
      </c>
      <c r="R611">
        <v>12</v>
      </c>
      <c r="S611">
        <v>1</v>
      </c>
      <c r="T611" t="str">
        <f t="shared" si="70"/>
        <v>e</v>
      </c>
      <c r="U611" t="s">
        <v>8</v>
      </c>
      <c r="V611" t="s">
        <v>189</v>
      </c>
      <c r="W611" t="s">
        <v>70</v>
      </c>
      <c r="X611" t="s">
        <v>706</v>
      </c>
      <c r="AB611" t="s">
        <v>796</v>
      </c>
      <c r="AF611" t="s">
        <v>401</v>
      </c>
      <c r="AJ611">
        <v>1</v>
      </c>
      <c r="AM611" t="str">
        <f t="shared" si="73"/>
        <v>Pass</v>
      </c>
      <c r="AN611" t="str">
        <f t="shared" si="74"/>
        <v>Pass_Completed</v>
      </c>
      <c r="AP611" t="str">
        <f t="shared" si="72"/>
        <v>Offensive</v>
      </c>
      <c r="BB611" s="23"/>
      <c r="BD611" s="21"/>
      <c r="BE611" s="21"/>
      <c r="BF611" s="21"/>
      <c r="BG611" s="21"/>
      <c r="BH611" s="21"/>
      <c r="BI611" s="21"/>
    </row>
    <row r="612" spans="1:61" x14ac:dyDescent="0.2">
      <c r="A612">
        <v>298</v>
      </c>
      <c r="B612" t="s">
        <v>887</v>
      </c>
      <c r="C612" t="str">
        <f t="shared" si="69"/>
        <v/>
      </c>
      <c r="D612" t="str">
        <f t="shared" si="75"/>
        <v/>
      </c>
      <c r="H612">
        <f t="shared" si="71"/>
        <v>1</v>
      </c>
      <c r="R612">
        <v>56</v>
      </c>
      <c r="S612">
        <v>1</v>
      </c>
      <c r="T612" t="str">
        <f t="shared" si="70"/>
        <v>e</v>
      </c>
      <c r="AJ612">
        <v>1</v>
      </c>
      <c r="AM612" t="str">
        <f t="shared" si="73"/>
        <v>Pass</v>
      </c>
      <c r="AN612" t="str">
        <f t="shared" si="74"/>
        <v>Pass_Completed</v>
      </c>
      <c r="AP612" t="str">
        <f t="shared" si="72"/>
        <v>Offensive</v>
      </c>
      <c r="BB612" s="23"/>
      <c r="BD612" s="21"/>
      <c r="BE612" s="21"/>
      <c r="BF612" s="21"/>
      <c r="BG612" s="21"/>
      <c r="BH612" s="21"/>
      <c r="BI612" s="21"/>
    </row>
    <row r="613" spans="1:61" x14ac:dyDescent="0.2">
      <c r="A613">
        <v>298</v>
      </c>
      <c r="B613" t="s">
        <v>887</v>
      </c>
      <c r="C613" t="str">
        <f t="shared" si="69"/>
        <v/>
      </c>
      <c r="D613" t="str">
        <f t="shared" si="75"/>
        <v/>
      </c>
      <c r="H613">
        <f t="shared" si="71"/>
        <v>1</v>
      </c>
      <c r="R613">
        <v>70</v>
      </c>
      <c r="T613" t="str">
        <f t="shared" si="70"/>
        <v>o</v>
      </c>
      <c r="Y613" t="s">
        <v>722</v>
      </c>
      <c r="AJ613">
        <v>1</v>
      </c>
      <c r="AM613" t="str">
        <f t="shared" si="73"/>
        <v>Pass</v>
      </c>
      <c r="AN613" t="str">
        <f t="shared" si="74"/>
        <v>Pass_Completed</v>
      </c>
      <c r="AP613" t="str">
        <f t="shared" si="72"/>
        <v>Defensive</v>
      </c>
      <c r="BB613" s="23"/>
      <c r="BD613" s="21"/>
      <c r="BE613" s="21"/>
      <c r="BF613" s="21"/>
      <c r="BG613" s="21"/>
      <c r="BH613" s="21"/>
      <c r="BI613" s="21"/>
    </row>
    <row r="614" spans="1:61" x14ac:dyDescent="0.2">
      <c r="A614">
        <v>298</v>
      </c>
      <c r="B614" t="s">
        <v>887</v>
      </c>
      <c r="C614" t="str">
        <f t="shared" si="69"/>
        <v/>
      </c>
      <c r="D614" t="str">
        <f t="shared" si="75"/>
        <v/>
      </c>
      <c r="H614">
        <f t="shared" si="71"/>
        <v>1</v>
      </c>
      <c r="R614">
        <v>22</v>
      </c>
      <c r="T614" t="str">
        <f t="shared" si="70"/>
        <v>o</v>
      </c>
      <c r="Y614" t="s">
        <v>722</v>
      </c>
      <c r="AJ614">
        <v>1</v>
      </c>
      <c r="AM614" t="str">
        <f t="shared" si="73"/>
        <v>Pass</v>
      </c>
      <c r="AN614" t="str">
        <f t="shared" si="74"/>
        <v>Pass_Completed</v>
      </c>
      <c r="AP614" t="str">
        <f t="shared" si="72"/>
        <v>Defensive</v>
      </c>
      <c r="BB614" s="23"/>
      <c r="BD614" s="21"/>
      <c r="BE614" s="21"/>
      <c r="BF614" s="21"/>
      <c r="BG614" s="21"/>
      <c r="BH614" s="21"/>
      <c r="BI614" s="21"/>
    </row>
    <row r="615" spans="1:61" x14ac:dyDescent="0.2">
      <c r="A615">
        <v>299</v>
      </c>
      <c r="B615">
        <v>53</v>
      </c>
      <c r="C615">
        <f t="shared" si="69"/>
        <v>9053</v>
      </c>
      <c r="D615">
        <f t="shared" si="75"/>
        <v>9053</v>
      </c>
      <c r="H615">
        <f t="shared" si="71"/>
        <v>1</v>
      </c>
      <c r="I615" s="5" t="s">
        <v>815</v>
      </c>
      <c r="J615" s="5" t="s">
        <v>639</v>
      </c>
      <c r="Q615" t="s">
        <v>619</v>
      </c>
      <c r="R615">
        <v>56</v>
      </c>
      <c r="S615">
        <v>1</v>
      </c>
      <c r="T615" t="str">
        <f t="shared" si="70"/>
        <v>e</v>
      </c>
      <c r="U615" t="s">
        <v>7</v>
      </c>
      <c r="V615" t="s">
        <v>222</v>
      </c>
      <c r="W615" t="s">
        <v>53</v>
      </c>
      <c r="AF615" t="s">
        <v>401</v>
      </c>
      <c r="AM615" t="str">
        <f t="shared" si="73"/>
        <v>Shot</v>
      </c>
      <c r="AN615" t="str">
        <f t="shared" si="74"/>
        <v>Shot_OnNetSaved</v>
      </c>
      <c r="AP615" t="str">
        <f t="shared" si="72"/>
        <v>Offensive</v>
      </c>
      <c r="BB615" s="23"/>
      <c r="BD615" s="21"/>
      <c r="BE615" s="21"/>
      <c r="BF615" s="21"/>
      <c r="BG615" s="21"/>
      <c r="BH615" s="21"/>
      <c r="BI615" s="21"/>
    </row>
    <row r="616" spans="1:61" x14ac:dyDescent="0.2">
      <c r="A616">
        <v>299</v>
      </c>
      <c r="B616">
        <v>53</v>
      </c>
      <c r="C616">
        <f t="shared" si="69"/>
        <v>9053</v>
      </c>
      <c r="D616">
        <f t="shared" si="75"/>
        <v>9053</v>
      </c>
      <c r="H616">
        <f t="shared" si="71"/>
        <v>1</v>
      </c>
      <c r="R616">
        <v>39</v>
      </c>
      <c r="T616" t="str">
        <f t="shared" si="70"/>
        <v>o</v>
      </c>
      <c r="AM616" t="str">
        <f t="shared" si="73"/>
        <v>Shot</v>
      </c>
      <c r="AN616" t="str">
        <f t="shared" si="74"/>
        <v>Shot_OnNetSaved</v>
      </c>
      <c r="AP616" t="str">
        <f t="shared" si="72"/>
        <v>Defensive</v>
      </c>
      <c r="BB616" s="23"/>
      <c r="BD616" s="21"/>
      <c r="BE616" s="21"/>
      <c r="BF616" s="21"/>
      <c r="BG616" s="21"/>
      <c r="BH616" s="21"/>
      <c r="BI616" s="21"/>
    </row>
    <row r="617" spans="1:61" x14ac:dyDescent="0.2">
      <c r="A617">
        <v>300</v>
      </c>
      <c r="B617">
        <v>53</v>
      </c>
      <c r="C617">
        <f t="shared" si="69"/>
        <v>9053</v>
      </c>
      <c r="D617">
        <f t="shared" si="75"/>
        <v>9053</v>
      </c>
      <c r="H617">
        <f t="shared" si="71"/>
        <v>1</v>
      </c>
      <c r="I617" s="5" t="s">
        <v>815</v>
      </c>
      <c r="J617" s="5" t="s">
        <v>639</v>
      </c>
      <c r="Q617" t="s">
        <v>620</v>
      </c>
      <c r="R617">
        <v>39</v>
      </c>
      <c r="S617">
        <v>1</v>
      </c>
      <c r="T617" t="str">
        <f t="shared" si="70"/>
        <v>e</v>
      </c>
      <c r="U617" t="s">
        <v>17</v>
      </c>
      <c r="V617" t="s">
        <v>196</v>
      </c>
      <c r="W617" t="s">
        <v>451</v>
      </c>
      <c r="AF617" t="s">
        <v>623</v>
      </c>
      <c r="AM617" t="str">
        <f t="shared" si="73"/>
        <v>Save</v>
      </c>
      <c r="AN617" t="str">
        <f t="shared" si="74"/>
        <v>Save_Rebound</v>
      </c>
      <c r="AP617" t="str">
        <f t="shared" si="72"/>
        <v>Defensive</v>
      </c>
      <c r="BB617" s="23"/>
      <c r="BD617" s="21"/>
      <c r="BE617" s="21"/>
      <c r="BF617" s="21"/>
      <c r="BG617" s="21"/>
      <c r="BH617" s="21"/>
      <c r="BI617" s="21"/>
    </row>
    <row r="618" spans="1:61" x14ac:dyDescent="0.2">
      <c r="A618">
        <v>300</v>
      </c>
      <c r="B618">
        <v>53</v>
      </c>
      <c r="C618">
        <f t="shared" si="69"/>
        <v>9053</v>
      </c>
      <c r="D618">
        <f t="shared" si="75"/>
        <v>9053</v>
      </c>
      <c r="H618">
        <f t="shared" si="71"/>
        <v>1</v>
      </c>
      <c r="R618">
        <v>56</v>
      </c>
      <c r="T618" t="str">
        <f t="shared" si="70"/>
        <v>o</v>
      </c>
      <c r="AM618" t="str">
        <f t="shared" si="73"/>
        <v>Save</v>
      </c>
      <c r="AN618" t="str">
        <f t="shared" si="74"/>
        <v>Save_Rebound</v>
      </c>
      <c r="AP618" t="str">
        <f t="shared" si="72"/>
        <v>Offensive</v>
      </c>
      <c r="BB618" s="23"/>
      <c r="BD618" s="21"/>
      <c r="BE618" s="21"/>
      <c r="BF618" s="21"/>
      <c r="BG618" s="21"/>
      <c r="BH618" s="21"/>
      <c r="BI618" s="21"/>
    </row>
    <row r="619" spans="1:61" x14ac:dyDescent="0.2">
      <c r="A619">
        <v>301</v>
      </c>
      <c r="B619">
        <v>53</v>
      </c>
      <c r="C619">
        <f t="shared" si="69"/>
        <v>9053</v>
      </c>
      <c r="D619">
        <f t="shared" si="75"/>
        <v>9053</v>
      </c>
      <c r="H619">
        <f t="shared" si="71"/>
        <v>1</v>
      </c>
      <c r="I619" s="5" t="s">
        <v>815</v>
      </c>
      <c r="J619" s="5" t="s">
        <v>639</v>
      </c>
      <c r="Q619" t="s">
        <v>620</v>
      </c>
      <c r="R619">
        <v>39</v>
      </c>
      <c r="S619">
        <v>1</v>
      </c>
      <c r="T619" t="str">
        <f t="shared" si="70"/>
        <v>e</v>
      </c>
      <c r="U619" t="s">
        <v>250</v>
      </c>
      <c r="V619" t="s">
        <v>253</v>
      </c>
      <c r="AF619" t="s">
        <v>623</v>
      </c>
      <c r="AM619" t="str">
        <f t="shared" si="73"/>
        <v>Rebound</v>
      </c>
      <c r="AN619" t="str">
        <f t="shared" si="74"/>
        <v>Rebound_ShotGenerated</v>
      </c>
      <c r="AP619" t="str">
        <f t="shared" si="72"/>
        <v>Offensive</v>
      </c>
      <c r="BB619" s="23"/>
      <c r="BD619" s="21"/>
      <c r="BE619" s="21"/>
      <c r="BF619" s="21"/>
      <c r="BG619" s="21"/>
      <c r="BH619" s="21"/>
      <c r="BI619" s="21"/>
    </row>
    <row r="620" spans="1:61" x14ac:dyDescent="0.2">
      <c r="A620">
        <v>302</v>
      </c>
      <c r="B620" t="s">
        <v>887</v>
      </c>
      <c r="C620" t="str">
        <f t="shared" si="69"/>
        <v/>
      </c>
      <c r="D620" t="str">
        <f t="shared" si="75"/>
        <v/>
      </c>
      <c r="H620">
        <f t="shared" si="71"/>
        <v>1</v>
      </c>
      <c r="I620" s="5" t="s">
        <v>815</v>
      </c>
      <c r="J620" s="5" t="s">
        <v>639</v>
      </c>
      <c r="Q620" t="s">
        <v>619</v>
      </c>
      <c r="R620">
        <v>56</v>
      </c>
      <c r="S620">
        <v>1</v>
      </c>
      <c r="T620" t="str">
        <f t="shared" si="70"/>
        <v>e</v>
      </c>
      <c r="U620" t="s">
        <v>15</v>
      </c>
      <c r="V620" t="s">
        <v>698</v>
      </c>
      <c r="X620" t="s">
        <v>706</v>
      </c>
      <c r="Y620" t="s">
        <v>808</v>
      </c>
      <c r="AA620" t="s">
        <v>706</v>
      </c>
      <c r="AF620" t="s">
        <v>401</v>
      </c>
      <c r="AM620" t="str">
        <f t="shared" si="73"/>
        <v>Possession</v>
      </c>
      <c r="AN620" t="str">
        <f t="shared" si="74"/>
        <v>PuckRecovery</v>
      </c>
      <c r="AP620" t="str">
        <f t="shared" si="72"/>
        <v>Offensive</v>
      </c>
      <c r="BB620" s="23"/>
      <c r="BD620" s="21"/>
      <c r="BE620" s="21"/>
      <c r="BF620" s="21"/>
      <c r="BG620" s="21"/>
      <c r="BH620" s="21"/>
      <c r="BI620" s="21"/>
    </row>
    <row r="621" spans="1:61" x14ac:dyDescent="0.2">
      <c r="A621">
        <v>303</v>
      </c>
      <c r="B621" t="s">
        <v>887</v>
      </c>
      <c r="C621" t="str">
        <f t="shared" si="69"/>
        <v/>
      </c>
      <c r="D621" t="str">
        <f t="shared" si="75"/>
        <v/>
      </c>
      <c r="H621">
        <f t="shared" si="71"/>
        <v>1</v>
      </c>
      <c r="I621" s="5" t="s">
        <v>815</v>
      </c>
      <c r="J621" s="5" t="s">
        <v>753</v>
      </c>
      <c r="Q621" t="s">
        <v>619</v>
      </c>
      <c r="R621">
        <v>56</v>
      </c>
      <c r="S621">
        <v>1</v>
      </c>
      <c r="T621" t="str">
        <f t="shared" si="70"/>
        <v>e</v>
      </c>
      <c r="U621" t="s">
        <v>15</v>
      </c>
      <c r="V621" t="s">
        <v>698</v>
      </c>
      <c r="X621" t="s">
        <v>706</v>
      </c>
      <c r="Y621" t="s">
        <v>808</v>
      </c>
      <c r="AA621" t="s">
        <v>706</v>
      </c>
      <c r="AF621" t="s">
        <v>401</v>
      </c>
      <c r="AM621" t="str">
        <f t="shared" si="73"/>
        <v>Possession</v>
      </c>
      <c r="AN621" t="str">
        <f t="shared" si="74"/>
        <v>PuckRecovery</v>
      </c>
      <c r="AP621" t="str">
        <f t="shared" si="72"/>
        <v>Offensive</v>
      </c>
      <c r="BB621" s="23"/>
      <c r="BD621" s="21"/>
      <c r="BE621" s="21"/>
      <c r="BF621" s="21"/>
      <c r="BG621" s="21"/>
      <c r="BH621" s="21"/>
      <c r="BI621" s="21"/>
    </row>
    <row r="622" spans="1:61" x14ac:dyDescent="0.2">
      <c r="A622">
        <v>304</v>
      </c>
      <c r="B622" t="s">
        <v>887</v>
      </c>
      <c r="C622" t="str">
        <f t="shared" si="69"/>
        <v/>
      </c>
      <c r="D622" t="str">
        <f t="shared" si="75"/>
        <v/>
      </c>
      <c r="H622">
        <f t="shared" si="71"/>
        <v>1</v>
      </c>
      <c r="I622" s="5" t="s">
        <v>815</v>
      </c>
      <c r="J622" s="5" t="s">
        <v>753</v>
      </c>
      <c r="Q622" t="s">
        <v>619</v>
      </c>
      <c r="R622">
        <v>56</v>
      </c>
      <c r="S622">
        <v>1</v>
      </c>
      <c r="T622" t="str">
        <f t="shared" si="70"/>
        <v>e</v>
      </c>
      <c r="U622" t="s">
        <v>7</v>
      </c>
      <c r="V622" t="s">
        <v>198</v>
      </c>
      <c r="W622" t="s">
        <v>59</v>
      </c>
      <c r="AF622" t="s">
        <v>401</v>
      </c>
      <c r="AM622" t="str">
        <f t="shared" si="73"/>
        <v>Shot</v>
      </c>
      <c r="AN622" t="str">
        <f t="shared" si="74"/>
        <v>Shot_Missed</v>
      </c>
      <c r="AP622" t="str">
        <f t="shared" si="72"/>
        <v>Offensive</v>
      </c>
      <c r="BB622" s="23"/>
      <c r="BD622" s="21"/>
      <c r="BE622" s="21"/>
      <c r="BF622" s="21"/>
      <c r="BG622" s="21"/>
      <c r="BH622" s="21"/>
      <c r="BI622" s="21"/>
    </row>
    <row r="623" spans="1:61" x14ac:dyDescent="0.2">
      <c r="A623">
        <v>305</v>
      </c>
      <c r="B623" t="s">
        <v>887</v>
      </c>
      <c r="C623" t="str">
        <f t="shared" si="69"/>
        <v/>
      </c>
      <c r="D623" t="str">
        <f t="shared" si="75"/>
        <v/>
      </c>
      <c r="H623">
        <f t="shared" si="71"/>
        <v>1</v>
      </c>
      <c r="I623" s="5" t="s">
        <v>815</v>
      </c>
      <c r="J623" s="5" t="s">
        <v>753</v>
      </c>
      <c r="K623" s="5" t="s">
        <v>815</v>
      </c>
      <c r="L623" s="7" t="s">
        <v>672</v>
      </c>
      <c r="Q623" t="s">
        <v>619</v>
      </c>
      <c r="R623">
        <v>56</v>
      </c>
      <c r="S623">
        <v>1</v>
      </c>
      <c r="T623" t="str">
        <f t="shared" si="70"/>
        <v>e</v>
      </c>
      <c r="U623" t="s">
        <v>15</v>
      </c>
      <c r="V623" t="s">
        <v>698</v>
      </c>
      <c r="X623" t="s">
        <v>706</v>
      </c>
      <c r="Y623" t="s">
        <v>808</v>
      </c>
      <c r="AA623" t="s">
        <v>706</v>
      </c>
      <c r="AF623" t="s">
        <v>401</v>
      </c>
      <c r="AM623" t="str">
        <f t="shared" si="73"/>
        <v>Possession</v>
      </c>
      <c r="AN623" t="str">
        <f t="shared" si="74"/>
        <v>PuckRecovery</v>
      </c>
      <c r="AP623" t="str">
        <f t="shared" si="72"/>
        <v>Offensive</v>
      </c>
      <c r="BB623" s="23"/>
      <c r="BD623" s="21"/>
      <c r="BE623" s="21"/>
      <c r="BF623" s="21"/>
      <c r="BG623" s="21"/>
      <c r="BH623" s="21"/>
      <c r="BI623" s="21"/>
    </row>
    <row r="624" spans="1:61" x14ac:dyDescent="0.2">
      <c r="A624">
        <v>306</v>
      </c>
      <c r="B624" t="s">
        <v>887</v>
      </c>
      <c r="C624" t="str">
        <f t="shared" si="69"/>
        <v/>
      </c>
      <c r="D624" t="str">
        <f t="shared" si="75"/>
        <v/>
      </c>
      <c r="H624">
        <f t="shared" si="71"/>
        <v>1</v>
      </c>
      <c r="I624" s="5" t="s">
        <v>815</v>
      </c>
      <c r="J624" s="5" t="s">
        <v>672</v>
      </c>
      <c r="Q624" t="s">
        <v>619</v>
      </c>
      <c r="R624">
        <v>56</v>
      </c>
      <c r="S624">
        <v>1</v>
      </c>
      <c r="T624" t="str">
        <f t="shared" si="70"/>
        <v>e</v>
      </c>
      <c r="U624" t="s">
        <v>8</v>
      </c>
      <c r="V624" t="s">
        <v>189</v>
      </c>
      <c r="W624" t="s">
        <v>68</v>
      </c>
      <c r="X624" t="s">
        <v>706</v>
      </c>
      <c r="AF624" t="s">
        <v>401</v>
      </c>
      <c r="AM624" t="str">
        <f t="shared" si="73"/>
        <v>Pass</v>
      </c>
      <c r="AN624" t="str">
        <f t="shared" si="74"/>
        <v>Pass_Completed</v>
      </c>
      <c r="AP624" t="str">
        <f t="shared" si="72"/>
        <v>Offensive</v>
      </c>
      <c r="BB624" s="23"/>
      <c r="BD624" s="21"/>
      <c r="BE624" s="21"/>
      <c r="BF624" s="21"/>
      <c r="BG624" s="21"/>
      <c r="BH624" s="21"/>
      <c r="BI624" s="21"/>
    </row>
    <row r="625" spans="1:61" x14ac:dyDescent="0.2">
      <c r="A625">
        <v>306</v>
      </c>
      <c r="B625" t="s">
        <v>887</v>
      </c>
      <c r="C625" t="str">
        <f t="shared" si="69"/>
        <v/>
      </c>
      <c r="D625" t="str">
        <f t="shared" si="75"/>
        <v/>
      </c>
      <c r="H625">
        <f t="shared" si="71"/>
        <v>1</v>
      </c>
      <c r="R625">
        <v>12</v>
      </c>
      <c r="S625">
        <v>1</v>
      </c>
      <c r="T625" t="str">
        <f t="shared" si="70"/>
        <v>e</v>
      </c>
      <c r="AM625" t="str">
        <f t="shared" si="73"/>
        <v>Pass</v>
      </c>
      <c r="AN625" t="str">
        <f t="shared" si="74"/>
        <v>Pass_Completed</v>
      </c>
      <c r="AP625" t="str">
        <f t="shared" si="72"/>
        <v>Offensive</v>
      </c>
      <c r="BB625" s="23"/>
      <c r="BD625" s="21"/>
      <c r="BE625" s="21"/>
      <c r="BF625" s="21"/>
      <c r="BG625" s="21"/>
      <c r="BH625" s="21"/>
      <c r="BI625" s="21"/>
    </row>
    <row r="626" spans="1:61" x14ac:dyDescent="0.2">
      <c r="A626">
        <v>307</v>
      </c>
      <c r="B626" t="s">
        <v>887</v>
      </c>
      <c r="C626" t="str">
        <f t="shared" si="69"/>
        <v/>
      </c>
      <c r="D626" t="str">
        <f t="shared" si="75"/>
        <v/>
      </c>
      <c r="H626">
        <f t="shared" si="71"/>
        <v>1</v>
      </c>
      <c r="I626" s="5" t="s">
        <v>815</v>
      </c>
      <c r="J626" s="5" t="s">
        <v>672</v>
      </c>
      <c r="K626" s="5" t="s">
        <v>815</v>
      </c>
      <c r="L626" s="7" t="s">
        <v>755</v>
      </c>
      <c r="Q626" t="s">
        <v>619</v>
      </c>
      <c r="R626">
        <v>12</v>
      </c>
      <c r="S626">
        <v>1</v>
      </c>
      <c r="T626" t="str">
        <f t="shared" si="70"/>
        <v>e</v>
      </c>
      <c r="U626" t="s">
        <v>15</v>
      </c>
      <c r="AF626" t="s">
        <v>401</v>
      </c>
      <c r="AJ626">
        <v>1</v>
      </c>
      <c r="AM626" t="str">
        <f t="shared" si="73"/>
        <v>Possession</v>
      </c>
      <c r="AN626" t="str">
        <f t="shared" si="74"/>
        <v/>
      </c>
      <c r="AP626" t="str">
        <f t="shared" si="72"/>
        <v>Offensive</v>
      </c>
      <c r="BB626" s="23"/>
      <c r="BD626" s="21"/>
      <c r="BE626" s="21"/>
      <c r="BF626" s="21"/>
      <c r="BG626" s="21"/>
      <c r="BH626" s="21"/>
      <c r="BI626" s="21"/>
    </row>
    <row r="627" spans="1:61" x14ac:dyDescent="0.2">
      <c r="A627">
        <v>307</v>
      </c>
      <c r="B627" t="s">
        <v>887</v>
      </c>
      <c r="C627" t="str">
        <f t="shared" si="69"/>
        <v/>
      </c>
      <c r="D627" t="str">
        <f t="shared" si="75"/>
        <v/>
      </c>
      <c r="H627">
        <f t="shared" si="71"/>
        <v>1</v>
      </c>
      <c r="R627">
        <v>22</v>
      </c>
      <c r="T627" t="str">
        <f t="shared" si="70"/>
        <v>o</v>
      </c>
      <c r="AJ627">
        <v>1</v>
      </c>
      <c r="AM627" t="str">
        <f t="shared" si="73"/>
        <v>Possession</v>
      </c>
      <c r="AN627" t="str">
        <f t="shared" si="74"/>
        <v/>
      </c>
      <c r="AP627" t="str">
        <f t="shared" si="72"/>
        <v>Defensive</v>
      </c>
      <c r="BB627" s="23"/>
      <c r="BD627" s="21"/>
      <c r="BE627" s="21"/>
      <c r="BF627" s="21"/>
      <c r="BG627" s="21"/>
      <c r="BH627" s="21"/>
      <c r="BI627" s="21"/>
    </row>
    <row r="628" spans="1:61" x14ac:dyDescent="0.2">
      <c r="A628">
        <v>308</v>
      </c>
      <c r="B628" t="s">
        <v>887</v>
      </c>
      <c r="C628" t="str">
        <f t="shared" si="69"/>
        <v/>
      </c>
      <c r="D628" t="str">
        <f t="shared" si="75"/>
        <v/>
      </c>
      <c r="H628">
        <f t="shared" si="71"/>
        <v>1</v>
      </c>
      <c r="I628" s="5" t="s">
        <v>815</v>
      </c>
      <c r="J628" s="5" t="s">
        <v>755</v>
      </c>
      <c r="Q628" t="s">
        <v>620</v>
      </c>
      <c r="R628">
        <v>22</v>
      </c>
      <c r="S628">
        <v>1</v>
      </c>
      <c r="T628" t="str">
        <f t="shared" si="70"/>
        <v>e</v>
      </c>
      <c r="U628" t="s">
        <v>10</v>
      </c>
      <c r="V628" t="s">
        <v>200</v>
      </c>
      <c r="W628" t="s">
        <v>82</v>
      </c>
      <c r="X628" t="s">
        <v>706</v>
      </c>
      <c r="Y628" t="s">
        <v>714</v>
      </c>
      <c r="AA628" t="s">
        <v>706</v>
      </c>
      <c r="AF628" t="s">
        <v>623</v>
      </c>
      <c r="AJ628">
        <v>1</v>
      </c>
      <c r="AM628" t="str">
        <f t="shared" si="73"/>
        <v>Turnover</v>
      </c>
      <c r="AN628" t="str">
        <f t="shared" si="74"/>
        <v>Turnover_Takeaway</v>
      </c>
      <c r="AP628" t="str">
        <f t="shared" si="72"/>
        <v>Defensive</v>
      </c>
      <c r="BB628" s="23"/>
      <c r="BD628" s="21"/>
      <c r="BE628" s="21"/>
      <c r="BF628" s="21"/>
      <c r="BG628" s="21"/>
      <c r="BH628" s="21"/>
      <c r="BI628" s="21"/>
    </row>
    <row r="629" spans="1:61" x14ac:dyDescent="0.2">
      <c r="A629">
        <v>308</v>
      </c>
      <c r="B629" t="s">
        <v>887</v>
      </c>
      <c r="C629" t="str">
        <f t="shared" si="69"/>
        <v/>
      </c>
      <c r="D629" t="str">
        <f t="shared" si="75"/>
        <v/>
      </c>
      <c r="H629">
        <f t="shared" si="71"/>
        <v>1</v>
      </c>
      <c r="R629">
        <v>12</v>
      </c>
      <c r="T629" t="str">
        <f t="shared" si="70"/>
        <v>o</v>
      </c>
      <c r="AJ629">
        <v>1</v>
      </c>
      <c r="AM629" t="str">
        <f t="shared" si="73"/>
        <v>Turnover</v>
      </c>
      <c r="AN629" t="str">
        <f t="shared" si="74"/>
        <v>Turnover_Takeaway</v>
      </c>
      <c r="AP629" t="str">
        <f t="shared" si="72"/>
        <v>Offensive</v>
      </c>
      <c r="BB629" s="23"/>
      <c r="BD629" s="21"/>
      <c r="BE629" s="21"/>
      <c r="BF629" s="21"/>
      <c r="BG629" s="21"/>
      <c r="BH629" s="21"/>
      <c r="BI629" s="21"/>
    </row>
    <row r="630" spans="1:61" x14ac:dyDescent="0.2">
      <c r="A630">
        <v>309</v>
      </c>
      <c r="B630" t="s">
        <v>887</v>
      </c>
      <c r="C630" t="str">
        <f t="shared" si="69"/>
        <v/>
      </c>
      <c r="D630" t="str">
        <f t="shared" si="75"/>
        <v/>
      </c>
      <c r="H630">
        <f t="shared" si="71"/>
        <v>1</v>
      </c>
      <c r="I630" s="5" t="s">
        <v>815</v>
      </c>
      <c r="J630" s="5" t="s">
        <v>711</v>
      </c>
      <c r="K630" s="5" t="s">
        <v>815</v>
      </c>
      <c r="L630" s="7" t="s">
        <v>790</v>
      </c>
      <c r="Q630" t="s">
        <v>620</v>
      </c>
      <c r="R630">
        <v>70</v>
      </c>
      <c r="S630">
        <v>1</v>
      </c>
      <c r="T630" t="str">
        <f t="shared" si="70"/>
        <v>e</v>
      </c>
      <c r="U630" t="s">
        <v>15</v>
      </c>
      <c r="V630" t="s">
        <v>697</v>
      </c>
      <c r="X630" t="s">
        <v>706</v>
      </c>
      <c r="Y630" t="s">
        <v>712</v>
      </c>
      <c r="AA630" t="s">
        <v>706</v>
      </c>
      <c r="AF630" t="s">
        <v>623</v>
      </c>
      <c r="AM630" t="str">
        <f t="shared" si="73"/>
        <v>Possession</v>
      </c>
      <c r="AN630" t="str">
        <f t="shared" si="74"/>
        <v>PuckRetrieval</v>
      </c>
      <c r="AP630" t="str">
        <f t="shared" si="72"/>
        <v>Offensive</v>
      </c>
      <c r="BB630" s="23"/>
      <c r="BD630" s="21"/>
      <c r="BE630" s="21"/>
      <c r="BF630" s="21"/>
      <c r="BG630" s="21"/>
      <c r="BH630" s="21"/>
      <c r="BI630" s="21"/>
    </row>
    <row r="631" spans="1:61" x14ac:dyDescent="0.2">
      <c r="A631">
        <v>309</v>
      </c>
      <c r="B631" t="s">
        <v>887</v>
      </c>
      <c r="C631" t="str">
        <f t="shared" si="69"/>
        <v/>
      </c>
      <c r="D631" t="str">
        <f t="shared" si="75"/>
        <v/>
      </c>
      <c r="H631">
        <f t="shared" si="71"/>
        <v>1</v>
      </c>
      <c r="R631">
        <v>12</v>
      </c>
      <c r="T631" t="str">
        <f t="shared" si="70"/>
        <v>o</v>
      </c>
      <c r="AM631" t="str">
        <f t="shared" si="73"/>
        <v>Possession</v>
      </c>
      <c r="AN631" t="str">
        <f t="shared" si="74"/>
        <v>PuckRetrieval</v>
      </c>
      <c r="AP631" t="str">
        <f t="shared" si="72"/>
        <v>Defensive</v>
      </c>
      <c r="BB631" s="23"/>
      <c r="BD631" s="21"/>
      <c r="BE631" s="21"/>
      <c r="BF631" s="21"/>
      <c r="BG631" s="21"/>
      <c r="BH631" s="21"/>
      <c r="BI631" s="21"/>
    </row>
    <row r="632" spans="1:61" x14ac:dyDescent="0.2">
      <c r="A632">
        <v>310</v>
      </c>
      <c r="B632">
        <v>54</v>
      </c>
      <c r="C632">
        <f t="shared" si="69"/>
        <v>9054</v>
      </c>
      <c r="D632">
        <f t="shared" si="75"/>
        <v>9054</v>
      </c>
      <c r="H632">
        <f t="shared" si="71"/>
        <v>1</v>
      </c>
      <c r="I632" s="5" t="s">
        <v>815</v>
      </c>
      <c r="J632" s="5" t="s">
        <v>790</v>
      </c>
      <c r="Q632" t="s">
        <v>620</v>
      </c>
      <c r="R632">
        <v>70</v>
      </c>
      <c r="S632">
        <v>1</v>
      </c>
      <c r="T632" t="str">
        <f t="shared" si="70"/>
        <v>e</v>
      </c>
      <c r="U632" t="s">
        <v>8</v>
      </c>
      <c r="V632" t="s">
        <v>199</v>
      </c>
      <c r="W632" t="s">
        <v>67</v>
      </c>
      <c r="X632" t="s">
        <v>705</v>
      </c>
      <c r="AF632" t="s">
        <v>623</v>
      </c>
      <c r="AJ632">
        <v>1</v>
      </c>
      <c r="AM632" t="str">
        <f t="shared" si="73"/>
        <v>Pass</v>
      </c>
      <c r="AN632" t="str">
        <f t="shared" si="74"/>
        <v>Pass_Missed</v>
      </c>
      <c r="AP632" t="str">
        <f t="shared" si="72"/>
        <v>Offensive</v>
      </c>
      <c r="BB632" s="23"/>
      <c r="BD632" s="21"/>
      <c r="BE632" s="21"/>
      <c r="BF632" s="21"/>
      <c r="BG632" s="21"/>
      <c r="BH632" s="21"/>
      <c r="BI632" s="21"/>
    </row>
    <row r="633" spans="1:61" x14ac:dyDescent="0.2">
      <c r="A633">
        <v>310</v>
      </c>
      <c r="B633">
        <v>54</v>
      </c>
      <c r="C633">
        <f t="shared" si="69"/>
        <v>9054</v>
      </c>
      <c r="D633">
        <f t="shared" si="75"/>
        <v>9054</v>
      </c>
      <c r="H633">
        <f t="shared" si="71"/>
        <v>1</v>
      </c>
      <c r="R633">
        <v>61</v>
      </c>
      <c r="S633">
        <v>1</v>
      </c>
      <c r="T633" t="str">
        <f t="shared" si="70"/>
        <v>e</v>
      </c>
      <c r="AM633" t="str">
        <f t="shared" si="73"/>
        <v>Pass</v>
      </c>
      <c r="AN633" t="str">
        <f t="shared" si="74"/>
        <v>Pass_Missed</v>
      </c>
      <c r="AP633" t="str">
        <f t="shared" si="72"/>
        <v>Offensive</v>
      </c>
      <c r="BB633" s="23"/>
      <c r="BD633" s="21"/>
      <c r="BE633" s="21"/>
      <c r="BF633" s="21"/>
      <c r="BG633" s="21"/>
      <c r="BH633" s="21"/>
      <c r="BI633" s="21"/>
    </row>
    <row r="634" spans="1:61" x14ac:dyDescent="0.2">
      <c r="A634">
        <v>310</v>
      </c>
      <c r="B634">
        <v>54</v>
      </c>
      <c r="C634">
        <f t="shared" si="69"/>
        <v>9054</v>
      </c>
      <c r="D634">
        <f t="shared" si="75"/>
        <v>9054</v>
      </c>
      <c r="H634">
        <f t="shared" si="71"/>
        <v>1</v>
      </c>
      <c r="R634">
        <v>12</v>
      </c>
      <c r="T634" t="str">
        <f t="shared" si="70"/>
        <v>o</v>
      </c>
      <c r="AJ634">
        <v>1</v>
      </c>
      <c r="AM634" t="str">
        <f t="shared" si="73"/>
        <v>Pass</v>
      </c>
      <c r="AN634" t="str">
        <f t="shared" si="74"/>
        <v>Pass_Missed</v>
      </c>
      <c r="AP634" t="str">
        <f t="shared" si="72"/>
        <v>Defensive</v>
      </c>
      <c r="BB634" s="23"/>
      <c r="BD634" s="21"/>
      <c r="BE634" s="21"/>
      <c r="BF634" s="21"/>
      <c r="BG634" s="21"/>
      <c r="BH634" s="21"/>
      <c r="BI634" s="21"/>
    </row>
    <row r="635" spans="1:61" x14ac:dyDescent="0.2">
      <c r="A635">
        <v>311</v>
      </c>
      <c r="B635">
        <v>54</v>
      </c>
      <c r="C635">
        <f t="shared" si="69"/>
        <v>9054</v>
      </c>
      <c r="D635">
        <f t="shared" si="75"/>
        <v>9054</v>
      </c>
      <c r="H635">
        <f t="shared" si="71"/>
        <v>1</v>
      </c>
      <c r="I635" s="5" t="s">
        <v>815</v>
      </c>
      <c r="J635" s="5" t="s">
        <v>790</v>
      </c>
      <c r="Q635" t="s">
        <v>620</v>
      </c>
      <c r="R635">
        <v>70</v>
      </c>
      <c r="S635">
        <v>1</v>
      </c>
      <c r="T635" t="str">
        <f t="shared" si="70"/>
        <v>e</v>
      </c>
      <c r="U635" t="s">
        <v>257</v>
      </c>
      <c r="V635" t="s">
        <v>201</v>
      </c>
      <c r="W635" t="s">
        <v>409</v>
      </c>
      <c r="AF635" t="s">
        <v>623</v>
      </c>
      <c r="AJ635">
        <v>1</v>
      </c>
      <c r="AM635" t="str">
        <f t="shared" si="73"/>
        <v>Zone_Entry_Exit</v>
      </c>
      <c r="AN635" t="str">
        <f t="shared" si="74"/>
        <v>Zone_Exit</v>
      </c>
      <c r="AP635" t="str">
        <f t="shared" si="72"/>
        <v>Offensive</v>
      </c>
      <c r="BB635" s="23"/>
      <c r="BD635" s="21"/>
      <c r="BE635" s="21"/>
      <c r="BF635" s="21"/>
      <c r="BG635" s="21"/>
      <c r="BH635" s="21"/>
      <c r="BI635" s="21"/>
    </row>
    <row r="636" spans="1:61" x14ac:dyDescent="0.2">
      <c r="A636">
        <v>311</v>
      </c>
      <c r="B636">
        <v>54</v>
      </c>
      <c r="C636">
        <f t="shared" si="69"/>
        <v>9054</v>
      </c>
      <c r="D636">
        <f t="shared" si="75"/>
        <v>9054</v>
      </c>
      <c r="H636">
        <f t="shared" si="71"/>
        <v>1</v>
      </c>
      <c r="R636">
        <v>61</v>
      </c>
      <c r="S636">
        <v>1</v>
      </c>
      <c r="T636" t="str">
        <f t="shared" si="70"/>
        <v>e</v>
      </c>
      <c r="AM636" t="str">
        <f t="shared" si="73"/>
        <v>Zone_Entry_Exit</v>
      </c>
      <c r="AN636" t="str">
        <f t="shared" si="74"/>
        <v>Zone_Exit</v>
      </c>
      <c r="AP636" t="str">
        <f t="shared" si="72"/>
        <v>Offensive</v>
      </c>
      <c r="BB636" s="23"/>
      <c r="BD636" s="21"/>
      <c r="BE636" s="21"/>
      <c r="BF636" s="21"/>
      <c r="BG636" s="21"/>
      <c r="BH636" s="21"/>
      <c r="BI636" s="21"/>
    </row>
    <row r="637" spans="1:61" x14ac:dyDescent="0.2">
      <c r="A637">
        <v>311</v>
      </c>
      <c r="B637">
        <v>54</v>
      </c>
      <c r="C637">
        <f t="shared" si="69"/>
        <v>9054</v>
      </c>
      <c r="D637">
        <f t="shared" si="75"/>
        <v>9054</v>
      </c>
      <c r="H637">
        <f t="shared" si="71"/>
        <v>1</v>
      </c>
      <c r="R637">
        <v>12</v>
      </c>
      <c r="T637" t="str">
        <f t="shared" si="70"/>
        <v>o</v>
      </c>
      <c r="AJ637">
        <v>1</v>
      </c>
      <c r="AM637" t="str">
        <f t="shared" si="73"/>
        <v>Zone_Entry_Exit</v>
      </c>
      <c r="AN637" t="str">
        <f t="shared" si="74"/>
        <v>Zone_Exit</v>
      </c>
      <c r="AP637" t="str">
        <f t="shared" si="72"/>
        <v>Defensive</v>
      </c>
      <c r="BB637" s="23"/>
      <c r="BD637" s="21"/>
      <c r="BE637" s="21"/>
      <c r="BF637" s="21"/>
      <c r="BG637" s="21"/>
      <c r="BH637" s="21"/>
      <c r="BI637" s="21"/>
    </row>
    <row r="638" spans="1:61" x14ac:dyDescent="0.2">
      <c r="A638">
        <v>312</v>
      </c>
      <c r="B638">
        <v>54</v>
      </c>
      <c r="C638">
        <f t="shared" si="69"/>
        <v>9054</v>
      </c>
      <c r="D638">
        <f t="shared" si="75"/>
        <v>9054</v>
      </c>
      <c r="H638">
        <f t="shared" si="71"/>
        <v>1</v>
      </c>
      <c r="I638" s="5" t="s">
        <v>815</v>
      </c>
      <c r="J638" s="5" t="s">
        <v>790</v>
      </c>
      <c r="Q638" t="s">
        <v>620</v>
      </c>
      <c r="R638">
        <v>70</v>
      </c>
      <c r="S638">
        <v>1</v>
      </c>
      <c r="T638" t="str">
        <f t="shared" si="70"/>
        <v>e</v>
      </c>
      <c r="AM638" t="str">
        <f t="shared" si="73"/>
        <v/>
      </c>
      <c r="AN638" t="str">
        <f t="shared" si="74"/>
        <v/>
      </c>
      <c r="AP638" t="str">
        <f t="shared" si="72"/>
        <v>Offensive</v>
      </c>
      <c r="BB638" s="23"/>
      <c r="BD638" s="21"/>
      <c r="BE638" s="21"/>
      <c r="BF638" s="21"/>
      <c r="BG638" s="21"/>
      <c r="BH638" s="21"/>
      <c r="BI638" s="21"/>
    </row>
    <row r="639" spans="1:61" x14ac:dyDescent="0.2">
      <c r="A639">
        <v>313</v>
      </c>
      <c r="B639" t="s">
        <v>887</v>
      </c>
      <c r="C639" t="str">
        <f t="shared" si="69"/>
        <v/>
      </c>
      <c r="D639" t="str">
        <f t="shared" si="75"/>
        <v/>
      </c>
      <c r="H639">
        <f t="shared" si="71"/>
        <v>1</v>
      </c>
      <c r="I639" s="5" t="s">
        <v>815</v>
      </c>
      <c r="J639" s="5" t="s">
        <v>717</v>
      </c>
      <c r="Q639" t="s">
        <v>619</v>
      </c>
      <c r="R639">
        <v>18</v>
      </c>
      <c r="S639">
        <v>1</v>
      </c>
      <c r="T639" t="str">
        <f t="shared" si="70"/>
        <v>e</v>
      </c>
      <c r="U639" t="s">
        <v>15</v>
      </c>
      <c r="V639" t="s">
        <v>697</v>
      </c>
      <c r="X639" t="s">
        <v>706</v>
      </c>
      <c r="Y639" t="s">
        <v>712</v>
      </c>
      <c r="AA639" t="s">
        <v>706</v>
      </c>
      <c r="AM639" t="str">
        <f t="shared" si="73"/>
        <v>Possession</v>
      </c>
      <c r="AN639" t="str">
        <f t="shared" si="74"/>
        <v>PuckRetrieval</v>
      </c>
      <c r="AP639" t="str">
        <f t="shared" si="72"/>
        <v>Offensive</v>
      </c>
      <c r="BB639" s="23"/>
      <c r="BD639" s="21"/>
      <c r="BE639" s="21"/>
      <c r="BF639" s="21"/>
      <c r="BG639" s="21"/>
      <c r="BH639" s="21"/>
      <c r="BI639" s="21"/>
    </row>
    <row r="640" spans="1:61" x14ac:dyDescent="0.2">
      <c r="A640">
        <v>314</v>
      </c>
      <c r="B640" t="s">
        <v>887</v>
      </c>
      <c r="C640" t="str">
        <f t="shared" si="69"/>
        <v/>
      </c>
      <c r="D640" t="str">
        <f t="shared" si="75"/>
        <v/>
      </c>
      <c r="H640">
        <f t="shared" si="71"/>
        <v>1</v>
      </c>
      <c r="I640" s="5" t="s">
        <v>815</v>
      </c>
      <c r="J640" s="5" t="s">
        <v>717</v>
      </c>
      <c r="Q640" t="s">
        <v>619</v>
      </c>
      <c r="R640">
        <v>18</v>
      </c>
      <c r="S640">
        <v>1</v>
      </c>
      <c r="T640" t="str">
        <f t="shared" si="70"/>
        <v>e</v>
      </c>
      <c r="U640" t="s">
        <v>10</v>
      </c>
      <c r="V640" t="s">
        <v>190</v>
      </c>
      <c r="W640" t="s">
        <v>398</v>
      </c>
      <c r="X640" t="s">
        <v>705</v>
      </c>
      <c r="Y640" t="s">
        <v>817</v>
      </c>
      <c r="AA640" t="s">
        <v>705</v>
      </c>
      <c r="AF640" t="s">
        <v>635</v>
      </c>
      <c r="AM640" t="str">
        <f t="shared" si="73"/>
        <v>Turnover</v>
      </c>
      <c r="AN640" t="str">
        <f t="shared" si="74"/>
        <v>Turnover_Giveaway</v>
      </c>
      <c r="AP640" t="str">
        <f t="shared" si="72"/>
        <v>Offensive</v>
      </c>
      <c r="BB640" s="23"/>
      <c r="BD640" s="21"/>
      <c r="BE640" s="21"/>
      <c r="BF640" s="21"/>
      <c r="BG640" s="21"/>
      <c r="BH640" s="21"/>
      <c r="BI640" s="21"/>
    </row>
    <row r="641" spans="1:61" x14ac:dyDescent="0.2">
      <c r="A641">
        <v>314</v>
      </c>
      <c r="B641" t="s">
        <v>887</v>
      </c>
      <c r="C641" t="str">
        <f t="shared" si="69"/>
        <v/>
      </c>
      <c r="D641" t="str">
        <f t="shared" si="75"/>
        <v/>
      </c>
      <c r="H641">
        <f t="shared" si="71"/>
        <v>1</v>
      </c>
      <c r="R641">
        <v>61</v>
      </c>
      <c r="T641" t="str">
        <f t="shared" si="70"/>
        <v>o</v>
      </c>
      <c r="AA641" t="s">
        <v>706</v>
      </c>
      <c r="AM641" t="str">
        <f t="shared" si="73"/>
        <v>Turnover</v>
      </c>
      <c r="AN641" t="str">
        <f t="shared" si="74"/>
        <v>Turnover_Giveaway</v>
      </c>
      <c r="AP641" t="str">
        <f t="shared" si="72"/>
        <v>Defensive</v>
      </c>
      <c r="BB641" s="23"/>
      <c r="BD641" s="21"/>
      <c r="BE641" s="21"/>
      <c r="BF641" s="21"/>
      <c r="BG641" s="21"/>
      <c r="BH641" s="21"/>
      <c r="BI641" s="21"/>
    </row>
    <row r="642" spans="1:61" x14ac:dyDescent="0.2">
      <c r="A642">
        <v>315</v>
      </c>
      <c r="B642" t="s">
        <v>887</v>
      </c>
      <c r="C642" t="str">
        <f t="shared" si="69"/>
        <v/>
      </c>
      <c r="D642" t="str">
        <f t="shared" si="75"/>
        <v/>
      </c>
      <c r="H642">
        <f t="shared" si="71"/>
        <v>1</v>
      </c>
      <c r="I642" s="5" t="s">
        <v>815</v>
      </c>
      <c r="J642" s="5" t="s">
        <v>778</v>
      </c>
      <c r="K642" s="5" t="s">
        <v>815</v>
      </c>
      <c r="L642" s="7" t="s">
        <v>719</v>
      </c>
      <c r="Q642" t="s">
        <v>620</v>
      </c>
      <c r="R642">
        <v>61</v>
      </c>
      <c r="S642">
        <v>1</v>
      </c>
      <c r="T642" t="str">
        <f t="shared" si="70"/>
        <v>e</v>
      </c>
      <c r="U642" t="s">
        <v>15</v>
      </c>
      <c r="V642" t="s">
        <v>697</v>
      </c>
      <c r="X642" t="s">
        <v>706</v>
      </c>
      <c r="Y642" t="s">
        <v>712</v>
      </c>
      <c r="AA642" t="s">
        <v>706</v>
      </c>
      <c r="AF642" t="s">
        <v>635</v>
      </c>
      <c r="AM642" t="str">
        <f t="shared" si="73"/>
        <v>Possession</v>
      </c>
      <c r="AN642" t="str">
        <f t="shared" si="74"/>
        <v>PuckRetrieval</v>
      </c>
      <c r="AP642" t="str">
        <f t="shared" si="72"/>
        <v>Offensive</v>
      </c>
      <c r="BB642" s="23"/>
      <c r="BD642" s="21"/>
      <c r="BE642" s="21"/>
      <c r="BF642" s="21"/>
      <c r="BG642" s="21"/>
      <c r="BH642" s="21"/>
      <c r="BI642" s="21"/>
    </row>
    <row r="643" spans="1:61" x14ac:dyDescent="0.2">
      <c r="A643">
        <v>316</v>
      </c>
      <c r="B643" t="s">
        <v>887</v>
      </c>
      <c r="C643" t="str">
        <f t="shared" ref="C643:C706" si="76">IF(B643&lt;&gt;"",9000+B643,"")</f>
        <v/>
      </c>
      <c r="D643" t="str">
        <f t="shared" si="75"/>
        <v/>
      </c>
      <c r="H643">
        <f t="shared" si="71"/>
        <v>1</v>
      </c>
      <c r="I643" s="5" t="s">
        <v>815</v>
      </c>
      <c r="J643" s="5" t="s">
        <v>778</v>
      </c>
      <c r="K643" s="5" t="s">
        <v>815</v>
      </c>
      <c r="L643" s="7" t="s">
        <v>791</v>
      </c>
      <c r="Q643" t="s">
        <v>620</v>
      </c>
      <c r="R643">
        <v>61</v>
      </c>
      <c r="S643">
        <v>1</v>
      </c>
      <c r="T643" t="str">
        <f t="shared" ref="T643:T706" si="77">IF(S643="x","",IF(S643=1,"e","o"))</f>
        <v>e</v>
      </c>
      <c r="U643" t="s">
        <v>257</v>
      </c>
      <c r="V643" t="s">
        <v>191</v>
      </c>
      <c r="W643" t="s">
        <v>87</v>
      </c>
      <c r="X643" t="s">
        <v>706</v>
      </c>
      <c r="Y643" t="s">
        <v>677</v>
      </c>
      <c r="AA643" t="s">
        <v>706</v>
      </c>
      <c r="AF643" t="s">
        <v>401</v>
      </c>
      <c r="AJ643">
        <v>1</v>
      </c>
      <c r="AM643" t="str">
        <f t="shared" si="73"/>
        <v>Zone_Entry_Exit</v>
      </c>
      <c r="AN643" t="str">
        <f t="shared" si="74"/>
        <v>Zone_Entry</v>
      </c>
      <c r="AP643" t="str">
        <f t="shared" si="72"/>
        <v>Offensive</v>
      </c>
      <c r="BB643" s="23"/>
      <c r="BD643" s="21"/>
      <c r="BE643" s="21"/>
      <c r="BF643" s="21"/>
      <c r="BG643" s="21"/>
      <c r="BH643" s="21"/>
      <c r="BI643" s="21"/>
    </row>
    <row r="644" spans="1:61" x14ac:dyDescent="0.2">
      <c r="A644">
        <v>316</v>
      </c>
      <c r="B644" t="s">
        <v>887</v>
      </c>
      <c r="C644" t="str">
        <f t="shared" si="76"/>
        <v/>
      </c>
      <c r="D644" t="str">
        <f t="shared" si="75"/>
        <v/>
      </c>
      <c r="H644">
        <f t="shared" ref="H644:H707" si="78">IF(U644="Intermission",H643+1,H643)</f>
        <v>1</v>
      </c>
      <c r="R644">
        <v>18</v>
      </c>
      <c r="T644" t="str">
        <f t="shared" si="77"/>
        <v>o</v>
      </c>
      <c r="AJ644">
        <v>1</v>
      </c>
      <c r="AM644" t="str">
        <f t="shared" si="73"/>
        <v>Zone_Entry_Exit</v>
      </c>
      <c r="AN644" t="str">
        <f t="shared" si="74"/>
        <v>Zone_Entry</v>
      </c>
      <c r="AP644" t="str">
        <f t="shared" si="72"/>
        <v>Defensive</v>
      </c>
      <c r="BB644" s="23"/>
      <c r="BD644" s="21"/>
      <c r="BE644" s="21"/>
      <c r="BF644" s="21"/>
      <c r="BG644" s="21"/>
      <c r="BH644" s="21"/>
      <c r="BI644" s="21"/>
    </row>
    <row r="645" spans="1:61" x14ac:dyDescent="0.2">
      <c r="A645">
        <v>316</v>
      </c>
      <c r="B645" t="s">
        <v>887</v>
      </c>
      <c r="C645" t="str">
        <f t="shared" si="76"/>
        <v/>
      </c>
      <c r="D645" t="str">
        <f t="shared" si="75"/>
        <v/>
      </c>
      <c r="H645">
        <f t="shared" si="78"/>
        <v>1</v>
      </c>
      <c r="R645">
        <v>56</v>
      </c>
      <c r="T645" t="str">
        <f t="shared" si="77"/>
        <v>o</v>
      </c>
      <c r="Y645" t="s">
        <v>714</v>
      </c>
      <c r="AA645" t="s">
        <v>705</v>
      </c>
      <c r="AM645" t="str">
        <f t="shared" si="73"/>
        <v>Zone_Entry_Exit</v>
      </c>
      <c r="AN645" t="str">
        <f t="shared" si="74"/>
        <v>Zone_Entry</v>
      </c>
      <c r="AP645" t="str">
        <f t="shared" ref="AP645:AP708" si="79">IF(AND(T645="e",OR(AM645="Save",AN645="Turnover_Takeaway",AN645="Play_Defensive")),"Defensive",IF(AND(T645="o",OR(AM645="Save",AN645="Turnover_Takeaway",AN645="Play_Defensive")),"Offensive",IF(OR(AM645="Deadice",AM645="Stoppage",AM645="Intermission"),"",IF(T645="e","Offensive",IF(T645="o","Defensive","")))))</f>
        <v>Defensive</v>
      </c>
      <c r="BB645" s="23"/>
      <c r="BD645" s="21"/>
      <c r="BE645" s="21"/>
      <c r="BF645" s="21"/>
      <c r="BG645" s="21"/>
      <c r="BH645" s="21"/>
      <c r="BI645" s="21"/>
    </row>
    <row r="646" spans="1:61" x14ac:dyDescent="0.2">
      <c r="A646">
        <v>316</v>
      </c>
      <c r="B646" t="s">
        <v>887</v>
      </c>
      <c r="C646" t="str">
        <f t="shared" si="76"/>
        <v/>
      </c>
      <c r="D646" t="str">
        <f t="shared" si="75"/>
        <v/>
      </c>
      <c r="H646">
        <f t="shared" si="78"/>
        <v>1</v>
      </c>
      <c r="R646">
        <v>3</v>
      </c>
      <c r="T646" t="str">
        <f t="shared" si="77"/>
        <v>o</v>
      </c>
      <c r="AM646" t="str">
        <f t="shared" si="73"/>
        <v>Zone_Entry_Exit</v>
      </c>
      <c r="AN646" t="str">
        <f t="shared" si="74"/>
        <v>Zone_Entry</v>
      </c>
      <c r="AP646" t="str">
        <f t="shared" si="79"/>
        <v>Defensive</v>
      </c>
      <c r="BB646" s="23"/>
      <c r="BD646" s="21"/>
      <c r="BE646" s="21"/>
      <c r="BF646" s="21"/>
      <c r="BG646" s="21"/>
      <c r="BH646" s="21"/>
      <c r="BI646" s="21"/>
    </row>
    <row r="647" spans="1:61" x14ac:dyDescent="0.2">
      <c r="A647">
        <v>317</v>
      </c>
      <c r="B647" t="s">
        <v>887</v>
      </c>
      <c r="C647" t="str">
        <f t="shared" si="76"/>
        <v/>
      </c>
      <c r="D647" t="str">
        <f t="shared" si="75"/>
        <v/>
      </c>
      <c r="H647">
        <f t="shared" si="78"/>
        <v>1</v>
      </c>
      <c r="I647" s="5" t="s">
        <v>815</v>
      </c>
      <c r="J647" s="5" t="s">
        <v>791</v>
      </c>
      <c r="Q647" t="s">
        <v>620</v>
      </c>
      <c r="R647">
        <v>61</v>
      </c>
      <c r="S647">
        <v>1</v>
      </c>
      <c r="T647" t="str">
        <f t="shared" si="77"/>
        <v>e</v>
      </c>
      <c r="U647" t="s">
        <v>7</v>
      </c>
      <c r="V647" t="s">
        <v>198</v>
      </c>
      <c r="W647" t="s">
        <v>53</v>
      </c>
      <c r="X647" t="s">
        <v>705</v>
      </c>
      <c r="AF647" t="s">
        <v>401</v>
      </c>
      <c r="AJ647">
        <v>1</v>
      </c>
      <c r="AM647" t="str">
        <f t="shared" ref="AM647:AM710" si="80">IF(U647&lt;&gt;"",U647,IF($A647=$A646,AM646,""))</f>
        <v>Shot</v>
      </c>
      <c r="AN647" t="str">
        <f t="shared" ref="AN647:AN710" si="81">IF(V647&lt;&gt;"",V647,IF($A647=$A646,AN646,""))</f>
        <v>Shot_Missed</v>
      </c>
      <c r="AP647" t="str">
        <f t="shared" si="79"/>
        <v>Offensive</v>
      </c>
      <c r="BB647" s="23"/>
      <c r="BD647" s="21"/>
      <c r="BE647" s="21"/>
      <c r="BF647" s="21"/>
      <c r="BG647" s="21"/>
      <c r="BH647" s="21"/>
      <c r="BI647" s="21"/>
    </row>
    <row r="648" spans="1:61" x14ac:dyDescent="0.2">
      <c r="A648">
        <v>317</v>
      </c>
      <c r="B648" t="s">
        <v>887</v>
      </c>
      <c r="C648" t="str">
        <f t="shared" si="76"/>
        <v/>
      </c>
      <c r="D648" t="str">
        <f t="shared" ref="D648:D711" si="82">IF(C648&lt;&gt;"",C648,B648)</f>
        <v/>
      </c>
      <c r="H648">
        <f t="shared" si="78"/>
        <v>1</v>
      </c>
      <c r="R648">
        <v>56</v>
      </c>
      <c r="T648" t="str">
        <f t="shared" si="77"/>
        <v>o</v>
      </c>
      <c r="Y648" t="s">
        <v>715</v>
      </c>
      <c r="AJ648">
        <v>1</v>
      </c>
      <c r="AM648" t="str">
        <f t="shared" si="80"/>
        <v>Shot</v>
      </c>
      <c r="AN648" t="str">
        <f t="shared" si="81"/>
        <v>Shot_Missed</v>
      </c>
      <c r="AP648" t="str">
        <f t="shared" si="79"/>
        <v>Defensive</v>
      </c>
      <c r="BB648" s="23"/>
      <c r="BD648" s="21"/>
      <c r="BE648" s="21"/>
      <c r="BF648" s="21"/>
      <c r="BG648" s="21"/>
      <c r="BH648" s="21"/>
      <c r="BI648" s="21"/>
    </row>
    <row r="649" spans="1:61" x14ac:dyDescent="0.2">
      <c r="A649">
        <v>317</v>
      </c>
      <c r="B649" t="s">
        <v>887</v>
      </c>
      <c r="C649" t="str">
        <f t="shared" si="76"/>
        <v/>
      </c>
      <c r="D649" t="str">
        <f t="shared" si="82"/>
        <v/>
      </c>
      <c r="H649">
        <f t="shared" si="78"/>
        <v>1</v>
      </c>
      <c r="R649">
        <v>3</v>
      </c>
      <c r="T649" t="str">
        <f t="shared" si="77"/>
        <v>o</v>
      </c>
      <c r="Y649" t="s">
        <v>722</v>
      </c>
      <c r="AJ649">
        <v>1</v>
      </c>
      <c r="AM649" t="str">
        <f t="shared" si="80"/>
        <v>Shot</v>
      </c>
      <c r="AN649" t="str">
        <f t="shared" si="81"/>
        <v>Shot_Missed</v>
      </c>
      <c r="AP649" t="str">
        <f t="shared" si="79"/>
        <v>Defensive</v>
      </c>
      <c r="BB649" s="23"/>
      <c r="BD649" s="21"/>
      <c r="BE649" s="21"/>
      <c r="BF649" s="21"/>
      <c r="BG649" s="21"/>
      <c r="BH649" s="21"/>
      <c r="BI649" s="21"/>
    </row>
    <row r="650" spans="1:61" x14ac:dyDescent="0.2">
      <c r="A650">
        <v>318</v>
      </c>
      <c r="B650" t="s">
        <v>887</v>
      </c>
      <c r="C650" t="str">
        <f t="shared" si="76"/>
        <v/>
      </c>
      <c r="D650" t="str">
        <f t="shared" si="82"/>
        <v/>
      </c>
      <c r="H650">
        <f t="shared" si="78"/>
        <v>1</v>
      </c>
      <c r="I650" s="5" t="s">
        <v>815</v>
      </c>
      <c r="J650" s="5" t="s">
        <v>726</v>
      </c>
      <c r="Q650" t="s">
        <v>620</v>
      </c>
      <c r="R650">
        <v>24</v>
      </c>
      <c r="S650">
        <v>1</v>
      </c>
      <c r="T650" t="str">
        <f t="shared" si="77"/>
        <v>e</v>
      </c>
      <c r="U650" t="s">
        <v>15</v>
      </c>
      <c r="V650" t="s">
        <v>698</v>
      </c>
      <c r="X650" t="s">
        <v>705</v>
      </c>
      <c r="Y650" t="s">
        <v>739</v>
      </c>
      <c r="AA650" t="s">
        <v>705</v>
      </c>
      <c r="AF650" t="s">
        <v>401</v>
      </c>
      <c r="AM650" t="str">
        <f t="shared" si="80"/>
        <v>Possession</v>
      </c>
      <c r="AN650" t="str">
        <f t="shared" si="81"/>
        <v>PuckRecovery</v>
      </c>
      <c r="AP650" t="str">
        <f t="shared" si="79"/>
        <v>Offensive</v>
      </c>
      <c r="BB650" s="23"/>
      <c r="BD650" s="21"/>
      <c r="BE650" s="21"/>
      <c r="BF650" s="21"/>
      <c r="BG650" s="21"/>
      <c r="BH650" s="21"/>
      <c r="BI650" s="21"/>
    </row>
    <row r="651" spans="1:61" x14ac:dyDescent="0.2">
      <c r="A651">
        <v>319</v>
      </c>
      <c r="B651" t="s">
        <v>887</v>
      </c>
      <c r="C651" t="str">
        <f t="shared" si="76"/>
        <v/>
      </c>
      <c r="D651" t="str">
        <f t="shared" si="82"/>
        <v/>
      </c>
      <c r="H651">
        <f t="shared" si="78"/>
        <v>1</v>
      </c>
      <c r="I651" s="5" t="s">
        <v>815</v>
      </c>
      <c r="J651" s="5" t="s">
        <v>780</v>
      </c>
      <c r="K651" s="5" t="s">
        <v>815</v>
      </c>
      <c r="L651" s="7" t="s">
        <v>759</v>
      </c>
      <c r="Q651" t="s">
        <v>619</v>
      </c>
      <c r="R651">
        <v>3</v>
      </c>
      <c r="S651">
        <v>1</v>
      </c>
      <c r="T651" t="str">
        <f t="shared" si="77"/>
        <v>e</v>
      </c>
      <c r="U651" t="s">
        <v>15</v>
      </c>
      <c r="Y651" t="s">
        <v>767</v>
      </c>
      <c r="AA651" t="s">
        <v>705</v>
      </c>
      <c r="AF651" t="s">
        <v>623</v>
      </c>
      <c r="AJ651">
        <v>1</v>
      </c>
      <c r="AM651" t="str">
        <f t="shared" si="80"/>
        <v>Possession</v>
      </c>
      <c r="AN651" t="str">
        <f t="shared" si="81"/>
        <v/>
      </c>
      <c r="AP651" t="str">
        <f t="shared" si="79"/>
        <v>Offensive</v>
      </c>
      <c r="BB651" s="23"/>
      <c r="BD651" s="21"/>
      <c r="BE651" s="21"/>
      <c r="BF651" s="21"/>
      <c r="BG651" s="21"/>
      <c r="BH651" s="21"/>
      <c r="BI651" s="21"/>
    </row>
    <row r="652" spans="1:61" x14ac:dyDescent="0.2">
      <c r="A652">
        <v>319</v>
      </c>
      <c r="B652" t="s">
        <v>887</v>
      </c>
      <c r="C652" t="str">
        <f t="shared" si="76"/>
        <v/>
      </c>
      <c r="D652" t="str">
        <f t="shared" si="82"/>
        <v/>
      </c>
      <c r="H652">
        <f t="shared" si="78"/>
        <v>1</v>
      </c>
      <c r="R652">
        <v>70</v>
      </c>
      <c r="T652" t="str">
        <f t="shared" si="77"/>
        <v>o</v>
      </c>
      <c r="Y652" t="s">
        <v>714</v>
      </c>
      <c r="AA652" t="s">
        <v>706</v>
      </c>
      <c r="AJ652">
        <v>1</v>
      </c>
      <c r="AM652" t="str">
        <f t="shared" si="80"/>
        <v>Possession</v>
      </c>
      <c r="AN652" t="str">
        <f t="shared" si="81"/>
        <v/>
      </c>
      <c r="AP652" t="str">
        <f t="shared" si="79"/>
        <v>Defensive</v>
      </c>
      <c r="BB652" s="23"/>
      <c r="BD652" s="21"/>
      <c r="BE652" s="21"/>
      <c r="BF652" s="21"/>
      <c r="BG652" s="21"/>
      <c r="BH652" s="21"/>
      <c r="BI652" s="21"/>
    </row>
    <row r="653" spans="1:61" x14ac:dyDescent="0.2">
      <c r="A653">
        <v>320</v>
      </c>
      <c r="B653">
        <v>55</v>
      </c>
      <c r="C653">
        <f t="shared" si="76"/>
        <v>9055</v>
      </c>
      <c r="D653">
        <f t="shared" si="82"/>
        <v>9055</v>
      </c>
      <c r="H653">
        <f t="shared" si="78"/>
        <v>1</v>
      </c>
      <c r="I653" s="5" t="s">
        <v>815</v>
      </c>
      <c r="J653" s="5" t="s">
        <v>727</v>
      </c>
      <c r="Q653" t="s">
        <v>620</v>
      </c>
      <c r="R653">
        <v>70</v>
      </c>
      <c r="S653">
        <v>1</v>
      </c>
      <c r="T653" t="str">
        <f t="shared" si="77"/>
        <v>e</v>
      </c>
      <c r="U653" t="s">
        <v>10</v>
      </c>
      <c r="V653" t="s">
        <v>200</v>
      </c>
      <c r="W653" t="s">
        <v>82</v>
      </c>
      <c r="Y653" t="s">
        <v>714</v>
      </c>
      <c r="AA653" t="s">
        <v>706</v>
      </c>
      <c r="AF653" t="s">
        <v>623</v>
      </c>
      <c r="AJ653">
        <v>1</v>
      </c>
      <c r="AM653" t="str">
        <f t="shared" si="80"/>
        <v>Turnover</v>
      </c>
      <c r="AN653" t="str">
        <f t="shared" si="81"/>
        <v>Turnover_Takeaway</v>
      </c>
      <c r="AP653" t="str">
        <f t="shared" si="79"/>
        <v>Defensive</v>
      </c>
      <c r="BB653" s="23"/>
      <c r="BD653" s="21"/>
      <c r="BE653" s="21"/>
      <c r="BF653" s="21"/>
      <c r="BG653" s="21"/>
      <c r="BH653" s="21"/>
      <c r="BI653" s="21"/>
    </row>
    <row r="654" spans="1:61" x14ac:dyDescent="0.2">
      <c r="A654">
        <v>320</v>
      </c>
      <c r="B654">
        <v>55</v>
      </c>
      <c r="C654">
        <f t="shared" si="76"/>
        <v>9055</v>
      </c>
      <c r="D654">
        <f t="shared" si="82"/>
        <v>9055</v>
      </c>
      <c r="H654">
        <f t="shared" si="78"/>
        <v>1</v>
      </c>
      <c r="R654">
        <v>3</v>
      </c>
      <c r="T654" t="str">
        <f t="shared" si="77"/>
        <v>o</v>
      </c>
      <c r="Y654" t="s">
        <v>767</v>
      </c>
      <c r="AA654" t="s">
        <v>706</v>
      </c>
      <c r="AJ654">
        <v>1</v>
      </c>
      <c r="AM654" t="str">
        <f t="shared" si="80"/>
        <v>Turnover</v>
      </c>
      <c r="AN654" t="str">
        <f t="shared" si="81"/>
        <v>Turnover_Takeaway</v>
      </c>
      <c r="AP654" t="str">
        <f t="shared" si="79"/>
        <v>Offensive</v>
      </c>
      <c r="BB654" s="23"/>
      <c r="BD654" s="21"/>
      <c r="BE654" s="21"/>
      <c r="BF654" s="21"/>
      <c r="BG654" s="21"/>
      <c r="BH654" s="21"/>
      <c r="BI654" s="21"/>
    </row>
    <row r="655" spans="1:61" x14ac:dyDescent="0.2">
      <c r="A655">
        <v>321</v>
      </c>
      <c r="B655">
        <v>55</v>
      </c>
      <c r="C655">
        <f t="shared" si="76"/>
        <v>9055</v>
      </c>
      <c r="D655">
        <f t="shared" si="82"/>
        <v>9055</v>
      </c>
      <c r="H655">
        <f t="shared" si="78"/>
        <v>1</v>
      </c>
      <c r="I655" s="5" t="s">
        <v>815</v>
      </c>
      <c r="J655" s="5" t="s">
        <v>727</v>
      </c>
      <c r="Q655" t="s">
        <v>619</v>
      </c>
      <c r="R655">
        <v>3</v>
      </c>
      <c r="S655">
        <v>1</v>
      </c>
      <c r="T655" t="str">
        <f t="shared" si="77"/>
        <v>e</v>
      </c>
      <c r="U655" t="s">
        <v>257</v>
      </c>
      <c r="V655" t="s">
        <v>819</v>
      </c>
      <c r="W655" t="s">
        <v>90</v>
      </c>
      <c r="X655" t="s">
        <v>705</v>
      </c>
      <c r="Y655" t="s">
        <v>745</v>
      </c>
      <c r="AA655" t="s">
        <v>705</v>
      </c>
      <c r="AF655" t="s">
        <v>623</v>
      </c>
      <c r="AJ655">
        <v>1</v>
      </c>
      <c r="AM655" t="str">
        <f t="shared" si="80"/>
        <v>Zone_Entry_Exit</v>
      </c>
      <c r="AN655" t="str">
        <f t="shared" si="81"/>
        <v>Zone_ExitFailed</v>
      </c>
      <c r="AP655" t="str">
        <f t="shared" si="79"/>
        <v>Offensive</v>
      </c>
      <c r="BB655" s="23"/>
      <c r="BD655" s="21"/>
      <c r="BE655" s="21"/>
      <c r="BF655" s="21"/>
      <c r="BG655" s="21"/>
      <c r="BH655" s="21"/>
      <c r="BI655" s="21"/>
    </row>
    <row r="656" spans="1:61" x14ac:dyDescent="0.2">
      <c r="A656">
        <v>321</v>
      </c>
      <c r="B656">
        <v>55</v>
      </c>
      <c r="C656">
        <f t="shared" si="76"/>
        <v>9055</v>
      </c>
      <c r="D656">
        <f t="shared" si="82"/>
        <v>9055</v>
      </c>
      <c r="H656">
        <f t="shared" si="78"/>
        <v>1</v>
      </c>
      <c r="R656">
        <v>70</v>
      </c>
      <c r="T656" t="str">
        <f t="shared" si="77"/>
        <v>o</v>
      </c>
      <c r="AJ656">
        <v>1</v>
      </c>
      <c r="AM656" t="str">
        <f t="shared" si="80"/>
        <v>Zone_Entry_Exit</v>
      </c>
      <c r="AN656" t="str">
        <f t="shared" si="81"/>
        <v>Zone_ExitFailed</v>
      </c>
      <c r="AP656" t="str">
        <f t="shared" si="79"/>
        <v>Defensive</v>
      </c>
      <c r="BB656" s="23"/>
      <c r="BD656" s="21"/>
      <c r="BE656" s="21"/>
      <c r="BF656" s="21"/>
      <c r="BG656" s="21"/>
      <c r="BH656" s="21"/>
      <c r="BI656" s="21"/>
    </row>
    <row r="657" spans="1:61" x14ac:dyDescent="0.2">
      <c r="A657">
        <v>322</v>
      </c>
      <c r="B657">
        <v>55</v>
      </c>
      <c r="C657">
        <f t="shared" si="76"/>
        <v>9055</v>
      </c>
      <c r="D657">
        <f t="shared" si="82"/>
        <v>9055</v>
      </c>
      <c r="H657">
        <f t="shared" si="78"/>
        <v>1</v>
      </c>
      <c r="I657" s="5" t="s">
        <v>815</v>
      </c>
      <c r="J657" s="5" t="s">
        <v>727</v>
      </c>
      <c r="Q657" t="s">
        <v>620</v>
      </c>
      <c r="R657">
        <v>70</v>
      </c>
      <c r="S657">
        <v>1</v>
      </c>
      <c r="T657" t="str">
        <f t="shared" si="77"/>
        <v>e</v>
      </c>
      <c r="U657" t="s">
        <v>257</v>
      </c>
      <c r="V657" t="s">
        <v>210</v>
      </c>
      <c r="W657" t="s">
        <v>93</v>
      </c>
      <c r="X657" t="s">
        <v>705</v>
      </c>
      <c r="AF657" t="s">
        <v>401</v>
      </c>
      <c r="AM657" t="str">
        <f t="shared" si="80"/>
        <v>Zone_Entry_Exit</v>
      </c>
      <c r="AN657" t="str">
        <f t="shared" si="81"/>
        <v>Zone_Keepin</v>
      </c>
      <c r="AP657" t="str">
        <f t="shared" si="79"/>
        <v>Offensive</v>
      </c>
      <c r="BB657" s="23"/>
      <c r="BD657" s="21"/>
      <c r="BE657" s="21"/>
      <c r="BF657" s="21"/>
      <c r="BG657" s="21"/>
      <c r="BH657" s="21"/>
      <c r="BI657" s="21"/>
    </row>
    <row r="658" spans="1:61" x14ac:dyDescent="0.2">
      <c r="A658">
        <v>323</v>
      </c>
      <c r="B658" t="s">
        <v>887</v>
      </c>
      <c r="C658" t="str">
        <f t="shared" si="76"/>
        <v/>
      </c>
      <c r="D658" t="str">
        <f t="shared" si="82"/>
        <v/>
      </c>
      <c r="H658">
        <f t="shared" si="78"/>
        <v>1</v>
      </c>
      <c r="I658" s="5" t="s">
        <v>815</v>
      </c>
      <c r="J658" s="5" t="s">
        <v>727</v>
      </c>
      <c r="Q658" t="s">
        <v>620</v>
      </c>
      <c r="R658">
        <v>70</v>
      </c>
      <c r="S658">
        <v>1</v>
      </c>
      <c r="T658" t="str">
        <f t="shared" si="77"/>
        <v>e</v>
      </c>
      <c r="U658" t="s">
        <v>10</v>
      </c>
      <c r="V658" t="s">
        <v>190</v>
      </c>
      <c r="W658" t="s">
        <v>424</v>
      </c>
      <c r="Y658" t="s">
        <v>680</v>
      </c>
      <c r="AA658" t="s">
        <v>705</v>
      </c>
      <c r="AF658" t="s">
        <v>401</v>
      </c>
      <c r="AM658" t="str">
        <f t="shared" si="80"/>
        <v>Turnover</v>
      </c>
      <c r="AN658" t="str">
        <f t="shared" si="81"/>
        <v>Turnover_Giveaway</v>
      </c>
      <c r="AP658" t="str">
        <f t="shared" si="79"/>
        <v>Offensive</v>
      </c>
      <c r="BB658" s="23"/>
      <c r="BD658" s="21"/>
      <c r="BE658" s="21"/>
      <c r="BF658" s="21"/>
      <c r="BG658" s="21"/>
      <c r="BH658" s="21"/>
      <c r="BI658" s="21"/>
    </row>
    <row r="659" spans="1:61" x14ac:dyDescent="0.2">
      <c r="A659">
        <v>324</v>
      </c>
      <c r="B659" t="s">
        <v>887</v>
      </c>
      <c r="C659" t="str">
        <f t="shared" si="76"/>
        <v/>
      </c>
      <c r="D659" t="str">
        <f t="shared" si="82"/>
        <v/>
      </c>
      <c r="H659">
        <f t="shared" si="78"/>
        <v>1</v>
      </c>
      <c r="I659" s="5" t="s">
        <v>815</v>
      </c>
      <c r="J659" s="5" t="s">
        <v>782</v>
      </c>
      <c r="Q659" t="s">
        <v>619</v>
      </c>
      <c r="R659">
        <v>18</v>
      </c>
      <c r="S659">
        <v>1</v>
      </c>
      <c r="T659" t="str">
        <f t="shared" si="77"/>
        <v>e</v>
      </c>
      <c r="U659" t="s">
        <v>15</v>
      </c>
      <c r="V659" t="s">
        <v>697</v>
      </c>
      <c r="X659" t="s">
        <v>706</v>
      </c>
      <c r="Y659" t="s">
        <v>720</v>
      </c>
      <c r="AA659" t="s">
        <v>706</v>
      </c>
      <c r="AF659" t="s">
        <v>623</v>
      </c>
      <c r="AM659" t="str">
        <f t="shared" si="80"/>
        <v>Possession</v>
      </c>
      <c r="AN659" t="str">
        <f t="shared" si="81"/>
        <v>PuckRetrieval</v>
      </c>
      <c r="AP659" t="str">
        <f t="shared" si="79"/>
        <v>Offensive</v>
      </c>
      <c r="BB659" s="23"/>
      <c r="BD659" s="21"/>
      <c r="BE659" s="21"/>
      <c r="BF659" s="21"/>
      <c r="BG659" s="21"/>
      <c r="BH659" s="21"/>
      <c r="BI659" s="21"/>
    </row>
    <row r="660" spans="1:61" x14ac:dyDescent="0.2">
      <c r="A660">
        <v>325</v>
      </c>
      <c r="B660" t="s">
        <v>887</v>
      </c>
      <c r="C660" t="str">
        <f t="shared" si="76"/>
        <v/>
      </c>
      <c r="D660" t="str">
        <f t="shared" si="82"/>
        <v/>
      </c>
      <c r="H660">
        <f t="shared" si="78"/>
        <v>1</v>
      </c>
      <c r="I660" s="5" t="s">
        <v>815</v>
      </c>
      <c r="J660" s="5" t="s">
        <v>782</v>
      </c>
      <c r="Q660" t="s">
        <v>619</v>
      </c>
      <c r="R660">
        <v>18</v>
      </c>
      <c r="S660">
        <v>1</v>
      </c>
      <c r="T660" t="str">
        <f t="shared" si="77"/>
        <v>e</v>
      </c>
      <c r="U660" t="s">
        <v>8</v>
      </c>
      <c r="V660" t="s">
        <v>189</v>
      </c>
      <c r="W660" t="s">
        <v>68</v>
      </c>
      <c r="X660" t="s">
        <v>706</v>
      </c>
      <c r="Y660" t="s">
        <v>814</v>
      </c>
      <c r="AA660" t="s">
        <v>706</v>
      </c>
      <c r="AF660" t="s">
        <v>623</v>
      </c>
      <c r="AM660" t="str">
        <f t="shared" si="80"/>
        <v>Pass</v>
      </c>
      <c r="AN660" t="str">
        <f t="shared" si="81"/>
        <v>Pass_Completed</v>
      </c>
      <c r="AP660" t="str">
        <f t="shared" si="79"/>
        <v>Offensive</v>
      </c>
      <c r="BB660" s="23"/>
      <c r="BD660" s="21"/>
      <c r="BE660" s="21"/>
      <c r="BF660" s="21"/>
      <c r="BG660" s="21"/>
      <c r="BH660" s="21"/>
      <c r="BI660" s="21"/>
    </row>
    <row r="661" spans="1:61" x14ac:dyDescent="0.2">
      <c r="A661">
        <v>325</v>
      </c>
      <c r="B661" t="s">
        <v>887</v>
      </c>
      <c r="C661" t="str">
        <f t="shared" si="76"/>
        <v/>
      </c>
      <c r="D661" t="str">
        <f t="shared" si="82"/>
        <v/>
      </c>
      <c r="H661">
        <f t="shared" si="78"/>
        <v>1</v>
      </c>
      <c r="R661">
        <v>12</v>
      </c>
      <c r="S661">
        <v>1</v>
      </c>
      <c r="T661" t="str">
        <f t="shared" si="77"/>
        <v>e</v>
      </c>
      <c r="AM661" t="str">
        <f t="shared" si="80"/>
        <v>Pass</v>
      </c>
      <c r="AN661" t="str">
        <f t="shared" si="81"/>
        <v>Pass_Completed</v>
      </c>
      <c r="AP661" t="str">
        <f t="shared" si="79"/>
        <v>Offensive</v>
      </c>
      <c r="BB661" s="23"/>
      <c r="BD661" s="21"/>
      <c r="BE661" s="21"/>
      <c r="BF661" s="21"/>
      <c r="BG661" s="21"/>
      <c r="BH661" s="21"/>
      <c r="BI661" s="21"/>
    </row>
    <row r="662" spans="1:61" x14ac:dyDescent="0.2">
      <c r="A662">
        <v>326</v>
      </c>
      <c r="B662">
        <v>56</v>
      </c>
      <c r="C662">
        <f t="shared" si="76"/>
        <v>9056</v>
      </c>
      <c r="D662">
        <f t="shared" si="82"/>
        <v>9056</v>
      </c>
      <c r="H662">
        <f t="shared" si="78"/>
        <v>1</v>
      </c>
      <c r="I662" s="5" t="s">
        <v>815</v>
      </c>
      <c r="J662" s="5" t="s">
        <v>732</v>
      </c>
      <c r="K662" s="5" t="s">
        <v>815</v>
      </c>
      <c r="L662" s="7" t="s">
        <v>448</v>
      </c>
      <c r="Q662" t="s">
        <v>619</v>
      </c>
      <c r="R662">
        <v>12</v>
      </c>
      <c r="S662">
        <v>1</v>
      </c>
      <c r="T662" t="str">
        <f t="shared" si="77"/>
        <v>e</v>
      </c>
      <c r="U662" t="s">
        <v>257</v>
      </c>
      <c r="V662" t="s">
        <v>819</v>
      </c>
      <c r="W662" t="s">
        <v>90</v>
      </c>
      <c r="X662" t="s">
        <v>705</v>
      </c>
      <c r="Y662" t="s">
        <v>745</v>
      </c>
      <c r="AA662" t="s">
        <v>705</v>
      </c>
      <c r="AF662" t="s">
        <v>623</v>
      </c>
      <c r="AJ662">
        <v>1</v>
      </c>
      <c r="AM662" t="str">
        <f t="shared" si="80"/>
        <v>Zone_Entry_Exit</v>
      </c>
      <c r="AN662" t="str">
        <f t="shared" si="81"/>
        <v>Zone_ExitFailed</v>
      </c>
      <c r="AP662" t="str">
        <f t="shared" si="79"/>
        <v>Offensive</v>
      </c>
      <c r="BB662" s="23"/>
      <c r="BD662" s="21"/>
      <c r="BE662" s="21"/>
      <c r="BF662" s="21"/>
      <c r="BG662" s="21"/>
      <c r="BH662" s="21"/>
      <c r="BI662" s="21"/>
    </row>
    <row r="663" spans="1:61" x14ac:dyDescent="0.2">
      <c r="A663">
        <v>326</v>
      </c>
      <c r="B663">
        <v>56</v>
      </c>
      <c r="C663">
        <f t="shared" si="76"/>
        <v>9056</v>
      </c>
      <c r="D663">
        <f t="shared" si="82"/>
        <v>9056</v>
      </c>
      <c r="H663">
        <f t="shared" si="78"/>
        <v>1</v>
      </c>
      <c r="R663">
        <v>70</v>
      </c>
      <c r="T663" t="str">
        <f t="shared" si="77"/>
        <v>o</v>
      </c>
      <c r="Y663" t="s">
        <v>714</v>
      </c>
      <c r="AA663" t="s">
        <v>706</v>
      </c>
      <c r="AJ663">
        <v>1</v>
      </c>
      <c r="AM663" t="str">
        <f t="shared" si="80"/>
        <v>Zone_Entry_Exit</v>
      </c>
      <c r="AN663" t="str">
        <f t="shared" si="81"/>
        <v>Zone_ExitFailed</v>
      </c>
      <c r="AP663" t="str">
        <f t="shared" si="79"/>
        <v>Defensive</v>
      </c>
      <c r="BB663" s="23"/>
      <c r="BD663" s="21"/>
      <c r="BE663" s="21"/>
      <c r="BF663" s="21"/>
      <c r="BG663" s="21"/>
      <c r="BH663" s="21"/>
      <c r="BI663" s="21"/>
    </row>
    <row r="664" spans="1:61" x14ac:dyDescent="0.2">
      <c r="A664">
        <v>327</v>
      </c>
      <c r="B664">
        <v>56</v>
      </c>
      <c r="C664">
        <f t="shared" si="76"/>
        <v>9056</v>
      </c>
      <c r="D664">
        <f t="shared" si="82"/>
        <v>9056</v>
      </c>
      <c r="H664">
        <f t="shared" si="78"/>
        <v>1</v>
      </c>
      <c r="I664" s="5" t="s">
        <v>815</v>
      </c>
      <c r="J664" s="5" t="s">
        <v>448</v>
      </c>
      <c r="Q664" t="s">
        <v>620</v>
      </c>
      <c r="R664">
        <v>70</v>
      </c>
      <c r="S664">
        <v>1</v>
      </c>
      <c r="T664" t="str">
        <f t="shared" si="77"/>
        <v>e</v>
      </c>
      <c r="U664" t="s">
        <v>10</v>
      </c>
      <c r="V664" t="s">
        <v>200</v>
      </c>
      <c r="W664" t="s">
        <v>82</v>
      </c>
      <c r="Y664" t="s">
        <v>714</v>
      </c>
      <c r="AA664" t="s">
        <v>706</v>
      </c>
      <c r="AF664" t="s">
        <v>401</v>
      </c>
      <c r="AJ664">
        <v>1</v>
      </c>
      <c r="AM664" t="str">
        <f t="shared" si="80"/>
        <v>Turnover</v>
      </c>
      <c r="AN664" t="str">
        <f t="shared" si="81"/>
        <v>Turnover_Takeaway</v>
      </c>
      <c r="AP664" t="str">
        <f t="shared" si="79"/>
        <v>Defensive</v>
      </c>
      <c r="BB664" s="23"/>
      <c r="BD664" s="21"/>
      <c r="BE664" s="21"/>
      <c r="BF664" s="21"/>
      <c r="BG664" s="21"/>
      <c r="BH664" s="21"/>
      <c r="BI664" s="21"/>
    </row>
    <row r="665" spans="1:61" x14ac:dyDescent="0.2">
      <c r="A665">
        <v>327</v>
      </c>
      <c r="B665">
        <v>56</v>
      </c>
      <c r="C665">
        <f t="shared" si="76"/>
        <v>9056</v>
      </c>
      <c r="D665">
        <f t="shared" si="82"/>
        <v>9056</v>
      </c>
      <c r="H665">
        <f t="shared" si="78"/>
        <v>1</v>
      </c>
      <c r="R665">
        <v>12</v>
      </c>
      <c r="T665" t="str">
        <f t="shared" si="77"/>
        <v>o</v>
      </c>
      <c r="AJ665">
        <v>1</v>
      </c>
      <c r="AM665" t="str">
        <f t="shared" si="80"/>
        <v>Turnover</v>
      </c>
      <c r="AN665" t="str">
        <f t="shared" si="81"/>
        <v>Turnover_Takeaway</v>
      </c>
      <c r="AP665" t="str">
        <f t="shared" si="79"/>
        <v>Offensive</v>
      </c>
      <c r="BB665" s="23"/>
      <c r="BD665" s="21"/>
      <c r="BE665" s="21"/>
      <c r="BF665" s="21"/>
      <c r="BG665" s="21"/>
      <c r="BH665" s="21"/>
      <c r="BI665" s="21"/>
    </row>
    <row r="666" spans="1:61" x14ac:dyDescent="0.2">
      <c r="A666">
        <v>328</v>
      </c>
      <c r="B666" t="s">
        <v>887</v>
      </c>
      <c r="C666" t="str">
        <f t="shared" si="76"/>
        <v/>
      </c>
      <c r="D666" t="str">
        <f t="shared" si="82"/>
        <v/>
      </c>
      <c r="H666">
        <f t="shared" si="78"/>
        <v>1</v>
      </c>
      <c r="I666" s="5" t="s">
        <v>815</v>
      </c>
      <c r="J666" s="5" t="s">
        <v>448</v>
      </c>
      <c r="Q666" t="s">
        <v>620</v>
      </c>
      <c r="R666">
        <v>70</v>
      </c>
      <c r="S666">
        <v>1</v>
      </c>
      <c r="T666" t="str">
        <f t="shared" si="77"/>
        <v>e</v>
      </c>
      <c r="U666" t="s">
        <v>257</v>
      </c>
      <c r="V666" t="s">
        <v>210</v>
      </c>
      <c r="W666" t="s">
        <v>93</v>
      </c>
      <c r="X666" t="s">
        <v>706</v>
      </c>
      <c r="AF666" t="s">
        <v>401</v>
      </c>
      <c r="AM666" t="str">
        <f t="shared" si="80"/>
        <v>Zone_Entry_Exit</v>
      </c>
      <c r="AN666" t="str">
        <f t="shared" si="81"/>
        <v>Zone_Keepin</v>
      </c>
      <c r="AP666" t="str">
        <f t="shared" si="79"/>
        <v>Offensive</v>
      </c>
      <c r="BB666" s="23"/>
      <c r="BD666" s="21"/>
      <c r="BE666" s="21"/>
      <c r="BF666" s="21"/>
      <c r="BG666" s="21"/>
      <c r="BH666" s="21"/>
      <c r="BI666" s="21"/>
    </row>
    <row r="667" spans="1:61" x14ac:dyDescent="0.2">
      <c r="A667">
        <v>329</v>
      </c>
      <c r="B667" t="s">
        <v>887</v>
      </c>
      <c r="C667" t="str">
        <f t="shared" si="76"/>
        <v/>
      </c>
      <c r="D667" t="str">
        <f t="shared" si="82"/>
        <v/>
      </c>
      <c r="H667">
        <f t="shared" si="78"/>
        <v>1</v>
      </c>
      <c r="I667" s="5" t="s">
        <v>815</v>
      </c>
      <c r="J667" s="5" t="s">
        <v>733</v>
      </c>
      <c r="Q667" t="s">
        <v>619</v>
      </c>
      <c r="R667">
        <v>44</v>
      </c>
      <c r="S667">
        <v>1</v>
      </c>
      <c r="T667" t="str">
        <f t="shared" si="77"/>
        <v>e</v>
      </c>
      <c r="U667" t="s">
        <v>15</v>
      </c>
      <c r="V667" t="s">
        <v>697</v>
      </c>
      <c r="X667" t="s">
        <v>706</v>
      </c>
      <c r="Y667" t="s">
        <v>720</v>
      </c>
      <c r="AA667" t="s">
        <v>706</v>
      </c>
      <c r="AF667" t="s">
        <v>623</v>
      </c>
      <c r="AM667" t="str">
        <f t="shared" si="80"/>
        <v>Possession</v>
      </c>
      <c r="AN667" t="str">
        <f t="shared" si="81"/>
        <v>PuckRetrieval</v>
      </c>
      <c r="AP667" t="str">
        <f t="shared" si="79"/>
        <v>Offensive</v>
      </c>
      <c r="BB667" s="23"/>
      <c r="BD667" s="21"/>
      <c r="BE667" s="21"/>
      <c r="BF667" s="21"/>
      <c r="BG667" s="21"/>
      <c r="BH667" s="21"/>
      <c r="BI667" s="21"/>
    </row>
    <row r="668" spans="1:61" x14ac:dyDescent="0.2">
      <c r="A668">
        <v>330</v>
      </c>
      <c r="B668">
        <v>57</v>
      </c>
      <c r="C668">
        <f t="shared" si="76"/>
        <v>9057</v>
      </c>
      <c r="D668">
        <f t="shared" si="82"/>
        <v>9057</v>
      </c>
      <c r="H668">
        <f t="shared" si="78"/>
        <v>1</v>
      </c>
      <c r="I668" s="5" t="s">
        <v>815</v>
      </c>
      <c r="J668" s="5" t="s">
        <v>733</v>
      </c>
      <c r="Q668" t="s">
        <v>619</v>
      </c>
      <c r="R668">
        <v>44</v>
      </c>
      <c r="S668">
        <v>1</v>
      </c>
      <c r="T668" t="str">
        <f t="shared" si="77"/>
        <v>e</v>
      </c>
      <c r="U668" t="s">
        <v>257</v>
      </c>
      <c r="V668" t="s">
        <v>201</v>
      </c>
      <c r="W668" t="s">
        <v>92</v>
      </c>
      <c r="X668" t="s">
        <v>706</v>
      </c>
      <c r="Y668" t="s">
        <v>803</v>
      </c>
      <c r="AF668" t="s">
        <v>623</v>
      </c>
      <c r="AM668" t="str">
        <f t="shared" si="80"/>
        <v>Zone_Entry_Exit</v>
      </c>
      <c r="AN668" t="str">
        <f t="shared" si="81"/>
        <v>Zone_Exit</v>
      </c>
      <c r="AP668" t="str">
        <f t="shared" si="79"/>
        <v>Offensive</v>
      </c>
      <c r="BB668" s="23"/>
      <c r="BD668" s="21"/>
      <c r="BE668" s="21"/>
      <c r="BF668" s="21"/>
      <c r="BG668" s="21"/>
      <c r="BH668" s="21"/>
      <c r="BI668" s="21"/>
    </row>
    <row r="669" spans="1:61" x14ac:dyDescent="0.2">
      <c r="A669">
        <v>331</v>
      </c>
      <c r="B669">
        <v>57</v>
      </c>
      <c r="C669">
        <f t="shared" si="76"/>
        <v>9057</v>
      </c>
      <c r="D669">
        <f t="shared" si="82"/>
        <v>9057</v>
      </c>
      <c r="H669">
        <f t="shared" si="78"/>
        <v>1</v>
      </c>
      <c r="I669" s="5" t="s">
        <v>815</v>
      </c>
      <c r="J669" s="5" t="s">
        <v>733</v>
      </c>
      <c r="Q669" t="s">
        <v>619</v>
      </c>
      <c r="R669">
        <v>44</v>
      </c>
      <c r="S669">
        <v>1</v>
      </c>
      <c r="T669" t="str">
        <f t="shared" si="77"/>
        <v>e</v>
      </c>
      <c r="U669" t="s">
        <v>10</v>
      </c>
      <c r="V669" t="s">
        <v>190</v>
      </c>
      <c r="W669" t="s">
        <v>387</v>
      </c>
      <c r="AF669" t="s">
        <v>623</v>
      </c>
      <c r="AM669" t="str">
        <f t="shared" si="80"/>
        <v>Turnover</v>
      </c>
      <c r="AN669" t="str">
        <f t="shared" si="81"/>
        <v>Turnover_Giveaway</v>
      </c>
      <c r="AP669" t="str">
        <f t="shared" si="79"/>
        <v>Offensive</v>
      </c>
      <c r="BB669" s="23"/>
      <c r="BD669" s="21"/>
      <c r="BE669" s="21"/>
      <c r="BF669" s="21"/>
      <c r="BG669" s="21"/>
      <c r="BH669" s="21"/>
      <c r="BI669" s="21"/>
    </row>
    <row r="670" spans="1:61" x14ac:dyDescent="0.2">
      <c r="A670">
        <v>332</v>
      </c>
      <c r="B670" t="s">
        <v>887</v>
      </c>
      <c r="C670" t="str">
        <f t="shared" si="76"/>
        <v/>
      </c>
      <c r="D670" t="str">
        <f t="shared" si="82"/>
        <v/>
      </c>
      <c r="H670">
        <f t="shared" si="78"/>
        <v>1</v>
      </c>
      <c r="I670" s="5" t="s">
        <v>815</v>
      </c>
      <c r="J670" s="5" t="s">
        <v>736</v>
      </c>
      <c r="Q670" t="s">
        <v>620</v>
      </c>
      <c r="R670">
        <v>22</v>
      </c>
      <c r="S670">
        <v>1</v>
      </c>
      <c r="T670" t="str">
        <f t="shared" si="77"/>
        <v>e</v>
      </c>
      <c r="U670" t="s">
        <v>15</v>
      </c>
      <c r="V670" t="s">
        <v>697</v>
      </c>
      <c r="X670" t="s">
        <v>706</v>
      </c>
      <c r="Y670" t="s">
        <v>712</v>
      </c>
      <c r="AA670" t="s">
        <v>706</v>
      </c>
      <c r="AF670" t="s">
        <v>635</v>
      </c>
      <c r="AM670" t="str">
        <f t="shared" si="80"/>
        <v>Possession</v>
      </c>
      <c r="AN670" t="str">
        <f t="shared" si="81"/>
        <v>PuckRetrieval</v>
      </c>
      <c r="AP670" t="str">
        <f t="shared" si="79"/>
        <v>Offensive</v>
      </c>
      <c r="BB670" s="23"/>
      <c r="BD670" s="21"/>
      <c r="BE670" s="21"/>
      <c r="BF670" s="21"/>
      <c r="BG670" s="21"/>
      <c r="BH670" s="21"/>
      <c r="BI670" s="21"/>
    </row>
    <row r="671" spans="1:61" x14ac:dyDescent="0.2">
      <c r="A671">
        <v>333</v>
      </c>
      <c r="B671">
        <v>58</v>
      </c>
      <c r="C671">
        <f t="shared" si="76"/>
        <v>9058</v>
      </c>
      <c r="D671">
        <f t="shared" si="82"/>
        <v>9058</v>
      </c>
      <c r="H671">
        <f t="shared" si="78"/>
        <v>1</v>
      </c>
      <c r="I671" s="5" t="s">
        <v>815</v>
      </c>
      <c r="J671" s="5" t="s">
        <v>736</v>
      </c>
      <c r="Q671" t="s">
        <v>620</v>
      </c>
      <c r="R671">
        <v>22</v>
      </c>
      <c r="S671">
        <v>1</v>
      </c>
      <c r="T671" t="str">
        <f t="shared" si="77"/>
        <v>e</v>
      </c>
      <c r="U671" t="s">
        <v>8</v>
      </c>
      <c r="V671" t="s">
        <v>199</v>
      </c>
      <c r="W671" t="s">
        <v>71</v>
      </c>
      <c r="X671" t="s">
        <v>706</v>
      </c>
      <c r="Y671" t="s">
        <v>814</v>
      </c>
      <c r="AA671" t="s">
        <v>705</v>
      </c>
      <c r="AF671" t="s">
        <v>635</v>
      </c>
      <c r="AJ671">
        <v>1</v>
      </c>
      <c r="AM671" t="str">
        <f t="shared" si="80"/>
        <v>Pass</v>
      </c>
      <c r="AN671" t="str">
        <f t="shared" si="81"/>
        <v>Pass_Missed</v>
      </c>
      <c r="AP671" t="str">
        <f t="shared" si="79"/>
        <v>Offensive</v>
      </c>
      <c r="BB671" s="23"/>
      <c r="BD671" s="21"/>
      <c r="BE671" s="21"/>
      <c r="BF671" s="21"/>
      <c r="BG671" s="21"/>
      <c r="BH671" s="21"/>
      <c r="BI671" s="21"/>
    </row>
    <row r="672" spans="1:61" x14ac:dyDescent="0.2">
      <c r="A672">
        <v>333</v>
      </c>
      <c r="B672">
        <v>58</v>
      </c>
      <c r="C672">
        <f t="shared" si="76"/>
        <v>9058</v>
      </c>
      <c r="D672">
        <f t="shared" si="82"/>
        <v>9058</v>
      </c>
      <c r="H672">
        <f t="shared" si="78"/>
        <v>1</v>
      </c>
      <c r="R672">
        <v>70</v>
      </c>
      <c r="S672">
        <v>1</v>
      </c>
      <c r="T672" t="str">
        <f t="shared" si="77"/>
        <v>e</v>
      </c>
      <c r="AM672" t="str">
        <f t="shared" si="80"/>
        <v>Pass</v>
      </c>
      <c r="AN672" t="str">
        <f t="shared" si="81"/>
        <v>Pass_Missed</v>
      </c>
      <c r="AP672" t="str">
        <f t="shared" si="79"/>
        <v>Offensive</v>
      </c>
      <c r="BB672" s="23"/>
      <c r="BD672" s="21"/>
      <c r="BE672" s="21"/>
      <c r="BF672" s="21"/>
      <c r="BG672" s="21"/>
      <c r="BH672" s="21"/>
      <c r="BI672" s="21"/>
    </row>
    <row r="673" spans="1:61" x14ac:dyDescent="0.2">
      <c r="A673">
        <v>333</v>
      </c>
      <c r="B673">
        <v>58</v>
      </c>
      <c r="C673">
        <f t="shared" si="76"/>
        <v>9058</v>
      </c>
      <c r="D673">
        <f t="shared" si="82"/>
        <v>9058</v>
      </c>
      <c r="H673">
        <f t="shared" si="78"/>
        <v>1</v>
      </c>
      <c r="R673">
        <v>3</v>
      </c>
      <c r="T673" t="str">
        <f t="shared" si="77"/>
        <v>o</v>
      </c>
      <c r="AJ673">
        <v>1</v>
      </c>
      <c r="AM673" t="str">
        <f t="shared" si="80"/>
        <v>Pass</v>
      </c>
      <c r="AN673" t="str">
        <f t="shared" si="81"/>
        <v>Pass_Missed</v>
      </c>
      <c r="AP673" t="str">
        <f t="shared" si="79"/>
        <v>Defensive</v>
      </c>
      <c r="BB673" s="23"/>
      <c r="BD673" s="21"/>
      <c r="BE673" s="21"/>
      <c r="BF673" s="21"/>
      <c r="BG673" s="21"/>
      <c r="BH673" s="21"/>
      <c r="BI673" s="21"/>
    </row>
    <row r="674" spans="1:61" x14ac:dyDescent="0.2">
      <c r="A674">
        <v>334</v>
      </c>
      <c r="B674">
        <v>58</v>
      </c>
      <c r="C674">
        <f t="shared" si="76"/>
        <v>9058</v>
      </c>
      <c r="D674">
        <f t="shared" si="82"/>
        <v>9058</v>
      </c>
      <c r="H674">
        <f t="shared" si="78"/>
        <v>1</v>
      </c>
      <c r="I674" s="5" t="s">
        <v>815</v>
      </c>
      <c r="J674" s="5" t="s">
        <v>736</v>
      </c>
      <c r="Q674" t="s">
        <v>620</v>
      </c>
      <c r="R674">
        <v>22</v>
      </c>
      <c r="S674">
        <v>1</v>
      </c>
      <c r="T674" t="str">
        <f t="shared" si="77"/>
        <v>e</v>
      </c>
      <c r="U674" t="s">
        <v>257</v>
      </c>
      <c r="V674" t="s">
        <v>191</v>
      </c>
      <c r="W674" t="s">
        <v>423</v>
      </c>
      <c r="AF674" t="s">
        <v>635</v>
      </c>
      <c r="AJ674">
        <v>1</v>
      </c>
      <c r="AM674" t="str">
        <f t="shared" si="80"/>
        <v>Zone_Entry_Exit</v>
      </c>
      <c r="AN674" t="str">
        <f t="shared" si="81"/>
        <v>Zone_Entry</v>
      </c>
      <c r="AP674" t="str">
        <f t="shared" si="79"/>
        <v>Offensive</v>
      </c>
      <c r="BB674" s="23"/>
      <c r="BD674" s="21"/>
      <c r="BE674" s="21"/>
      <c r="BF674" s="21"/>
      <c r="BG674" s="21"/>
      <c r="BH674" s="21"/>
      <c r="BI674" s="21"/>
    </row>
    <row r="675" spans="1:61" x14ac:dyDescent="0.2">
      <c r="A675">
        <v>334</v>
      </c>
      <c r="B675">
        <v>58</v>
      </c>
      <c r="C675">
        <f t="shared" si="76"/>
        <v>9058</v>
      </c>
      <c r="D675">
        <f t="shared" si="82"/>
        <v>9058</v>
      </c>
      <c r="H675">
        <f t="shared" si="78"/>
        <v>1</v>
      </c>
      <c r="R675">
        <v>70</v>
      </c>
      <c r="S675">
        <v>1</v>
      </c>
      <c r="T675" t="str">
        <f t="shared" si="77"/>
        <v>e</v>
      </c>
      <c r="AM675" t="str">
        <f t="shared" si="80"/>
        <v>Zone_Entry_Exit</v>
      </c>
      <c r="AN675" t="str">
        <f t="shared" si="81"/>
        <v>Zone_Entry</v>
      </c>
      <c r="AP675" t="str">
        <f t="shared" si="79"/>
        <v>Offensive</v>
      </c>
      <c r="BB675" s="23"/>
      <c r="BD675" s="21"/>
      <c r="BE675" s="21"/>
      <c r="BF675" s="21"/>
      <c r="BG675" s="21"/>
      <c r="BH675" s="21"/>
      <c r="BI675" s="21"/>
    </row>
    <row r="676" spans="1:61" x14ac:dyDescent="0.2">
      <c r="A676">
        <v>334</v>
      </c>
      <c r="B676">
        <v>58</v>
      </c>
      <c r="C676">
        <f t="shared" si="76"/>
        <v>9058</v>
      </c>
      <c r="D676">
        <f t="shared" si="82"/>
        <v>9058</v>
      </c>
      <c r="H676">
        <f t="shared" si="78"/>
        <v>1</v>
      </c>
      <c r="R676">
        <v>3</v>
      </c>
      <c r="T676" t="str">
        <f t="shared" si="77"/>
        <v>o</v>
      </c>
      <c r="AJ676">
        <v>1</v>
      </c>
      <c r="AM676" t="str">
        <f t="shared" si="80"/>
        <v>Zone_Entry_Exit</v>
      </c>
      <c r="AN676" t="str">
        <f t="shared" si="81"/>
        <v>Zone_Entry</v>
      </c>
      <c r="AP676" t="str">
        <f t="shared" si="79"/>
        <v>Defensive</v>
      </c>
      <c r="BB676" s="23"/>
      <c r="BD676" s="21"/>
      <c r="BE676" s="21"/>
      <c r="BF676" s="21"/>
      <c r="BG676" s="21"/>
      <c r="BH676" s="21"/>
      <c r="BI676" s="21"/>
    </row>
    <row r="677" spans="1:61" x14ac:dyDescent="0.2">
      <c r="A677">
        <v>335</v>
      </c>
      <c r="B677">
        <v>58</v>
      </c>
      <c r="C677">
        <f t="shared" si="76"/>
        <v>9058</v>
      </c>
      <c r="D677">
        <f t="shared" si="82"/>
        <v>9058</v>
      </c>
      <c r="H677">
        <f t="shared" si="78"/>
        <v>1</v>
      </c>
      <c r="I677" s="5" t="s">
        <v>815</v>
      </c>
      <c r="J677" s="5" t="s">
        <v>736</v>
      </c>
      <c r="Q677" t="s">
        <v>620</v>
      </c>
      <c r="R677">
        <v>22</v>
      </c>
      <c r="S677">
        <v>1</v>
      </c>
      <c r="T677" t="str">
        <f t="shared" si="77"/>
        <v>e</v>
      </c>
      <c r="U677" t="s">
        <v>10</v>
      </c>
      <c r="V677" t="s">
        <v>190</v>
      </c>
      <c r="W677" t="s">
        <v>416</v>
      </c>
      <c r="AF677" t="s">
        <v>401</v>
      </c>
      <c r="AM677" t="str">
        <f t="shared" si="80"/>
        <v>Turnover</v>
      </c>
      <c r="AN677" t="str">
        <f t="shared" si="81"/>
        <v>Turnover_Giveaway</v>
      </c>
      <c r="AP677" t="str">
        <f t="shared" si="79"/>
        <v>Offensive</v>
      </c>
      <c r="BB677" s="23"/>
      <c r="BD677" s="21"/>
      <c r="BE677" s="21"/>
      <c r="BF677" s="21"/>
      <c r="BG677" s="21"/>
      <c r="BH677" s="21"/>
      <c r="BI677" s="21"/>
    </row>
    <row r="678" spans="1:61" x14ac:dyDescent="0.2">
      <c r="A678">
        <v>336</v>
      </c>
      <c r="B678" t="s">
        <v>887</v>
      </c>
      <c r="C678" t="str">
        <f t="shared" si="76"/>
        <v/>
      </c>
      <c r="D678" t="str">
        <f t="shared" si="82"/>
        <v/>
      </c>
      <c r="H678">
        <f t="shared" si="78"/>
        <v>1</v>
      </c>
      <c r="I678" s="5" t="s">
        <v>815</v>
      </c>
      <c r="J678" s="5" t="s">
        <v>738</v>
      </c>
      <c r="Q678" t="s">
        <v>619</v>
      </c>
      <c r="R678">
        <v>18</v>
      </c>
      <c r="S678">
        <v>1</v>
      </c>
      <c r="T678" t="str">
        <f t="shared" si="77"/>
        <v>e</v>
      </c>
      <c r="U678" t="s">
        <v>15</v>
      </c>
      <c r="V678" t="s">
        <v>697</v>
      </c>
      <c r="X678" t="s">
        <v>705</v>
      </c>
      <c r="Y678" t="s">
        <v>712</v>
      </c>
      <c r="AA678" t="s">
        <v>705</v>
      </c>
      <c r="AF678" t="s">
        <v>623</v>
      </c>
      <c r="AM678" t="str">
        <f t="shared" si="80"/>
        <v>Possession</v>
      </c>
      <c r="AN678" t="str">
        <f t="shared" si="81"/>
        <v>PuckRetrieval</v>
      </c>
      <c r="AP678" t="str">
        <f t="shared" si="79"/>
        <v>Offensive</v>
      </c>
      <c r="BB678" s="23"/>
      <c r="BD678" s="21"/>
      <c r="BE678" s="21"/>
      <c r="BF678" s="21"/>
      <c r="BG678" s="21"/>
      <c r="BH678" s="21"/>
      <c r="BI678" s="21"/>
    </row>
    <row r="679" spans="1:61" x14ac:dyDescent="0.2">
      <c r="A679">
        <v>337</v>
      </c>
      <c r="B679" t="s">
        <v>887</v>
      </c>
      <c r="C679" t="str">
        <f t="shared" si="76"/>
        <v/>
      </c>
      <c r="D679" t="str">
        <f t="shared" si="82"/>
        <v/>
      </c>
      <c r="H679">
        <f t="shared" si="78"/>
        <v>1</v>
      </c>
      <c r="I679" s="5" t="s">
        <v>815</v>
      </c>
      <c r="J679" s="5" t="s">
        <v>785</v>
      </c>
      <c r="Q679" t="s">
        <v>619</v>
      </c>
      <c r="R679">
        <v>18</v>
      </c>
      <c r="S679">
        <v>1</v>
      </c>
      <c r="T679" t="str">
        <f t="shared" si="77"/>
        <v>e</v>
      </c>
      <c r="U679" t="s">
        <v>10</v>
      </c>
      <c r="V679" t="s">
        <v>190</v>
      </c>
      <c r="W679" t="s">
        <v>398</v>
      </c>
      <c r="AF679" t="s">
        <v>623</v>
      </c>
      <c r="AM679" t="str">
        <f t="shared" si="80"/>
        <v>Turnover</v>
      </c>
      <c r="AN679" t="str">
        <f t="shared" si="81"/>
        <v>Turnover_Giveaway</v>
      </c>
      <c r="AP679" t="str">
        <f t="shared" si="79"/>
        <v>Offensive</v>
      </c>
      <c r="BB679" s="23"/>
      <c r="BD679" s="21"/>
      <c r="BE679" s="21"/>
      <c r="BF679" s="21"/>
      <c r="BG679" s="21"/>
      <c r="BH679" s="21"/>
      <c r="BI679" s="21"/>
    </row>
    <row r="680" spans="1:61" x14ac:dyDescent="0.2">
      <c r="A680">
        <v>338</v>
      </c>
      <c r="B680" t="s">
        <v>887</v>
      </c>
      <c r="C680" t="str">
        <f t="shared" si="76"/>
        <v/>
      </c>
      <c r="D680" t="str">
        <f t="shared" si="82"/>
        <v/>
      </c>
      <c r="H680">
        <f t="shared" si="78"/>
        <v>1</v>
      </c>
      <c r="I680" s="5" t="s">
        <v>815</v>
      </c>
      <c r="J680" s="5" t="s">
        <v>740</v>
      </c>
      <c r="K680" s="5" t="s">
        <v>815</v>
      </c>
      <c r="L680" s="7" t="s">
        <v>786</v>
      </c>
      <c r="Q680" t="s">
        <v>620</v>
      </c>
      <c r="R680">
        <v>61</v>
      </c>
      <c r="S680">
        <v>1</v>
      </c>
      <c r="T680" t="str">
        <f t="shared" si="77"/>
        <v>e</v>
      </c>
      <c r="U680" t="s">
        <v>15</v>
      </c>
      <c r="V680" t="s">
        <v>697</v>
      </c>
      <c r="X680" t="s">
        <v>706</v>
      </c>
      <c r="Y680" t="s">
        <v>712</v>
      </c>
      <c r="Z680" t="s">
        <v>677</v>
      </c>
      <c r="AA680" t="s">
        <v>706</v>
      </c>
      <c r="AF680" t="s">
        <v>401</v>
      </c>
      <c r="AJ680">
        <v>1</v>
      </c>
      <c r="AM680" t="str">
        <f t="shared" si="80"/>
        <v>Possession</v>
      </c>
      <c r="AN680" t="str">
        <f t="shared" si="81"/>
        <v>PuckRetrieval</v>
      </c>
      <c r="AP680" t="str">
        <f t="shared" si="79"/>
        <v>Offensive</v>
      </c>
      <c r="BB680" s="23"/>
      <c r="BD680" s="21"/>
      <c r="BE680" s="21"/>
      <c r="BF680" s="21"/>
      <c r="BG680" s="21"/>
      <c r="BH680" s="21"/>
      <c r="BI680" s="21"/>
    </row>
    <row r="681" spans="1:61" x14ac:dyDescent="0.2">
      <c r="A681">
        <v>338</v>
      </c>
      <c r="B681" t="s">
        <v>887</v>
      </c>
      <c r="C681" t="str">
        <f t="shared" si="76"/>
        <v/>
      </c>
      <c r="D681" t="str">
        <f t="shared" si="82"/>
        <v/>
      </c>
      <c r="H681">
        <f t="shared" si="78"/>
        <v>1</v>
      </c>
      <c r="R681">
        <v>3</v>
      </c>
      <c r="T681" t="str">
        <f t="shared" si="77"/>
        <v>o</v>
      </c>
      <c r="Y681" t="s">
        <v>715</v>
      </c>
      <c r="AJ681">
        <v>1</v>
      </c>
      <c r="AM681" t="str">
        <f t="shared" si="80"/>
        <v>Possession</v>
      </c>
      <c r="AN681" t="str">
        <f t="shared" si="81"/>
        <v>PuckRetrieval</v>
      </c>
      <c r="AP681" t="str">
        <f t="shared" si="79"/>
        <v>Defensive</v>
      </c>
      <c r="BB681" s="23"/>
      <c r="BD681" s="21"/>
      <c r="BE681" s="21"/>
      <c r="BF681" s="21"/>
      <c r="BG681" s="21"/>
      <c r="BH681" s="21"/>
      <c r="BI681" s="21"/>
    </row>
    <row r="682" spans="1:61" x14ac:dyDescent="0.2">
      <c r="A682">
        <v>339</v>
      </c>
      <c r="B682">
        <v>59</v>
      </c>
      <c r="C682">
        <f t="shared" si="76"/>
        <v>9059</v>
      </c>
      <c r="D682">
        <f t="shared" si="82"/>
        <v>9059</v>
      </c>
      <c r="H682">
        <f t="shared" si="78"/>
        <v>1</v>
      </c>
      <c r="I682" s="5" t="s">
        <v>815</v>
      </c>
      <c r="J682" s="5" t="s">
        <v>786</v>
      </c>
      <c r="Q682" t="s">
        <v>620</v>
      </c>
      <c r="R682">
        <v>61</v>
      </c>
      <c r="S682">
        <v>1</v>
      </c>
      <c r="T682" t="str">
        <f t="shared" si="77"/>
        <v>e</v>
      </c>
      <c r="U682" t="s">
        <v>7</v>
      </c>
      <c r="V682" t="s">
        <v>208</v>
      </c>
      <c r="W682" t="s">
        <v>53</v>
      </c>
      <c r="X682" t="s">
        <v>705</v>
      </c>
      <c r="AF682" t="s">
        <v>401</v>
      </c>
      <c r="AJ682">
        <v>1</v>
      </c>
      <c r="AM682" t="str">
        <f t="shared" si="80"/>
        <v>Shot</v>
      </c>
      <c r="AN682" t="str">
        <f t="shared" si="81"/>
        <v>Shot_Blocked</v>
      </c>
      <c r="AP682" t="str">
        <f t="shared" si="79"/>
        <v>Offensive</v>
      </c>
      <c r="BB682" s="23"/>
      <c r="BD682" s="21"/>
      <c r="BE682" s="21"/>
      <c r="BF682" s="21"/>
      <c r="BG682" s="21"/>
      <c r="BH682" s="21"/>
      <c r="BI682" s="21"/>
    </row>
    <row r="683" spans="1:61" x14ac:dyDescent="0.2">
      <c r="A683">
        <v>339</v>
      </c>
      <c r="B683">
        <v>59</v>
      </c>
      <c r="C683">
        <f t="shared" si="76"/>
        <v>9059</v>
      </c>
      <c r="D683">
        <f t="shared" si="82"/>
        <v>9059</v>
      </c>
      <c r="H683">
        <f t="shared" si="78"/>
        <v>1</v>
      </c>
      <c r="R683">
        <v>18</v>
      </c>
      <c r="T683" t="str">
        <f t="shared" si="77"/>
        <v>o</v>
      </c>
      <c r="Y683" t="s">
        <v>681</v>
      </c>
      <c r="AA683" t="s">
        <v>706</v>
      </c>
      <c r="AM683" t="str">
        <f t="shared" si="80"/>
        <v>Shot</v>
      </c>
      <c r="AN683" t="str">
        <f t="shared" si="81"/>
        <v>Shot_Blocked</v>
      </c>
      <c r="AP683" t="str">
        <f t="shared" si="79"/>
        <v>Defensive</v>
      </c>
      <c r="BB683" s="23"/>
      <c r="BD683" s="21"/>
      <c r="BE683" s="21"/>
      <c r="BF683" s="21"/>
      <c r="BG683" s="21"/>
      <c r="BH683" s="21"/>
      <c r="BI683" s="21"/>
    </row>
    <row r="684" spans="1:61" x14ac:dyDescent="0.2">
      <c r="A684">
        <v>339</v>
      </c>
      <c r="B684">
        <v>59</v>
      </c>
      <c r="C684">
        <f t="shared" si="76"/>
        <v>9059</v>
      </c>
      <c r="D684">
        <f t="shared" si="82"/>
        <v>9059</v>
      </c>
      <c r="H684">
        <f t="shared" si="78"/>
        <v>1</v>
      </c>
      <c r="R684">
        <v>3</v>
      </c>
      <c r="T684" t="str">
        <f t="shared" si="77"/>
        <v>o</v>
      </c>
      <c r="Y684" t="s">
        <v>715</v>
      </c>
      <c r="AJ684">
        <v>1</v>
      </c>
      <c r="AM684" t="str">
        <f t="shared" si="80"/>
        <v>Shot</v>
      </c>
      <c r="AN684" t="str">
        <f t="shared" si="81"/>
        <v>Shot_Blocked</v>
      </c>
      <c r="AP684" t="str">
        <f t="shared" si="79"/>
        <v>Defensive</v>
      </c>
      <c r="BB684" s="23"/>
      <c r="BD684" s="21"/>
      <c r="BE684" s="21"/>
      <c r="BF684" s="21"/>
      <c r="BG684" s="21"/>
      <c r="BH684" s="21"/>
      <c r="BI684" s="21"/>
    </row>
    <row r="685" spans="1:61" x14ac:dyDescent="0.2">
      <c r="A685">
        <v>340</v>
      </c>
      <c r="B685">
        <v>59</v>
      </c>
      <c r="C685">
        <f t="shared" si="76"/>
        <v>9059</v>
      </c>
      <c r="D685">
        <f t="shared" si="82"/>
        <v>9059</v>
      </c>
      <c r="H685">
        <f t="shared" si="78"/>
        <v>1</v>
      </c>
      <c r="I685" s="5" t="s">
        <v>815</v>
      </c>
      <c r="J685" s="5" t="s">
        <v>786</v>
      </c>
      <c r="Q685" t="s">
        <v>620</v>
      </c>
      <c r="R685">
        <v>61</v>
      </c>
      <c r="S685">
        <v>1</v>
      </c>
      <c r="T685" t="str">
        <f t="shared" si="77"/>
        <v>e</v>
      </c>
      <c r="U685" t="s">
        <v>10</v>
      </c>
      <c r="V685" t="s">
        <v>190</v>
      </c>
      <c r="W685" t="s">
        <v>78</v>
      </c>
      <c r="AF685" t="s">
        <v>401</v>
      </c>
      <c r="AJ685">
        <v>1</v>
      </c>
      <c r="AM685" t="str">
        <f t="shared" si="80"/>
        <v>Turnover</v>
      </c>
      <c r="AN685" t="str">
        <f t="shared" si="81"/>
        <v>Turnover_Giveaway</v>
      </c>
      <c r="AP685" t="str">
        <f t="shared" si="79"/>
        <v>Offensive</v>
      </c>
      <c r="BB685" s="23"/>
      <c r="BD685" s="21"/>
      <c r="BE685" s="21"/>
      <c r="BF685" s="21"/>
      <c r="BG685" s="21"/>
      <c r="BH685" s="21"/>
      <c r="BI685" s="21"/>
    </row>
    <row r="686" spans="1:61" x14ac:dyDescent="0.2">
      <c r="A686">
        <v>340</v>
      </c>
      <c r="B686">
        <v>59</v>
      </c>
      <c r="C686">
        <f t="shared" si="76"/>
        <v>9059</v>
      </c>
      <c r="D686">
        <f t="shared" si="82"/>
        <v>9059</v>
      </c>
      <c r="H686">
        <f t="shared" si="78"/>
        <v>1</v>
      </c>
      <c r="I686" s="5" t="s">
        <v>815</v>
      </c>
      <c r="J686" s="5" t="s">
        <v>786</v>
      </c>
      <c r="R686">
        <v>18</v>
      </c>
      <c r="T686" t="str">
        <f t="shared" si="77"/>
        <v>o</v>
      </c>
      <c r="AM686" t="str">
        <f t="shared" si="80"/>
        <v>Turnover</v>
      </c>
      <c r="AN686" t="str">
        <f t="shared" si="81"/>
        <v>Turnover_Giveaway</v>
      </c>
      <c r="AP686" t="str">
        <f t="shared" si="79"/>
        <v>Defensive</v>
      </c>
      <c r="BB686" s="23"/>
      <c r="BD686" s="21"/>
      <c r="BE686" s="21"/>
      <c r="BF686" s="21"/>
      <c r="BG686" s="21"/>
      <c r="BH686" s="21"/>
      <c r="BI686" s="21"/>
    </row>
    <row r="687" spans="1:61" x14ac:dyDescent="0.2">
      <c r="A687">
        <v>340</v>
      </c>
      <c r="B687">
        <v>59</v>
      </c>
      <c r="C687">
        <f t="shared" si="76"/>
        <v>9059</v>
      </c>
      <c r="D687">
        <f t="shared" si="82"/>
        <v>9059</v>
      </c>
      <c r="H687">
        <f t="shared" si="78"/>
        <v>1</v>
      </c>
      <c r="I687" s="5" t="s">
        <v>815</v>
      </c>
      <c r="J687" s="5" t="s">
        <v>786</v>
      </c>
      <c r="R687">
        <v>3</v>
      </c>
      <c r="T687" t="str">
        <f t="shared" si="77"/>
        <v>o</v>
      </c>
      <c r="AJ687">
        <v>1</v>
      </c>
      <c r="AM687" t="str">
        <f t="shared" si="80"/>
        <v>Turnover</v>
      </c>
      <c r="AN687" t="str">
        <f t="shared" si="81"/>
        <v>Turnover_Giveaway</v>
      </c>
      <c r="AP687" t="str">
        <f t="shared" si="79"/>
        <v>Defensive</v>
      </c>
      <c r="BB687" s="23"/>
      <c r="BD687" s="21"/>
      <c r="BE687" s="21"/>
      <c r="BF687" s="21"/>
      <c r="BG687" s="21"/>
      <c r="BH687" s="21"/>
      <c r="BI687" s="21"/>
    </row>
    <row r="688" spans="1:61" x14ac:dyDescent="0.2">
      <c r="A688">
        <v>341</v>
      </c>
      <c r="B688" t="s">
        <v>887</v>
      </c>
      <c r="C688" t="str">
        <f t="shared" si="76"/>
        <v/>
      </c>
      <c r="D688" t="str">
        <f t="shared" si="82"/>
        <v/>
      </c>
      <c r="H688">
        <f t="shared" si="78"/>
        <v>1</v>
      </c>
      <c r="I688" s="5" t="s">
        <v>888</v>
      </c>
      <c r="J688" s="5" t="s">
        <v>622</v>
      </c>
      <c r="Q688" t="s">
        <v>619</v>
      </c>
      <c r="R688">
        <v>18</v>
      </c>
      <c r="S688">
        <v>1</v>
      </c>
      <c r="T688" t="str">
        <f t="shared" si="77"/>
        <v>e</v>
      </c>
      <c r="U688" t="s">
        <v>15</v>
      </c>
      <c r="V688" t="s">
        <v>697</v>
      </c>
      <c r="X688" t="s">
        <v>705</v>
      </c>
      <c r="Y688" t="s">
        <v>712</v>
      </c>
      <c r="AA688" t="s">
        <v>705</v>
      </c>
      <c r="AF688" t="s">
        <v>623</v>
      </c>
      <c r="AM688" t="str">
        <f t="shared" si="80"/>
        <v>Possession</v>
      </c>
      <c r="AN688" t="str">
        <f t="shared" si="81"/>
        <v>PuckRetrieval</v>
      </c>
      <c r="AP688" t="str">
        <f t="shared" si="79"/>
        <v>Offensive</v>
      </c>
      <c r="BB688" s="23"/>
      <c r="BD688" s="21"/>
      <c r="BE688" s="21"/>
      <c r="BF688" s="21"/>
      <c r="BG688" s="21"/>
      <c r="BH688" s="21"/>
      <c r="BI688" s="21"/>
    </row>
    <row r="689" spans="1:61" x14ac:dyDescent="0.2">
      <c r="A689">
        <v>342</v>
      </c>
      <c r="B689" t="s">
        <v>887</v>
      </c>
      <c r="C689" t="str">
        <f t="shared" si="76"/>
        <v/>
      </c>
      <c r="D689" t="str">
        <f t="shared" si="82"/>
        <v/>
      </c>
      <c r="H689">
        <f t="shared" si="78"/>
        <v>1</v>
      </c>
      <c r="I689" s="5" t="s">
        <v>888</v>
      </c>
      <c r="J689" s="5" t="s">
        <v>637</v>
      </c>
      <c r="Q689" t="s">
        <v>619</v>
      </c>
      <c r="R689">
        <v>18</v>
      </c>
      <c r="S689">
        <v>1</v>
      </c>
      <c r="T689" t="str">
        <f t="shared" si="77"/>
        <v>e</v>
      </c>
      <c r="U689" t="s">
        <v>10</v>
      </c>
      <c r="V689" t="s">
        <v>190</v>
      </c>
      <c r="W689" t="s">
        <v>398</v>
      </c>
      <c r="Y689" t="s">
        <v>746</v>
      </c>
      <c r="AA689" t="s">
        <v>705</v>
      </c>
      <c r="AF689" t="s">
        <v>623</v>
      </c>
      <c r="AM689" t="str">
        <f t="shared" si="80"/>
        <v>Turnover</v>
      </c>
      <c r="AN689" t="str">
        <f t="shared" si="81"/>
        <v>Turnover_Giveaway</v>
      </c>
      <c r="AP689" t="str">
        <f t="shared" si="79"/>
        <v>Offensive</v>
      </c>
      <c r="BB689" s="23"/>
      <c r="BD689" s="21"/>
      <c r="BE689" s="21"/>
      <c r="BF689" s="21"/>
      <c r="BG689" s="21"/>
      <c r="BH689" s="21"/>
      <c r="BI689" s="21"/>
    </row>
    <row r="690" spans="1:61" x14ac:dyDescent="0.2">
      <c r="A690">
        <v>343</v>
      </c>
      <c r="B690" t="s">
        <v>887</v>
      </c>
      <c r="C690" t="str">
        <f t="shared" si="76"/>
        <v/>
      </c>
      <c r="D690" t="str">
        <f t="shared" si="82"/>
        <v/>
      </c>
      <c r="H690">
        <f t="shared" si="78"/>
        <v>1</v>
      </c>
      <c r="I690" s="5" t="s">
        <v>888</v>
      </c>
      <c r="J690" s="5" t="s">
        <v>637</v>
      </c>
      <c r="Q690" t="s">
        <v>620</v>
      </c>
      <c r="R690">
        <v>9</v>
      </c>
      <c r="S690">
        <v>1</v>
      </c>
      <c r="T690" t="str">
        <f t="shared" si="77"/>
        <v>e</v>
      </c>
      <c r="U690" t="s">
        <v>257</v>
      </c>
      <c r="V690" t="s">
        <v>210</v>
      </c>
      <c r="W690" t="s">
        <v>93</v>
      </c>
      <c r="X690" t="s">
        <v>706</v>
      </c>
      <c r="AF690" t="s">
        <v>401</v>
      </c>
      <c r="AM690" t="str">
        <f t="shared" si="80"/>
        <v>Zone_Entry_Exit</v>
      </c>
      <c r="AN690" t="str">
        <f t="shared" si="81"/>
        <v>Zone_Keepin</v>
      </c>
      <c r="AP690" t="str">
        <f t="shared" si="79"/>
        <v>Offensive</v>
      </c>
      <c r="BB690" s="23"/>
      <c r="BD690" s="21"/>
      <c r="BE690" s="21"/>
      <c r="BF690" s="21"/>
      <c r="BG690" s="21"/>
      <c r="BH690" s="21"/>
      <c r="BI690" s="21"/>
    </row>
    <row r="691" spans="1:61" x14ac:dyDescent="0.2">
      <c r="A691">
        <v>344</v>
      </c>
      <c r="B691" t="s">
        <v>887</v>
      </c>
      <c r="C691" t="str">
        <f t="shared" si="76"/>
        <v/>
      </c>
      <c r="D691" t="str">
        <f t="shared" si="82"/>
        <v/>
      </c>
      <c r="H691">
        <f t="shared" si="78"/>
        <v>1</v>
      </c>
      <c r="I691" s="5" t="s">
        <v>888</v>
      </c>
      <c r="J691" s="5" t="s">
        <v>637</v>
      </c>
      <c r="Q691" t="s">
        <v>620</v>
      </c>
      <c r="R691">
        <v>9</v>
      </c>
      <c r="S691">
        <v>1</v>
      </c>
      <c r="T691" t="str">
        <f t="shared" si="77"/>
        <v>e</v>
      </c>
      <c r="U691" t="s">
        <v>8</v>
      </c>
      <c r="V691" t="s">
        <v>189</v>
      </c>
      <c r="W691" t="s">
        <v>71</v>
      </c>
      <c r="X691" t="s">
        <v>706</v>
      </c>
      <c r="Y691" t="s">
        <v>814</v>
      </c>
      <c r="AA691" t="s">
        <v>706</v>
      </c>
      <c r="AB691" t="s">
        <v>796</v>
      </c>
      <c r="AF691" t="s">
        <v>401</v>
      </c>
      <c r="AJ691">
        <v>1</v>
      </c>
      <c r="AM691" t="str">
        <f t="shared" si="80"/>
        <v>Pass</v>
      </c>
      <c r="AN691" t="str">
        <f t="shared" si="81"/>
        <v>Pass_Completed</v>
      </c>
      <c r="AP691" t="str">
        <f t="shared" si="79"/>
        <v>Offensive</v>
      </c>
      <c r="BB691" s="23"/>
      <c r="BD691" s="21"/>
      <c r="BE691" s="21"/>
      <c r="BF691" s="21"/>
      <c r="BG691" s="21"/>
      <c r="BH691" s="21"/>
      <c r="BI691" s="21"/>
    </row>
    <row r="692" spans="1:61" x14ac:dyDescent="0.2">
      <c r="A692">
        <v>344</v>
      </c>
      <c r="B692" t="s">
        <v>887</v>
      </c>
      <c r="C692" t="str">
        <f t="shared" si="76"/>
        <v/>
      </c>
      <c r="D692" t="str">
        <f t="shared" si="82"/>
        <v/>
      </c>
      <c r="H692">
        <f t="shared" si="78"/>
        <v>1</v>
      </c>
      <c r="R692">
        <v>24</v>
      </c>
      <c r="S692">
        <v>1</v>
      </c>
      <c r="T692" t="str">
        <f t="shared" si="77"/>
        <v>e</v>
      </c>
      <c r="AM692" t="str">
        <f t="shared" si="80"/>
        <v>Pass</v>
      </c>
      <c r="AN692" t="str">
        <f t="shared" si="81"/>
        <v>Pass_Completed</v>
      </c>
      <c r="AP692" t="str">
        <f t="shared" si="79"/>
        <v>Offensive</v>
      </c>
      <c r="BB692" s="23"/>
      <c r="BD692" s="21"/>
      <c r="BE692" s="21"/>
      <c r="BF692" s="21"/>
      <c r="BG692" s="21"/>
      <c r="BH692" s="21"/>
      <c r="BI692" s="21"/>
    </row>
    <row r="693" spans="1:61" x14ac:dyDescent="0.2">
      <c r="A693">
        <v>344</v>
      </c>
      <c r="B693" t="s">
        <v>887</v>
      </c>
      <c r="C693" t="str">
        <f t="shared" si="76"/>
        <v/>
      </c>
      <c r="D693" t="str">
        <f t="shared" si="82"/>
        <v/>
      </c>
      <c r="H693">
        <f t="shared" si="78"/>
        <v>1</v>
      </c>
      <c r="R693">
        <v>3</v>
      </c>
      <c r="T693" t="str">
        <f t="shared" si="77"/>
        <v>o</v>
      </c>
      <c r="AJ693">
        <v>1</v>
      </c>
      <c r="AM693" t="str">
        <f t="shared" si="80"/>
        <v>Pass</v>
      </c>
      <c r="AN693" t="str">
        <f t="shared" si="81"/>
        <v>Pass_Completed</v>
      </c>
      <c r="AP693" t="str">
        <f t="shared" si="79"/>
        <v>Defensive</v>
      </c>
      <c r="BB693" s="23"/>
      <c r="BD693" s="21"/>
      <c r="BE693" s="21"/>
      <c r="BF693" s="21"/>
      <c r="BG693" s="21"/>
      <c r="BH693" s="21"/>
      <c r="BI693" s="21"/>
    </row>
    <row r="694" spans="1:61" x14ac:dyDescent="0.2">
      <c r="A694">
        <v>345</v>
      </c>
      <c r="B694">
        <v>60</v>
      </c>
      <c r="C694">
        <f t="shared" si="76"/>
        <v>9060</v>
      </c>
      <c r="D694">
        <f t="shared" si="82"/>
        <v>9060</v>
      </c>
      <c r="H694">
        <f t="shared" si="78"/>
        <v>1</v>
      </c>
      <c r="I694" s="5" t="s">
        <v>888</v>
      </c>
      <c r="J694" s="5" t="s">
        <v>762</v>
      </c>
      <c r="Q694" t="s">
        <v>620</v>
      </c>
      <c r="R694">
        <v>24</v>
      </c>
      <c r="S694">
        <v>1</v>
      </c>
      <c r="T694" t="str">
        <f t="shared" si="77"/>
        <v>e</v>
      </c>
      <c r="U694" t="s">
        <v>7</v>
      </c>
      <c r="V694" t="s">
        <v>222</v>
      </c>
      <c r="W694" t="s">
        <v>53</v>
      </c>
      <c r="X694" t="s">
        <v>706</v>
      </c>
      <c r="AF694" t="s">
        <v>401</v>
      </c>
      <c r="AJ694">
        <v>1</v>
      </c>
      <c r="AM694" t="str">
        <f t="shared" si="80"/>
        <v>Shot</v>
      </c>
      <c r="AN694" t="str">
        <f t="shared" si="81"/>
        <v>Shot_OnNetSaved</v>
      </c>
      <c r="AP694" t="str">
        <f t="shared" si="79"/>
        <v>Offensive</v>
      </c>
      <c r="BB694" s="23"/>
      <c r="BD694" s="21"/>
      <c r="BE694" s="21"/>
      <c r="BF694" s="21"/>
      <c r="BG694" s="21"/>
      <c r="BH694" s="21"/>
      <c r="BI694" s="21"/>
    </row>
    <row r="695" spans="1:61" x14ac:dyDescent="0.2">
      <c r="A695">
        <v>345</v>
      </c>
      <c r="B695">
        <v>60</v>
      </c>
      <c r="C695">
        <f t="shared" si="76"/>
        <v>9060</v>
      </c>
      <c r="D695">
        <f t="shared" si="82"/>
        <v>9060</v>
      </c>
      <c r="H695">
        <f t="shared" si="78"/>
        <v>1</v>
      </c>
      <c r="R695">
        <v>30</v>
      </c>
      <c r="S695">
        <v>1</v>
      </c>
      <c r="T695" t="str">
        <f t="shared" si="77"/>
        <v>e</v>
      </c>
      <c r="AM695" t="str">
        <f t="shared" si="80"/>
        <v>Shot</v>
      </c>
      <c r="AN695" t="str">
        <f t="shared" si="81"/>
        <v>Shot_OnNetSaved</v>
      </c>
      <c r="AP695" t="str">
        <f t="shared" si="79"/>
        <v>Offensive</v>
      </c>
      <c r="BB695" s="23"/>
      <c r="BD695" s="21"/>
      <c r="BE695" s="21"/>
      <c r="BF695" s="21"/>
      <c r="BG695" s="21"/>
      <c r="BH695" s="21"/>
      <c r="BI695" s="21"/>
    </row>
    <row r="696" spans="1:61" x14ac:dyDescent="0.2">
      <c r="A696">
        <v>345</v>
      </c>
      <c r="B696">
        <v>60</v>
      </c>
      <c r="C696">
        <f t="shared" si="76"/>
        <v>9060</v>
      </c>
      <c r="D696">
        <f t="shared" si="82"/>
        <v>9060</v>
      </c>
      <c r="H696">
        <f t="shared" si="78"/>
        <v>1</v>
      </c>
      <c r="R696">
        <v>18</v>
      </c>
      <c r="T696" t="str">
        <f t="shared" si="77"/>
        <v>o</v>
      </c>
      <c r="Y696" t="s">
        <v>722</v>
      </c>
      <c r="AJ696">
        <v>1</v>
      </c>
      <c r="AM696" t="str">
        <f t="shared" si="80"/>
        <v>Shot</v>
      </c>
      <c r="AN696" t="str">
        <f t="shared" si="81"/>
        <v>Shot_OnNetSaved</v>
      </c>
      <c r="AP696" t="str">
        <f t="shared" si="79"/>
        <v>Defensive</v>
      </c>
      <c r="BB696" s="23"/>
      <c r="BD696" s="21"/>
      <c r="BE696" s="21"/>
      <c r="BF696" s="21"/>
      <c r="BG696" s="21"/>
      <c r="BH696" s="21"/>
      <c r="BI696" s="21"/>
    </row>
    <row r="697" spans="1:61" x14ac:dyDescent="0.2">
      <c r="A697">
        <v>346</v>
      </c>
      <c r="B697">
        <v>60</v>
      </c>
      <c r="C697">
        <f t="shared" si="76"/>
        <v>9060</v>
      </c>
      <c r="D697">
        <f t="shared" si="82"/>
        <v>9060</v>
      </c>
      <c r="H697">
        <f t="shared" si="78"/>
        <v>1</v>
      </c>
      <c r="I697" s="5" t="s">
        <v>888</v>
      </c>
      <c r="J697" s="5" t="s">
        <v>762</v>
      </c>
      <c r="Q697" t="s">
        <v>619</v>
      </c>
      <c r="R697">
        <v>30</v>
      </c>
      <c r="S697">
        <v>1</v>
      </c>
      <c r="T697" t="str">
        <f t="shared" si="77"/>
        <v>e</v>
      </c>
      <c r="U697" t="s">
        <v>17</v>
      </c>
      <c r="V697" t="s">
        <v>206</v>
      </c>
      <c r="W697" t="s">
        <v>102</v>
      </c>
      <c r="AF697" t="s">
        <v>623</v>
      </c>
      <c r="AM697" t="str">
        <f t="shared" si="80"/>
        <v>Save</v>
      </c>
      <c r="AN697" t="str">
        <f t="shared" si="81"/>
        <v>Save_Freeze</v>
      </c>
      <c r="AP697" t="str">
        <f t="shared" si="79"/>
        <v>Defensive</v>
      </c>
      <c r="BB697" s="23"/>
      <c r="BD697" s="21"/>
      <c r="BE697" s="21"/>
      <c r="BF697" s="21"/>
      <c r="BG697" s="21"/>
      <c r="BH697" s="21"/>
      <c r="BI697" s="21"/>
    </row>
    <row r="698" spans="1:61" x14ac:dyDescent="0.2">
      <c r="A698">
        <v>346</v>
      </c>
      <c r="B698">
        <v>60</v>
      </c>
      <c r="C698">
        <f t="shared" si="76"/>
        <v>9060</v>
      </c>
      <c r="D698">
        <f t="shared" si="82"/>
        <v>9060</v>
      </c>
      <c r="H698">
        <f t="shared" si="78"/>
        <v>1</v>
      </c>
      <c r="R698">
        <v>18</v>
      </c>
      <c r="S698">
        <v>1</v>
      </c>
      <c r="T698" t="str">
        <f t="shared" si="77"/>
        <v>e</v>
      </c>
      <c r="AM698" t="str">
        <f t="shared" si="80"/>
        <v>Save</v>
      </c>
      <c r="AN698" t="str">
        <f t="shared" si="81"/>
        <v>Save_Freeze</v>
      </c>
      <c r="AP698" t="str">
        <f t="shared" si="79"/>
        <v>Defensive</v>
      </c>
      <c r="BB698" s="23"/>
      <c r="BD698" s="21"/>
      <c r="BE698" s="21"/>
      <c r="BF698" s="21"/>
      <c r="BG698" s="21"/>
      <c r="BH698" s="21"/>
      <c r="BI698" s="21"/>
    </row>
    <row r="699" spans="1:61" x14ac:dyDescent="0.2">
      <c r="A699">
        <v>346</v>
      </c>
      <c r="B699">
        <v>60</v>
      </c>
      <c r="C699">
        <f t="shared" si="76"/>
        <v>9060</v>
      </c>
      <c r="D699">
        <f t="shared" si="82"/>
        <v>9060</v>
      </c>
      <c r="H699">
        <f t="shared" si="78"/>
        <v>1</v>
      </c>
      <c r="R699">
        <v>24</v>
      </c>
      <c r="T699" t="str">
        <f t="shared" si="77"/>
        <v>o</v>
      </c>
      <c r="AM699" t="str">
        <f t="shared" si="80"/>
        <v>Save</v>
      </c>
      <c r="AN699" t="str">
        <f t="shared" si="81"/>
        <v>Save_Freeze</v>
      </c>
      <c r="AP699" t="str">
        <f t="shared" si="79"/>
        <v>Offensive</v>
      </c>
      <c r="BB699" s="23"/>
      <c r="BD699" s="21"/>
      <c r="BE699" s="21"/>
      <c r="BF699" s="21"/>
      <c r="BG699" s="21"/>
      <c r="BH699" s="21"/>
      <c r="BI699" s="21"/>
    </row>
    <row r="700" spans="1:61" x14ac:dyDescent="0.2">
      <c r="A700">
        <v>347</v>
      </c>
      <c r="B700">
        <v>60</v>
      </c>
      <c r="C700">
        <f t="shared" si="76"/>
        <v>9060</v>
      </c>
      <c r="D700">
        <f t="shared" si="82"/>
        <v>9060</v>
      </c>
      <c r="H700">
        <f t="shared" si="78"/>
        <v>1</v>
      </c>
      <c r="I700" s="5" t="s">
        <v>888</v>
      </c>
      <c r="J700" s="5" t="s">
        <v>788</v>
      </c>
      <c r="Q700" t="s">
        <v>619</v>
      </c>
      <c r="R700">
        <v>30</v>
      </c>
      <c r="S700">
        <v>1</v>
      </c>
      <c r="T700" t="str">
        <f t="shared" si="77"/>
        <v>e</v>
      </c>
      <c r="U700" t="s">
        <v>13</v>
      </c>
      <c r="V700" t="s">
        <v>204</v>
      </c>
      <c r="W700" t="s">
        <v>110</v>
      </c>
      <c r="AF700" t="s">
        <v>623</v>
      </c>
      <c r="AM700" t="str">
        <f t="shared" si="80"/>
        <v>Stoppage</v>
      </c>
      <c r="AN700" t="str">
        <f t="shared" si="81"/>
        <v>Stoppage_Play</v>
      </c>
      <c r="AP700" t="str">
        <f t="shared" si="79"/>
        <v/>
      </c>
      <c r="BB700" s="23"/>
      <c r="BD700" s="21"/>
      <c r="BE700" s="21"/>
      <c r="BF700" s="21"/>
      <c r="BG700" s="21"/>
      <c r="BH700" s="21"/>
      <c r="BI700" s="21"/>
    </row>
    <row r="701" spans="1:61" x14ac:dyDescent="0.2">
      <c r="A701">
        <v>348</v>
      </c>
      <c r="B701">
        <v>60</v>
      </c>
      <c r="C701">
        <f t="shared" si="76"/>
        <v>9060</v>
      </c>
      <c r="D701">
        <f t="shared" si="82"/>
        <v>9060</v>
      </c>
      <c r="H701">
        <f t="shared" si="78"/>
        <v>1</v>
      </c>
      <c r="I701" s="5" t="s">
        <v>888</v>
      </c>
      <c r="J701" s="5" t="s">
        <v>788</v>
      </c>
      <c r="K701" s="5" t="s">
        <v>888</v>
      </c>
      <c r="L701" s="7" t="s">
        <v>779</v>
      </c>
      <c r="Q701" t="s">
        <v>619</v>
      </c>
      <c r="R701">
        <v>30</v>
      </c>
      <c r="S701">
        <v>1</v>
      </c>
      <c r="T701" t="str">
        <f t="shared" si="77"/>
        <v>e</v>
      </c>
      <c r="U701" t="s">
        <v>262</v>
      </c>
      <c r="AF701" t="s">
        <v>623</v>
      </c>
      <c r="AM701" t="str">
        <f t="shared" si="80"/>
        <v>DeadIce</v>
      </c>
      <c r="AN701" t="str">
        <f t="shared" si="81"/>
        <v/>
      </c>
      <c r="AP701" t="str">
        <f t="shared" si="79"/>
        <v/>
      </c>
      <c r="BB701" s="23"/>
      <c r="BD701" s="21"/>
      <c r="BE701" s="21"/>
      <c r="BF701" s="21"/>
      <c r="BG701" s="21"/>
      <c r="BH701" s="21"/>
      <c r="BI701" s="21"/>
    </row>
    <row r="702" spans="1:61" x14ac:dyDescent="0.2">
      <c r="A702">
        <v>349</v>
      </c>
      <c r="B702" t="s">
        <v>887</v>
      </c>
      <c r="C702" t="str">
        <f t="shared" si="76"/>
        <v/>
      </c>
      <c r="D702" t="str">
        <f t="shared" si="82"/>
        <v/>
      </c>
      <c r="H702">
        <f t="shared" si="78"/>
        <v>1</v>
      </c>
      <c r="I702" s="5" t="s">
        <v>888</v>
      </c>
      <c r="J702" s="5" t="s">
        <v>779</v>
      </c>
      <c r="Q702" t="s">
        <v>620</v>
      </c>
      <c r="R702">
        <v>70</v>
      </c>
      <c r="S702">
        <v>1</v>
      </c>
      <c r="T702" t="str">
        <f t="shared" si="77"/>
        <v>e</v>
      </c>
      <c r="U702" t="s">
        <v>6</v>
      </c>
      <c r="V702" t="s">
        <v>255</v>
      </c>
      <c r="AF702" t="s">
        <v>401</v>
      </c>
      <c r="AM702" t="str">
        <f t="shared" si="80"/>
        <v>Faceoff</v>
      </c>
      <c r="AN702" t="str">
        <f t="shared" si="81"/>
        <v>Faceoff_AfterStoppage</v>
      </c>
      <c r="AP702" t="str">
        <f t="shared" si="79"/>
        <v>Offensive</v>
      </c>
      <c r="BB702" s="23"/>
      <c r="BD702" s="21"/>
      <c r="BE702" s="21"/>
      <c r="BF702" s="21"/>
      <c r="BG702" s="21"/>
      <c r="BH702" s="21"/>
      <c r="BI702" s="21"/>
    </row>
    <row r="703" spans="1:61" x14ac:dyDescent="0.2">
      <c r="A703">
        <v>349</v>
      </c>
      <c r="B703" t="s">
        <v>887</v>
      </c>
      <c r="C703" t="str">
        <f t="shared" si="76"/>
        <v/>
      </c>
      <c r="D703" t="str">
        <f t="shared" si="82"/>
        <v/>
      </c>
      <c r="H703">
        <f t="shared" si="78"/>
        <v>1</v>
      </c>
      <c r="R703">
        <v>91</v>
      </c>
      <c r="T703" t="str">
        <f t="shared" si="77"/>
        <v>o</v>
      </c>
      <c r="AM703" t="str">
        <f t="shared" si="80"/>
        <v>Faceoff</v>
      </c>
      <c r="AN703" t="str">
        <f t="shared" si="81"/>
        <v>Faceoff_AfterStoppage</v>
      </c>
      <c r="AP703" t="str">
        <f t="shared" si="79"/>
        <v>Defensive</v>
      </c>
      <c r="BB703" s="23"/>
      <c r="BD703" s="21"/>
      <c r="BE703" s="21"/>
      <c r="BF703" s="21"/>
      <c r="BG703" s="21"/>
      <c r="BH703" s="21"/>
      <c r="BI703" s="21"/>
    </row>
    <row r="704" spans="1:61" x14ac:dyDescent="0.2">
      <c r="A704">
        <v>350</v>
      </c>
      <c r="B704" t="s">
        <v>887</v>
      </c>
      <c r="C704" t="str">
        <f t="shared" si="76"/>
        <v/>
      </c>
      <c r="D704" t="str">
        <f t="shared" si="82"/>
        <v/>
      </c>
      <c r="H704">
        <f t="shared" si="78"/>
        <v>1</v>
      </c>
      <c r="I704" s="5" t="s">
        <v>888</v>
      </c>
      <c r="J704" s="5" t="s">
        <v>721</v>
      </c>
      <c r="Q704" t="s">
        <v>620</v>
      </c>
      <c r="R704">
        <v>9</v>
      </c>
      <c r="S704">
        <v>1</v>
      </c>
      <c r="T704" t="str">
        <f t="shared" si="77"/>
        <v>e</v>
      </c>
      <c r="U704" t="s">
        <v>257</v>
      </c>
      <c r="V704" t="s">
        <v>820</v>
      </c>
      <c r="Y704" t="s">
        <v>737</v>
      </c>
      <c r="AA704" t="s">
        <v>705</v>
      </c>
      <c r="AF704" t="s">
        <v>401</v>
      </c>
      <c r="AM704" t="str">
        <f t="shared" si="80"/>
        <v>Zone_Entry_Exit</v>
      </c>
      <c r="AN704" t="str">
        <f t="shared" si="81"/>
        <v>Zone_KeepinFailed</v>
      </c>
      <c r="AP704" t="str">
        <f t="shared" si="79"/>
        <v>Offensive</v>
      </c>
      <c r="BB704" s="23"/>
      <c r="BD704" s="21"/>
      <c r="BE704" s="21"/>
      <c r="BF704" s="21"/>
      <c r="BG704" s="21"/>
      <c r="BH704" s="21"/>
      <c r="BI704" s="21"/>
    </row>
    <row r="705" spans="1:61" x14ac:dyDescent="0.2">
      <c r="A705">
        <v>351</v>
      </c>
      <c r="B705" t="s">
        <v>887</v>
      </c>
      <c r="C705" t="str">
        <f t="shared" si="76"/>
        <v/>
      </c>
      <c r="D705" t="str">
        <f t="shared" si="82"/>
        <v/>
      </c>
      <c r="H705">
        <f t="shared" si="78"/>
        <v>1</v>
      </c>
      <c r="I705" s="5" t="s">
        <v>888</v>
      </c>
      <c r="J705" s="5" t="s">
        <v>721</v>
      </c>
      <c r="Q705" t="s">
        <v>619</v>
      </c>
      <c r="S705">
        <v>1</v>
      </c>
      <c r="T705" t="str">
        <f t="shared" si="77"/>
        <v>e</v>
      </c>
      <c r="U705" t="s">
        <v>257</v>
      </c>
      <c r="V705" t="s">
        <v>201</v>
      </c>
      <c r="W705" t="s">
        <v>411</v>
      </c>
      <c r="AF705" t="s">
        <v>623</v>
      </c>
      <c r="AM705" t="str">
        <f t="shared" si="80"/>
        <v>Zone_Entry_Exit</v>
      </c>
      <c r="AN705" t="str">
        <f t="shared" si="81"/>
        <v>Zone_Exit</v>
      </c>
      <c r="AP705" t="str">
        <f t="shared" si="79"/>
        <v>Offensive</v>
      </c>
      <c r="BB705" s="23"/>
      <c r="BD705" s="21"/>
      <c r="BE705" s="21"/>
      <c r="BF705" s="21"/>
      <c r="BG705" s="21"/>
      <c r="BH705" s="21"/>
      <c r="BI705" s="21"/>
    </row>
    <row r="706" spans="1:61" x14ac:dyDescent="0.2">
      <c r="A706">
        <v>352</v>
      </c>
      <c r="B706" t="s">
        <v>887</v>
      </c>
      <c r="C706" t="str">
        <f t="shared" si="76"/>
        <v/>
      </c>
      <c r="D706" t="str">
        <f t="shared" si="82"/>
        <v/>
      </c>
      <c r="H706">
        <f t="shared" si="78"/>
        <v>1</v>
      </c>
      <c r="I706" s="5" t="s">
        <v>888</v>
      </c>
      <c r="J706" s="5" t="s">
        <v>726</v>
      </c>
      <c r="K706" s="5" t="s">
        <v>888</v>
      </c>
      <c r="L706" s="7" t="s">
        <v>766</v>
      </c>
      <c r="Q706" t="s">
        <v>620</v>
      </c>
      <c r="R706">
        <v>9</v>
      </c>
      <c r="S706">
        <v>1</v>
      </c>
      <c r="T706" t="str">
        <f t="shared" si="77"/>
        <v>e</v>
      </c>
      <c r="U706" t="s">
        <v>15</v>
      </c>
      <c r="V706" t="s">
        <v>684</v>
      </c>
      <c r="AF706" t="s">
        <v>635</v>
      </c>
      <c r="AM706" t="str">
        <f t="shared" si="80"/>
        <v>Possession</v>
      </c>
      <c r="AN706" t="str">
        <f t="shared" si="81"/>
        <v>Regroup</v>
      </c>
      <c r="AP706" t="str">
        <f t="shared" si="79"/>
        <v>Offensive</v>
      </c>
      <c r="BB706" s="23"/>
      <c r="BD706" s="21"/>
      <c r="BE706" s="21"/>
      <c r="BF706" s="21"/>
      <c r="BG706" s="21"/>
      <c r="BH706" s="21"/>
      <c r="BI706" s="21"/>
    </row>
    <row r="707" spans="1:61" x14ac:dyDescent="0.2">
      <c r="A707">
        <v>353</v>
      </c>
      <c r="B707">
        <v>61</v>
      </c>
      <c r="C707">
        <f t="shared" ref="C707:C770" si="83">IF(B707&lt;&gt;"",9000+B707,"")</f>
        <v>9061</v>
      </c>
      <c r="D707">
        <f t="shared" si="82"/>
        <v>9061</v>
      </c>
      <c r="H707">
        <f t="shared" si="78"/>
        <v>1</v>
      </c>
      <c r="I707" s="5" t="s">
        <v>888</v>
      </c>
      <c r="J707" s="5" t="s">
        <v>766</v>
      </c>
      <c r="Q707" t="s">
        <v>620</v>
      </c>
      <c r="R707">
        <v>9</v>
      </c>
      <c r="S707">
        <v>1</v>
      </c>
      <c r="T707" t="str">
        <f t="shared" ref="T707:T770" si="84">IF(S707="x","",IF(S707=1,"e","o"))</f>
        <v>e</v>
      </c>
      <c r="U707" t="s">
        <v>8</v>
      </c>
      <c r="V707" t="s">
        <v>199</v>
      </c>
      <c r="W707" t="s">
        <v>67</v>
      </c>
      <c r="X707" t="s">
        <v>705</v>
      </c>
      <c r="Y707" t="s">
        <v>754</v>
      </c>
      <c r="AF707" t="s">
        <v>635</v>
      </c>
      <c r="AM707" t="str">
        <f t="shared" si="80"/>
        <v>Pass</v>
      </c>
      <c r="AN707" t="str">
        <f t="shared" si="81"/>
        <v>Pass_Missed</v>
      </c>
      <c r="AP707" t="str">
        <f t="shared" si="79"/>
        <v>Offensive</v>
      </c>
      <c r="BB707" s="23"/>
      <c r="BD707" s="21"/>
      <c r="BE707" s="21"/>
      <c r="BF707" s="21"/>
      <c r="BG707" s="21"/>
      <c r="BH707" s="21"/>
      <c r="BI707" s="21"/>
    </row>
    <row r="708" spans="1:61" x14ac:dyDescent="0.2">
      <c r="A708">
        <v>353</v>
      </c>
      <c r="B708">
        <v>61</v>
      </c>
      <c r="C708">
        <f t="shared" si="83"/>
        <v>9061</v>
      </c>
      <c r="D708">
        <f t="shared" si="82"/>
        <v>9061</v>
      </c>
      <c r="H708">
        <f t="shared" ref="H708:H771" si="85">IF(U708="Intermission",H707+1,H707)</f>
        <v>1</v>
      </c>
      <c r="R708">
        <v>14</v>
      </c>
      <c r="S708">
        <v>1</v>
      </c>
      <c r="T708" t="str">
        <f t="shared" si="84"/>
        <v>e</v>
      </c>
      <c r="AM708" t="str">
        <f t="shared" si="80"/>
        <v>Pass</v>
      </c>
      <c r="AN708" t="str">
        <f t="shared" si="81"/>
        <v>Pass_Missed</v>
      </c>
      <c r="AP708" t="str">
        <f t="shared" si="79"/>
        <v>Offensive</v>
      </c>
      <c r="BB708" s="23"/>
      <c r="BD708" s="21"/>
      <c r="BE708" s="21"/>
      <c r="BF708" s="21"/>
      <c r="BG708" s="21"/>
      <c r="BH708" s="21"/>
      <c r="BI708" s="21"/>
    </row>
    <row r="709" spans="1:61" x14ac:dyDescent="0.2">
      <c r="A709">
        <v>354</v>
      </c>
      <c r="B709">
        <v>61</v>
      </c>
      <c r="C709">
        <f t="shared" si="83"/>
        <v>9061</v>
      </c>
      <c r="D709">
        <f t="shared" si="82"/>
        <v>9061</v>
      </c>
      <c r="H709">
        <f t="shared" si="85"/>
        <v>1</v>
      </c>
      <c r="I709" s="5" t="s">
        <v>888</v>
      </c>
      <c r="J709" s="5" t="s">
        <v>766</v>
      </c>
      <c r="Q709" t="s">
        <v>620</v>
      </c>
      <c r="R709">
        <v>9</v>
      </c>
      <c r="S709">
        <v>1</v>
      </c>
      <c r="T709" t="str">
        <f t="shared" si="84"/>
        <v>e</v>
      </c>
      <c r="U709" t="s">
        <v>257</v>
      </c>
      <c r="V709" t="s">
        <v>191</v>
      </c>
      <c r="W709" t="s">
        <v>423</v>
      </c>
      <c r="AF709" t="s">
        <v>635</v>
      </c>
      <c r="AM709" t="str">
        <f t="shared" si="80"/>
        <v>Zone_Entry_Exit</v>
      </c>
      <c r="AN709" t="str">
        <f t="shared" si="81"/>
        <v>Zone_Entry</v>
      </c>
      <c r="AP709" t="str">
        <f t="shared" ref="AP709:AP772" si="86">IF(AND(T709="e",OR(AM709="Save",AN709="Turnover_Takeaway",AN709="Play_Defensive")),"Defensive",IF(AND(T709="o",OR(AM709="Save",AN709="Turnover_Takeaway",AN709="Play_Defensive")),"Offensive",IF(OR(AM709="Deadice",AM709="Stoppage",AM709="Intermission"),"",IF(T709="e","Offensive",IF(T709="o","Defensive","")))))</f>
        <v>Offensive</v>
      </c>
      <c r="BB709" s="23"/>
      <c r="BD709" s="21"/>
      <c r="BE709" s="21"/>
      <c r="BF709" s="21"/>
      <c r="BG709" s="21"/>
      <c r="BH709" s="21"/>
      <c r="BI709" s="21"/>
    </row>
    <row r="710" spans="1:61" x14ac:dyDescent="0.2">
      <c r="A710">
        <v>355</v>
      </c>
      <c r="B710">
        <v>61</v>
      </c>
      <c r="C710">
        <f t="shared" si="83"/>
        <v>9061</v>
      </c>
      <c r="D710">
        <f t="shared" si="82"/>
        <v>9061</v>
      </c>
      <c r="H710">
        <f t="shared" si="85"/>
        <v>1</v>
      </c>
      <c r="I710" s="5" t="s">
        <v>888</v>
      </c>
      <c r="J710" s="5" t="s">
        <v>766</v>
      </c>
      <c r="Q710" t="s">
        <v>620</v>
      </c>
      <c r="R710">
        <v>9</v>
      </c>
      <c r="S710">
        <v>1</v>
      </c>
      <c r="T710" t="str">
        <f t="shared" si="84"/>
        <v>e</v>
      </c>
      <c r="U710" t="s">
        <v>10</v>
      </c>
      <c r="V710" t="s">
        <v>190</v>
      </c>
      <c r="W710" t="s">
        <v>76</v>
      </c>
      <c r="AF710" t="s">
        <v>635</v>
      </c>
      <c r="AM710" t="str">
        <f t="shared" si="80"/>
        <v>Turnover</v>
      </c>
      <c r="AN710" t="str">
        <f t="shared" si="81"/>
        <v>Turnover_Giveaway</v>
      </c>
      <c r="AP710" t="str">
        <f t="shared" si="86"/>
        <v>Offensive</v>
      </c>
      <c r="BB710" s="23"/>
      <c r="BD710" s="21"/>
      <c r="BE710" s="21"/>
      <c r="BF710" s="21"/>
      <c r="BG710" s="21"/>
      <c r="BH710" s="21"/>
      <c r="BI710" s="21"/>
    </row>
    <row r="711" spans="1:61" x14ac:dyDescent="0.2">
      <c r="A711">
        <v>356</v>
      </c>
      <c r="B711" t="s">
        <v>887</v>
      </c>
      <c r="C711" t="str">
        <f t="shared" si="83"/>
        <v/>
      </c>
      <c r="D711" t="str">
        <f t="shared" si="82"/>
        <v/>
      </c>
      <c r="H711">
        <f t="shared" si="85"/>
        <v>1</v>
      </c>
      <c r="I711" s="5" t="s">
        <v>888</v>
      </c>
      <c r="J711" s="5" t="s">
        <v>732</v>
      </c>
      <c r="Q711" t="s">
        <v>619</v>
      </c>
      <c r="R711">
        <v>4</v>
      </c>
      <c r="S711">
        <v>1</v>
      </c>
      <c r="T711" t="str">
        <f t="shared" si="84"/>
        <v>e</v>
      </c>
      <c r="U711" t="s">
        <v>15</v>
      </c>
      <c r="V711" t="s">
        <v>697</v>
      </c>
      <c r="X711" t="s">
        <v>706</v>
      </c>
      <c r="Y711" t="s">
        <v>712</v>
      </c>
      <c r="AA711" t="s">
        <v>706</v>
      </c>
      <c r="AF711" t="s">
        <v>623</v>
      </c>
      <c r="AM711" t="str">
        <f t="shared" ref="AM711:AM774" si="87">IF(U711&lt;&gt;"",U711,IF($A711=$A710,AM710,""))</f>
        <v>Possession</v>
      </c>
      <c r="AN711" t="str">
        <f t="shared" ref="AN711:AN774" si="88">IF(V711&lt;&gt;"",V711,IF($A711=$A710,AN710,""))</f>
        <v>PuckRetrieval</v>
      </c>
      <c r="AP711" t="str">
        <f t="shared" si="86"/>
        <v>Offensive</v>
      </c>
      <c r="BB711" s="23"/>
      <c r="BD711" s="21"/>
      <c r="BE711" s="21"/>
      <c r="BF711" s="21"/>
      <c r="BG711" s="21"/>
      <c r="BH711" s="21"/>
      <c r="BI711" s="21"/>
    </row>
    <row r="712" spans="1:61" x14ac:dyDescent="0.2">
      <c r="A712">
        <v>357</v>
      </c>
      <c r="B712" t="s">
        <v>887</v>
      </c>
      <c r="C712" t="str">
        <f t="shared" si="83"/>
        <v/>
      </c>
      <c r="D712" t="str">
        <f t="shared" ref="D712:D775" si="89">IF(C712&lt;&gt;"",C712,B712)</f>
        <v/>
      </c>
      <c r="H712">
        <f t="shared" si="85"/>
        <v>1</v>
      </c>
      <c r="I712" s="5" t="s">
        <v>888</v>
      </c>
      <c r="J712" s="5" t="s">
        <v>732</v>
      </c>
      <c r="K712" s="5" t="s">
        <v>888</v>
      </c>
      <c r="L712" s="7" t="s">
        <v>733</v>
      </c>
      <c r="Q712" t="s">
        <v>619</v>
      </c>
      <c r="R712">
        <v>4</v>
      </c>
      <c r="S712">
        <v>1</v>
      </c>
      <c r="T712" t="str">
        <f t="shared" si="84"/>
        <v>e</v>
      </c>
      <c r="U712" t="s">
        <v>15</v>
      </c>
      <c r="Y712" t="s">
        <v>767</v>
      </c>
      <c r="AA712" t="s">
        <v>706</v>
      </c>
      <c r="AF712" t="s">
        <v>623</v>
      </c>
      <c r="AJ712">
        <v>1</v>
      </c>
      <c r="AM712" t="str">
        <f t="shared" si="87"/>
        <v>Possession</v>
      </c>
      <c r="AN712" t="str">
        <f t="shared" si="88"/>
        <v/>
      </c>
      <c r="AP712" t="str">
        <f t="shared" si="86"/>
        <v>Offensive</v>
      </c>
      <c r="BB712" s="23"/>
      <c r="BD712" s="21"/>
      <c r="BE712" s="21"/>
      <c r="BF712" s="21"/>
      <c r="BG712" s="21"/>
      <c r="BH712" s="21"/>
      <c r="BI712" s="21"/>
    </row>
    <row r="713" spans="1:61" x14ac:dyDescent="0.2">
      <c r="A713">
        <v>357</v>
      </c>
      <c r="B713" t="s">
        <v>887</v>
      </c>
      <c r="C713" t="str">
        <f t="shared" si="83"/>
        <v/>
      </c>
      <c r="D713" t="str">
        <f t="shared" si="89"/>
        <v/>
      </c>
      <c r="H713">
        <f t="shared" si="85"/>
        <v>1</v>
      </c>
      <c r="R713">
        <v>14</v>
      </c>
      <c r="T713" t="str">
        <f t="shared" si="84"/>
        <v>o</v>
      </c>
      <c r="Y713" t="s">
        <v>714</v>
      </c>
      <c r="Z713" t="s">
        <v>764</v>
      </c>
      <c r="AA713" t="s">
        <v>705</v>
      </c>
      <c r="AJ713">
        <v>1</v>
      </c>
      <c r="AM713" t="str">
        <f t="shared" si="87"/>
        <v>Possession</v>
      </c>
      <c r="AN713" t="str">
        <f t="shared" si="88"/>
        <v/>
      </c>
      <c r="AP713" t="str">
        <f t="shared" si="86"/>
        <v>Defensive</v>
      </c>
      <c r="BB713" s="23"/>
      <c r="BD713" s="21"/>
      <c r="BE713" s="21"/>
      <c r="BF713" s="21"/>
      <c r="BG713" s="21"/>
      <c r="BH713" s="21"/>
      <c r="BI713" s="21"/>
    </row>
    <row r="714" spans="1:61" x14ac:dyDescent="0.2">
      <c r="A714">
        <v>357</v>
      </c>
      <c r="B714" t="s">
        <v>887</v>
      </c>
      <c r="C714" t="str">
        <f t="shared" si="83"/>
        <v/>
      </c>
      <c r="D714" t="str">
        <f t="shared" si="89"/>
        <v/>
      </c>
      <c r="H714">
        <f t="shared" si="85"/>
        <v>1</v>
      </c>
      <c r="R714">
        <v>70</v>
      </c>
      <c r="T714" t="str">
        <f t="shared" si="84"/>
        <v>o</v>
      </c>
      <c r="Y714" t="s">
        <v>715</v>
      </c>
      <c r="AJ714">
        <v>1</v>
      </c>
      <c r="AM714" t="str">
        <f t="shared" si="87"/>
        <v>Possession</v>
      </c>
      <c r="AN714" t="str">
        <f t="shared" si="88"/>
        <v/>
      </c>
      <c r="AP714" t="str">
        <f t="shared" si="86"/>
        <v>Defensive</v>
      </c>
      <c r="BB714" s="23"/>
      <c r="BD714" s="21"/>
      <c r="BE714" s="21"/>
      <c r="BF714" s="21"/>
      <c r="BG714" s="21"/>
      <c r="BH714" s="21"/>
      <c r="BI714" s="21"/>
    </row>
    <row r="715" spans="1:61" x14ac:dyDescent="0.2">
      <c r="A715">
        <v>358</v>
      </c>
      <c r="B715">
        <v>62</v>
      </c>
      <c r="C715">
        <f t="shared" si="83"/>
        <v>9062</v>
      </c>
      <c r="D715">
        <f t="shared" si="89"/>
        <v>9062</v>
      </c>
      <c r="H715">
        <f t="shared" si="85"/>
        <v>1</v>
      </c>
      <c r="I715" s="5" t="s">
        <v>888</v>
      </c>
      <c r="J715" s="5" t="s">
        <v>733</v>
      </c>
      <c r="Q715" t="s">
        <v>619</v>
      </c>
      <c r="R715">
        <v>4</v>
      </c>
      <c r="S715">
        <v>1</v>
      </c>
      <c r="T715" t="str">
        <f t="shared" si="84"/>
        <v>e</v>
      </c>
      <c r="U715" t="s">
        <v>8</v>
      </c>
      <c r="V715" t="s">
        <v>209</v>
      </c>
      <c r="X715" t="s">
        <v>706</v>
      </c>
      <c r="AF715" t="s">
        <v>623</v>
      </c>
      <c r="AJ715">
        <v>1</v>
      </c>
      <c r="AM715" t="str">
        <f t="shared" si="87"/>
        <v>Pass</v>
      </c>
      <c r="AN715" t="str">
        <f t="shared" si="88"/>
        <v>Pass_Deflected</v>
      </c>
      <c r="AP715" t="str">
        <f t="shared" si="86"/>
        <v>Offensive</v>
      </c>
      <c r="BB715" s="23"/>
      <c r="BD715" s="21"/>
      <c r="BE715" s="21"/>
      <c r="BF715" s="21"/>
      <c r="BG715" s="21"/>
      <c r="BH715" s="21"/>
      <c r="BI715" s="21"/>
    </row>
    <row r="716" spans="1:61" x14ac:dyDescent="0.2">
      <c r="A716">
        <v>358</v>
      </c>
      <c r="B716">
        <v>62</v>
      </c>
      <c r="C716">
        <f t="shared" si="83"/>
        <v>9062</v>
      </c>
      <c r="D716">
        <f t="shared" si="89"/>
        <v>9062</v>
      </c>
      <c r="H716">
        <f t="shared" si="85"/>
        <v>1</v>
      </c>
      <c r="R716">
        <v>89</v>
      </c>
      <c r="S716">
        <v>1</v>
      </c>
      <c r="T716" t="str">
        <f t="shared" si="84"/>
        <v>e</v>
      </c>
      <c r="AM716" t="str">
        <f t="shared" si="87"/>
        <v>Pass</v>
      </c>
      <c r="AN716" t="str">
        <f t="shared" si="88"/>
        <v>Pass_Deflected</v>
      </c>
      <c r="AP716" t="str">
        <f t="shared" si="86"/>
        <v>Offensive</v>
      </c>
      <c r="BB716" s="23"/>
      <c r="BD716" s="21"/>
      <c r="BE716" s="21"/>
      <c r="BF716" s="21"/>
      <c r="BG716" s="21"/>
      <c r="BH716" s="21"/>
      <c r="BI716" s="21"/>
    </row>
    <row r="717" spans="1:61" x14ac:dyDescent="0.2">
      <c r="A717">
        <v>358</v>
      </c>
      <c r="B717">
        <v>62</v>
      </c>
      <c r="C717">
        <f t="shared" si="83"/>
        <v>9062</v>
      </c>
      <c r="D717">
        <f t="shared" si="89"/>
        <v>9062</v>
      </c>
      <c r="H717">
        <f t="shared" si="85"/>
        <v>1</v>
      </c>
      <c r="R717">
        <v>61</v>
      </c>
      <c r="T717" t="str">
        <f t="shared" si="84"/>
        <v>o</v>
      </c>
      <c r="Y717" t="s">
        <v>722</v>
      </c>
      <c r="AM717" t="str">
        <f t="shared" si="87"/>
        <v>Pass</v>
      </c>
      <c r="AN717" t="str">
        <f t="shared" si="88"/>
        <v>Pass_Deflected</v>
      </c>
      <c r="AP717" t="str">
        <f t="shared" si="86"/>
        <v>Defensive</v>
      </c>
      <c r="BB717" s="23"/>
      <c r="BD717" s="21"/>
      <c r="BE717" s="21"/>
      <c r="BF717" s="21"/>
      <c r="BG717" s="21"/>
      <c r="BH717" s="21"/>
      <c r="BI717" s="21"/>
    </row>
    <row r="718" spans="1:61" x14ac:dyDescent="0.2">
      <c r="A718">
        <v>358</v>
      </c>
      <c r="B718">
        <v>62</v>
      </c>
      <c r="C718">
        <f t="shared" si="83"/>
        <v>9062</v>
      </c>
      <c r="D718">
        <f t="shared" si="89"/>
        <v>9062</v>
      </c>
      <c r="H718">
        <f t="shared" si="85"/>
        <v>1</v>
      </c>
      <c r="I718" s="5" t="s">
        <v>888</v>
      </c>
      <c r="J718" s="5" t="s">
        <v>733</v>
      </c>
      <c r="R718">
        <v>70</v>
      </c>
      <c r="T718" t="str">
        <f t="shared" si="84"/>
        <v>o</v>
      </c>
      <c r="Y718" t="s">
        <v>715</v>
      </c>
      <c r="AJ718">
        <v>1</v>
      </c>
      <c r="AM718" t="str">
        <f t="shared" si="87"/>
        <v>Pass</v>
      </c>
      <c r="AN718" t="str">
        <f t="shared" si="88"/>
        <v>Pass_Deflected</v>
      </c>
      <c r="AP718" t="str">
        <f t="shared" si="86"/>
        <v>Defensive</v>
      </c>
      <c r="BB718" s="23"/>
      <c r="BD718" s="21"/>
      <c r="BE718" s="21"/>
      <c r="BF718" s="21"/>
      <c r="BG718" s="21"/>
      <c r="BH718" s="21"/>
      <c r="BI718" s="21"/>
    </row>
    <row r="719" spans="1:61" x14ac:dyDescent="0.2">
      <c r="A719">
        <v>359</v>
      </c>
      <c r="B719">
        <v>62</v>
      </c>
      <c r="C719">
        <f t="shared" si="83"/>
        <v>9062</v>
      </c>
      <c r="D719">
        <f t="shared" si="89"/>
        <v>9062</v>
      </c>
      <c r="H719">
        <f t="shared" si="85"/>
        <v>1</v>
      </c>
      <c r="I719" s="5" t="s">
        <v>888</v>
      </c>
      <c r="J719" s="5" t="s">
        <v>733</v>
      </c>
      <c r="Q719" t="s">
        <v>619</v>
      </c>
      <c r="R719">
        <v>4</v>
      </c>
      <c r="S719">
        <v>1</v>
      </c>
      <c r="T719" t="str">
        <f t="shared" si="84"/>
        <v>e</v>
      </c>
      <c r="U719" t="s">
        <v>10</v>
      </c>
      <c r="V719" t="s">
        <v>190</v>
      </c>
      <c r="W719" t="s">
        <v>77</v>
      </c>
      <c r="AF719" t="s">
        <v>623</v>
      </c>
      <c r="AM719" t="str">
        <f t="shared" si="87"/>
        <v>Turnover</v>
      </c>
      <c r="AN719" t="str">
        <f t="shared" si="88"/>
        <v>Turnover_Giveaway</v>
      </c>
      <c r="AP719" t="str">
        <f t="shared" si="86"/>
        <v>Offensive</v>
      </c>
      <c r="BB719" s="23"/>
      <c r="BD719" s="21"/>
      <c r="BE719" s="21"/>
      <c r="BF719" s="21"/>
      <c r="BG719" s="21"/>
      <c r="BH719" s="21"/>
      <c r="BI719" s="21"/>
    </row>
    <row r="720" spans="1:61" x14ac:dyDescent="0.2">
      <c r="A720">
        <v>359</v>
      </c>
      <c r="B720">
        <v>62</v>
      </c>
      <c r="C720">
        <f t="shared" si="83"/>
        <v>9062</v>
      </c>
      <c r="D720">
        <f t="shared" si="89"/>
        <v>9062</v>
      </c>
      <c r="H720">
        <f t="shared" si="85"/>
        <v>1</v>
      </c>
      <c r="R720">
        <v>61</v>
      </c>
      <c r="T720" t="str">
        <f t="shared" si="84"/>
        <v>o</v>
      </c>
      <c r="AM720" t="str">
        <f t="shared" si="87"/>
        <v>Turnover</v>
      </c>
      <c r="AN720" t="str">
        <f t="shared" si="88"/>
        <v>Turnover_Giveaway</v>
      </c>
      <c r="AP720" t="str">
        <f t="shared" si="86"/>
        <v>Defensive</v>
      </c>
      <c r="BB720" s="23"/>
      <c r="BD720" s="21"/>
      <c r="BE720" s="21"/>
      <c r="BF720" s="21"/>
      <c r="BG720" s="21"/>
      <c r="BH720" s="21"/>
      <c r="BI720" s="21"/>
    </row>
    <row r="721" spans="1:61" x14ac:dyDescent="0.2">
      <c r="A721">
        <v>360</v>
      </c>
      <c r="B721">
        <v>62</v>
      </c>
      <c r="C721">
        <f t="shared" si="83"/>
        <v>9062</v>
      </c>
      <c r="D721">
        <f t="shared" si="89"/>
        <v>9062</v>
      </c>
      <c r="H721">
        <f t="shared" si="85"/>
        <v>1</v>
      </c>
      <c r="I721" s="5" t="s">
        <v>888</v>
      </c>
      <c r="J721" s="5" t="s">
        <v>733</v>
      </c>
      <c r="Q721" t="s">
        <v>619</v>
      </c>
      <c r="R721">
        <v>4</v>
      </c>
      <c r="S721">
        <v>1</v>
      </c>
      <c r="T721" t="str">
        <f t="shared" si="84"/>
        <v>e</v>
      </c>
      <c r="U721" t="s">
        <v>257</v>
      </c>
      <c r="V721" t="s">
        <v>819</v>
      </c>
      <c r="W721" t="s">
        <v>91</v>
      </c>
      <c r="X721" t="s">
        <v>705</v>
      </c>
      <c r="AF721" t="s">
        <v>623</v>
      </c>
      <c r="AM721" t="str">
        <f t="shared" si="87"/>
        <v>Zone_Entry_Exit</v>
      </c>
      <c r="AN721" t="str">
        <f t="shared" si="88"/>
        <v>Zone_ExitFailed</v>
      </c>
      <c r="AP721" t="str">
        <f t="shared" si="86"/>
        <v>Offensive</v>
      </c>
      <c r="BB721" s="23"/>
      <c r="BD721" s="21"/>
      <c r="BE721" s="21"/>
      <c r="BF721" s="21"/>
      <c r="BG721" s="21"/>
      <c r="BH721" s="21"/>
      <c r="BI721" s="21"/>
    </row>
    <row r="722" spans="1:61" x14ac:dyDescent="0.2">
      <c r="A722">
        <v>360</v>
      </c>
      <c r="B722">
        <v>62</v>
      </c>
      <c r="C722">
        <f t="shared" si="83"/>
        <v>9062</v>
      </c>
      <c r="D722">
        <f t="shared" si="89"/>
        <v>9062</v>
      </c>
      <c r="H722">
        <f t="shared" si="85"/>
        <v>1</v>
      </c>
      <c r="R722">
        <v>89</v>
      </c>
      <c r="S722">
        <v>1</v>
      </c>
      <c r="T722" t="str">
        <f t="shared" si="84"/>
        <v>e</v>
      </c>
      <c r="AM722" t="str">
        <f t="shared" si="87"/>
        <v>Zone_Entry_Exit</v>
      </c>
      <c r="AN722" t="str">
        <f t="shared" si="88"/>
        <v>Zone_ExitFailed</v>
      </c>
      <c r="AP722" t="str">
        <f t="shared" si="86"/>
        <v>Offensive</v>
      </c>
      <c r="BB722" s="23"/>
      <c r="BD722" s="21"/>
      <c r="BE722" s="21"/>
      <c r="BF722" s="21"/>
      <c r="BG722" s="21"/>
      <c r="BH722" s="21"/>
      <c r="BI722" s="21"/>
    </row>
    <row r="723" spans="1:61" x14ac:dyDescent="0.2">
      <c r="A723">
        <v>361</v>
      </c>
      <c r="C723" t="str">
        <f t="shared" si="83"/>
        <v/>
      </c>
      <c r="H723">
        <f t="shared" si="85"/>
        <v>1</v>
      </c>
      <c r="I723" s="5" t="s">
        <v>888</v>
      </c>
      <c r="J723" s="5" t="s">
        <v>735</v>
      </c>
      <c r="Q723" t="s">
        <v>620</v>
      </c>
      <c r="R723">
        <v>70</v>
      </c>
      <c r="S723">
        <v>1</v>
      </c>
      <c r="T723" t="str">
        <f t="shared" si="84"/>
        <v>e</v>
      </c>
      <c r="U723" t="s">
        <v>15</v>
      </c>
      <c r="V723" t="s">
        <v>697</v>
      </c>
      <c r="X723" t="s">
        <v>706</v>
      </c>
      <c r="Y723" t="s">
        <v>712</v>
      </c>
      <c r="AA723" t="s">
        <v>706</v>
      </c>
      <c r="AF723" t="s">
        <v>401</v>
      </c>
      <c r="AJ723">
        <v>1</v>
      </c>
      <c r="AM723" t="str">
        <f t="shared" si="87"/>
        <v>Possession</v>
      </c>
      <c r="AN723" t="str">
        <f t="shared" si="88"/>
        <v>PuckRetrieval</v>
      </c>
      <c r="AP723" t="str">
        <f t="shared" si="86"/>
        <v>Offensive</v>
      </c>
      <c r="BB723" s="23"/>
      <c r="BD723" s="21"/>
      <c r="BE723" s="21"/>
      <c r="BF723" s="21"/>
      <c r="BG723" s="21"/>
      <c r="BH723" s="21"/>
      <c r="BI723" s="21"/>
    </row>
    <row r="724" spans="1:61" x14ac:dyDescent="0.2">
      <c r="A724">
        <v>361</v>
      </c>
      <c r="C724" t="str">
        <f t="shared" si="83"/>
        <v/>
      </c>
      <c r="H724">
        <f t="shared" si="85"/>
        <v>1</v>
      </c>
      <c r="R724">
        <v>91</v>
      </c>
      <c r="T724" t="str">
        <f t="shared" si="84"/>
        <v>o</v>
      </c>
      <c r="Y724" t="s">
        <v>775</v>
      </c>
      <c r="AA724" t="s">
        <v>705</v>
      </c>
      <c r="AJ724">
        <v>1</v>
      </c>
      <c r="AM724" t="str">
        <f t="shared" si="87"/>
        <v>Possession</v>
      </c>
      <c r="AN724" t="str">
        <f t="shared" si="88"/>
        <v>PuckRetrieval</v>
      </c>
      <c r="AP724" t="str">
        <f t="shared" si="86"/>
        <v>Defensive</v>
      </c>
      <c r="BB724" s="23"/>
      <c r="BD724" s="21"/>
      <c r="BE724" s="21"/>
      <c r="BF724" s="21"/>
      <c r="BG724" s="21"/>
      <c r="BH724" s="21"/>
      <c r="BI724" s="21"/>
    </row>
    <row r="725" spans="1:61" x14ac:dyDescent="0.2">
      <c r="A725">
        <v>362</v>
      </c>
      <c r="B725" t="s">
        <v>887</v>
      </c>
      <c r="C725" t="str">
        <f t="shared" si="83"/>
        <v/>
      </c>
      <c r="D725" t="str">
        <f t="shared" si="89"/>
        <v/>
      </c>
      <c r="H725">
        <f t="shared" si="85"/>
        <v>1</v>
      </c>
      <c r="I725" s="5" t="s">
        <v>888</v>
      </c>
      <c r="J725" s="5" t="s">
        <v>735</v>
      </c>
      <c r="K725" s="5" t="s">
        <v>888</v>
      </c>
      <c r="L725" s="7" t="s">
        <v>738</v>
      </c>
      <c r="Q725" t="s">
        <v>620</v>
      </c>
      <c r="R725">
        <v>70</v>
      </c>
      <c r="S725">
        <v>1</v>
      </c>
      <c r="T725" t="str">
        <f t="shared" si="84"/>
        <v>e</v>
      </c>
      <c r="U725" t="s">
        <v>15</v>
      </c>
      <c r="Y725" t="s">
        <v>825</v>
      </c>
      <c r="AA725" t="s">
        <v>706</v>
      </c>
      <c r="AF725" t="s">
        <v>401</v>
      </c>
      <c r="AJ725">
        <v>1</v>
      </c>
      <c r="AM725" t="str">
        <f t="shared" si="87"/>
        <v>Possession</v>
      </c>
      <c r="AN725" t="str">
        <f t="shared" si="88"/>
        <v/>
      </c>
      <c r="AP725" t="str">
        <f t="shared" si="86"/>
        <v>Offensive</v>
      </c>
      <c r="BB725" s="23"/>
      <c r="BD725" s="21"/>
      <c r="BE725" s="21"/>
      <c r="BF725" s="21"/>
      <c r="BG725" s="21"/>
      <c r="BH725" s="21"/>
      <c r="BI725" s="21"/>
    </row>
    <row r="726" spans="1:61" x14ac:dyDescent="0.2">
      <c r="A726">
        <v>362</v>
      </c>
      <c r="B726" t="s">
        <v>887</v>
      </c>
      <c r="C726" t="str">
        <f t="shared" si="83"/>
        <v/>
      </c>
      <c r="D726" t="str">
        <f t="shared" si="89"/>
        <v/>
      </c>
      <c r="H726">
        <f t="shared" si="85"/>
        <v>1</v>
      </c>
      <c r="R726">
        <v>91</v>
      </c>
      <c r="T726" t="str">
        <f t="shared" si="84"/>
        <v>o</v>
      </c>
      <c r="AJ726">
        <v>1</v>
      </c>
      <c r="AM726" t="str">
        <f t="shared" si="87"/>
        <v>Possession</v>
      </c>
      <c r="AN726" t="str">
        <f t="shared" si="88"/>
        <v/>
      </c>
      <c r="AP726" t="str">
        <f t="shared" si="86"/>
        <v>Defensive</v>
      </c>
      <c r="BB726" s="23"/>
      <c r="BD726" s="21"/>
      <c r="BE726" s="21"/>
      <c r="BF726" s="21"/>
      <c r="BG726" s="21"/>
      <c r="BH726" s="21"/>
      <c r="BI726" s="21"/>
    </row>
    <row r="727" spans="1:61" x14ac:dyDescent="0.2">
      <c r="A727">
        <v>362</v>
      </c>
      <c r="B727" t="s">
        <v>887</v>
      </c>
      <c r="C727" t="str">
        <f t="shared" si="83"/>
        <v/>
      </c>
      <c r="D727" t="str">
        <f t="shared" si="89"/>
        <v/>
      </c>
      <c r="H727">
        <f t="shared" si="85"/>
        <v>1</v>
      </c>
      <c r="R727">
        <v>25</v>
      </c>
      <c r="T727" t="str">
        <f t="shared" si="84"/>
        <v>o</v>
      </c>
      <c r="AJ727">
        <v>1</v>
      </c>
      <c r="AM727" t="str">
        <f t="shared" si="87"/>
        <v>Possession</v>
      </c>
      <c r="AN727" t="str">
        <f t="shared" si="88"/>
        <v/>
      </c>
      <c r="AP727" t="str">
        <f t="shared" si="86"/>
        <v>Defensive</v>
      </c>
      <c r="BB727" s="23"/>
      <c r="BD727" s="21"/>
      <c r="BE727" s="21"/>
      <c r="BF727" s="21"/>
      <c r="BG727" s="21"/>
      <c r="BH727" s="21"/>
      <c r="BI727" s="21"/>
    </row>
    <row r="728" spans="1:61" x14ac:dyDescent="0.2">
      <c r="A728">
        <v>363</v>
      </c>
      <c r="B728">
        <v>63</v>
      </c>
      <c r="C728">
        <f t="shared" si="83"/>
        <v>9063</v>
      </c>
      <c r="D728">
        <f t="shared" si="89"/>
        <v>9063</v>
      </c>
      <c r="H728">
        <f t="shared" si="85"/>
        <v>1</v>
      </c>
      <c r="I728" s="5" t="s">
        <v>888</v>
      </c>
      <c r="J728" s="5" t="s">
        <v>738</v>
      </c>
      <c r="Q728" t="s">
        <v>620</v>
      </c>
      <c r="R728">
        <v>70</v>
      </c>
      <c r="S728">
        <v>1</v>
      </c>
      <c r="T728" t="str">
        <f t="shared" si="84"/>
        <v>e</v>
      </c>
      <c r="U728" t="s">
        <v>7</v>
      </c>
      <c r="V728" t="s">
        <v>208</v>
      </c>
      <c r="W728" t="s">
        <v>53</v>
      </c>
      <c r="X728" t="s">
        <v>705</v>
      </c>
      <c r="AF728" t="s">
        <v>401</v>
      </c>
      <c r="AJ728">
        <v>1</v>
      </c>
      <c r="AM728" t="str">
        <f t="shared" si="87"/>
        <v>Shot</v>
      </c>
      <c r="AN728" t="str">
        <f t="shared" si="88"/>
        <v>Shot_Blocked</v>
      </c>
      <c r="AP728" t="str">
        <f t="shared" si="86"/>
        <v>Offensive</v>
      </c>
      <c r="BB728" s="23"/>
      <c r="BD728" s="21"/>
      <c r="BE728" s="21"/>
      <c r="BF728" s="21"/>
      <c r="BG728" s="21"/>
      <c r="BH728" s="21"/>
      <c r="BI728" s="21"/>
    </row>
    <row r="729" spans="1:61" x14ac:dyDescent="0.2">
      <c r="A729">
        <v>363</v>
      </c>
      <c r="B729">
        <v>63</v>
      </c>
      <c r="C729">
        <f t="shared" si="83"/>
        <v>9063</v>
      </c>
      <c r="D729">
        <f t="shared" si="89"/>
        <v>9063</v>
      </c>
      <c r="H729">
        <f t="shared" si="85"/>
        <v>1</v>
      </c>
      <c r="R729">
        <v>25</v>
      </c>
      <c r="T729" t="str">
        <f t="shared" si="84"/>
        <v>o</v>
      </c>
      <c r="Y729" t="s">
        <v>715</v>
      </c>
      <c r="Z729" t="s">
        <v>681</v>
      </c>
      <c r="AA729" t="s">
        <v>706</v>
      </c>
      <c r="AJ729">
        <v>1</v>
      </c>
      <c r="AM729" t="str">
        <f t="shared" si="87"/>
        <v>Shot</v>
      </c>
      <c r="AN729" t="str">
        <f t="shared" si="88"/>
        <v>Shot_Blocked</v>
      </c>
      <c r="AP729" t="str">
        <f t="shared" si="86"/>
        <v>Defensive</v>
      </c>
      <c r="BB729" s="23"/>
      <c r="BD729" s="21"/>
      <c r="BE729" s="21"/>
      <c r="BF729" s="21"/>
      <c r="BG729" s="21"/>
      <c r="BH729" s="21"/>
      <c r="BI729" s="21"/>
    </row>
    <row r="730" spans="1:61" x14ac:dyDescent="0.2">
      <c r="A730">
        <v>364</v>
      </c>
      <c r="B730">
        <v>63</v>
      </c>
      <c r="C730">
        <f t="shared" si="83"/>
        <v>9063</v>
      </c>
      <c r="D730">
        <f t="shared" si="89"/>
        <v>9063</v>
      </c>
      <c r="H730">
        <f t="shared" si="85"/>
        <v>1</v>
      </c>
      <c r="I730" s="5" t="s">
        <v>888</v>
      </c>
      <c r="J730" s="5" t="s">
        <v>738</v>
      </c>
      <c r="Q730" t="s">
        <v>620</v>
      </c>
      <c r="R730">
        <v>70</v>
      </c>
      <c r="S730">
        <v>1</v>
      </c>
      <c r="T730" t="str">
        <f t="shared" si="84"/>
        <v>e</v>
      </c>
      <c r="U730" t="s">
        <v>10</v>
      </c>
      <c r="V730" t="s">
        <v>190</v>
      </c>
      <c r="W730" t="s">
        <v>78</v>
      </c>
      <c r="AF730" t="s">
        <v>401</v>
      </c>
      <c r="AJ730">
        <v>1</v>
      </c>
      <c r="AM730" t="str">
        <f t="shared" si="87"/>
        <v>Turnover</v>
      </c>
      <c r="AN730" t="str">
        <f t="shared" si="88"/>
        <v>Turnover_Giveaway</v>
      </c>
      <c r="AP730" t="str">
        <f t="shared" si="86"/>
        <v>Offensive</v>
      </c>
      <c r="BB730" s="23"/>
      <c r="BD730" s="21"/>
      <c r="BE730" s="21"/>
      <c r="BF730" s="21"/>
      <c r="BG730" s="21"/>
      <c r="BH730" s="21"/>
      <c r="BI730" s="21"/>
    </row>
    <row r="731" spans="1:61" x14ac:dyDescent="0.2">
      <c r="A731">
        <v>364</v>
      </c>
      <c r="B731">
        <v>63</v>
      </c>
      <c r="C731">
        <f t="shared" si="83"/>
        <v>9063</v>
      </c>
      <c r="D731">
        <f t="shared" si="89"/>
        <v>9063</v>
      </c>
      <c r="H731">
        <f t="shared" si="85"/>
        <v>1</v>
      </c>
      <c r="R731">
        <v>25</v>
      </c>
      <c r="T731" t="str">
        <f t="shared" si="84"/>
        <v>o</v>
      </c>
      <c r="AJ731">
        <v>1</v>
      </c>
      <c r="AM731" t="str">
        <f t="shared" si="87"/>
        <v>Turnover</v>
      </c>
      <c r="AN731" t="str">
        <f t="shared" si="88"/>
        <v>Turnover_Giveaway</v>
      </c>
      <c r="AP731" t="str">
        <f t="shared" si="86"/>
        <v>Defensive</v>
      </c>
      <c r="BB731" s="23"/>
      <c r="BD731" s="21"/>
      <c r="BE731" s="21"/>
      <c r="BF731" s="21"/>
      <c r="BG731" s="21"/>
      <c r="BH731" s="21"/>
      <c r="BI731" s="21"/>
    </row>
    <row r="732" spans="1:61" x14ac:dyDescent="0.2">
      <c r="A732">
        <v>365</v>
      </c>
      <c r="B732" t="s">
        <v>887</v>
      </c>
      <c r="C732" t="str">
        <f t="shared" si="83"/>
        <v/>
      </c>
      <c r="D732" t="str">
        <f t="shared" si="89"/>
        <v/>
      </c>
      <c r="H732">
        <f t="shared" si="85"/>
        <v>1</v>
      </c>
      <c r="I732" s="5" t="s">
        <v>888</v>
      </c>
      <c r="J732" s="5" t="s">
        <v>738</v>
      </c>
      <c r="Q732" t="s">
        <v>619</v>
      </c>
      <c r="R732">
        <v>25</v>
      </c>
      <c r="S732">
        <v>1</v>
      </c>
      <c r="T732" t="str">
        <f t="shared" si="84"/>
        <v>e</v>
      </c>
      <c r="U732" t="s">
        <v>15</v>
      </c>
      <c r="V732" t="s">
        <v>697</v>
      </c>
      <c r="X732" t="s">
        <v>706</v>
      </c>
      <c r="Y732" t="s">
        <v>712</v>
      </c>
      <c r="AA732" t="s">
        <v>706</v>
      </c>
      <c r="AF732" t="s">
        <v>623</v>
      </c>
      <c r="AM732" t="str">
        <f t="shared" si="87"/>
        <v>Possession</v>
      </c>
      <c r="AN732" t="str">
        <f t="shared" si="88"/>
        <v>PuckRetrieval</v>
      </c>
      <c r="AP732" t="str">
        <f t="shared" si="86"/>
        <v>Offensive</v>
      </c>
      <c r="BB732" s="23"/>
      <c r="BD732" s="21"/>
      <c r="BE732" s="21"/>
      <c r="BF732" s="21"/>
      <c r="BG732" s="21"/>
      <c r="BH732" s="21"/>
      <c r="BI732" s="21"/>
    </row>
    <row r="733" spans="1:61" x14ac:dyDescent="0.2">
      <c r="A733">
        <v>366</v>
      </c>
      <c r="B733" t="s">
        <v>887</v>
      </c>
      <c r="C733" t="str">
        <f t="shared" si="83"/>
        <v/>
      </c>
      <c r="D733" t="str">
        <f t="shared" si="89"/>
        <v/>
      </c>
      <c r="H733">
        <f t="shared" si="85"/>
        <v>1</v>
      </c>
      <c r="I733" s="5" t="s">
        <v>888</v>
      </c>
      <c r="J733" s="5" t="s">
        <v>738</v>
      </c>
      <c r="K733" s="5" t="s">
        <v>888</v>
      </c>
      <c r="L733" s="7" t="s">
        <v>786</v>
      </c>
      <c r="Q733" t="s">
        <v>619</v>
      </c>
      <c r="R733">
        <v>25</v>
      </c>
      <c r="S733">
        <v>1</v>
      </c>
      <c r="T733" t="str">
        <f t="shared" si="84"/>
        <v>e</v>
      </c>
      <c r="U733" t="s">
        <v>257</v>
      </c>
      <c r="V733" t="s">
        <v>201</v>
      </c>
      <c r="W733" t="s">
        <v>90</v>
      </c>
      <c r="X733" t="s">
        <v>706</v>
      </c>
      <c r="Y733" t="s">
        <v>678</v>
      </c>
      <c r="AA733" t="s">
        <v>706</v>
      </c>
      <c r="AF733" t="s">
        <v>623</v>
      </c>
      <c r="AJ733">
        <v>1</v>
      </c>
      <c r="AM733" t="str">
        <f t="shared" si="87"/>
        <v>Zone_Entry_Exit</v>
      </c>
      <c r="AN733" t="str">
        <f t="shared" si="88"/>
        <v>Zone_Exit</v>
      </c>
      <c r="AP733" t="str">
        <f t="shared" si="86"/>
        <v>Offensive</v>
      </c>
      <c r="BB733" s="23"/>
      <c r="BD733" s="21"/>
      <c r="BE733" s="21"/>
      <c r="BF733" s="21"/>
      <c r="BG733" s="21"/>
      <c r="BH733" s="21"/>
      <c r="BI733" s="21"/>
    </row>
    <row r="734" spans="1:61" x14ac:dyDescent="0.2">
      <c r="A734">
        <v>366</v>
      </c>
      <c r="B734" t="s">
        <v>887</v>
      </c>
      <c r="C734" t="str">
        <f t="shared" si="83"/>
        <v/>
      </c>
      <c r="D734" t="str">
        <f t="shared" si="89"/>
        <v/>
      </c>
      <c r="H734">
        <f t="shared" si="85"/>
        <v>1</v>
      </c>
      <c r="R734">
        <v>70</v>
      </c>
      <c r="T734" t="str">
        <f t="shared" si="84"/>
        <v>o</v>
      </c>
      <c r="Y734" t="s">
        <v>824</v>
      </c>
      <c r="AJ734">
        <v>1</v>
      </c>
      <c r="AM734" t="str">
        <f t="shared" si="87"/>
        <v>Zone_Entry_Exit</v>
      </c>
      <c r="AN734" t="str">
        <f t="shared" si="88"/>
        <v>Zone_Exit</v>
      </c>
      <c r="AP734" t="str">
        <f t="shared" si="86"/>
        <v>Defensive</v>
      </c>
      <c r="BB734" s="23"/>
      <c r="BD734" s="21"/>
      <c r="BE734" s="21"/>
      <c r="BF734" s="21"/>
      <c r="BG734" s="21"/>
      <c r="BH734" s="21"/>
      <c r="BI734" s="21"/>
    </row>
    <row r="735" spans="1:61" x14ac:dyDescent="0.2">
      <c r="A735">
        <v>366</v>
      </c>
      <c r="B735" t="s">
        <v>887</v>
      </c>
      <c r="C735" t="str">
        <f t="shared" si="83"/>
        <v/>
      </c>
      <c r="D735" t="str">
        <f t="shared" si="89"/>
        <v/>
      </c>
      <c r="H735">
        <f t="shared" si="85"/>
        <v>1</v>
      </c>
      <c r="R735">
        <v>9</v>
      </c>
      <c r="T735" t="str">
        <f t="shared" si="84"/>
        <v>o</v>
      </c>
      <c r="Y735" t="s">
        <v>891</v>
      </c>
      <c r="Z735" t="s">
        <v>894</v>
      </c>
      <c r="AA735" t="s">
        <v>705</v>
      </c>
      <c r="AM735" t="str">
        <f t="shared" si="87"/>
        <v>Zone_Entry_Exit</v>
      </c>
      <c r="AN735" t="str">
        <f t="shared" si="88"/>
        <v>Zone_Exit</v>
      </c>
      <c r="AP735" t="str">
        <f t="shared" si="86"/>
        <v>Defensive</v>
      </c>
      <c r="BB735" s="23"/>
      <c r="BD735" s="21"/>
      <c r="BE735" s="21"/>
      <c r="BF735" s="21"/>
      <c r="BG735" s="21"/>
      <c r="BH735" s="21"/>
      <c r="BI735" s="21"/>
    </row>
    <row r="736" spans="1:61" x14ac:dyDescent="0.2">
      <c r="A736">
        <v>367</v>
      </c>
      <c r="B736" t="s">
        <v>887</v>
      </c>
      <c r="C736" t="str">
        <f t="shared" si="83"/>
        <v/>
      </c>
      <c r="D736" t="str">
        <f t="shared" si="89"/>
        <v/>
      </c>
      <c r="H736">
        <f t="shared" si="85"/>
        <v>1</v>
      </c>
      <c r="I736" s="5" t="s">
        <v>888</v>
      </c>
      <c r="J736" s="5" t="s">
        <v>786</v>
      </c>
      <c r="K736" s="5" t="s">
        <v>895</v>
      </c>
      <c r="L736" s="7" t="s">
        <v>622</v>
      </c>
      <c r="Q736" t="s">
        <v>619</v>
      </c>
      <c r="R736">
        <v>25</v>
      </c>
      <c r="S736">
        <v>1</v>
      </c>
      <c r="T736" t="str">
        <f t="shared" si="84"/>
        <v>e</v>
      </c>
      <c r="U736" t="s">
        <v>15</v>
      </c>
      <c r="AF736" t="s">
        <v>635</v>
      </c>
      <c r="AJ736">
        <v>1</v>
      </c>
      <c r="AM736" t="str">
        <f t="shared" si="87"/>
        <v>Possession</v>
      </c>
      <c r="AN736" t="str">
        <f t="shared" si="88"/>
        <v/>
      </c>
      <c r="AP736" t="str">
        <f t="shared" si="86"/>
        <v>Offensive</v>
      </c>
      <c r="BB736" s="23"/>
      <c r="BD736" s="21"/>
      <c r="BE736" s="21"/>
      <c r="BF736" s="21"/>
      <c r="BG736" s="21"/>
      <c r="BH736" s="21"/>
      <c r="BI736" s="21"/>
    </row>
    <row r="737" spans="1:61" x14ac:dyDescent="0.2">
      <c r="A737">
        <v>367</v>
      </c>
      <c r="B737" t="s">
        <v>887</v>
      </c>
      <c r="C737" t="str">
        <f t="shared" si="83"/>
        <v/>
      </c>
      <c r="D737" t="str">
        <f t="shared" si="89"/>
        <v/>
      </c>
      <c r="H737">
        <f t="shared" si="85"/>
        <v>1</v>
      </c>
      <c r="R737">
        <v>70</v>
      </c>
      <c r="T737" t="str">
        <f t="shared" si="84"/>
        <v>o</v>
      </c>
      <c r="Y737" t="s">
        <v>715</v>
      </c>
      <c r="AF737" t="s">
        <v>635</v>
      </c>
      <c r="AJ737">
        <v>1</v>
      </c>
      <c r="AM737" t="str">
        <f t="shared" si="87"/>
        <v>Possession</v>
      </c>
      <c r="AN737" t="str">
        <f t="shared" si="88"/>
        <v/>
      </c>
      <c r="AP737" t="str">
        <f t="shared" si="86"/>
        <v>Defensive</v>
      </c>
      <c r="BB737" s="23"/>
      <c r="BD737" s="21"/>
      <c r="BE737" s="21"/>
      <c r="BF737" s="21"/>
      <c r="BG737" s="21"/>
      <c r="BH737" s="21"/>
      <c r="BI737" s="21"/>
    </row>
    <row r="738" spans="1:61" x14ac:dyDescent="0.2">
      <c r="A738">
        <v>368</v>
      </c>
      <c r="B738" t="s">
        <v>887</v>
      </c>
      <c r="C738" t="str">
        <f t="shared" si="83"/>
        <v/>
      </c>
      <c r="D738" t="str">
        <f t="shared" si="89"/>
        <v/>
      </c>
      <c r="H738">
        <f t="shared" si="85"/>
        <v>1</v>
      </c>
      <c r="I738" s="5" t="s">
        <v>895</v>
      </c>
      <c r="J738" s="5" t="s">
        <v>622</v>
      </c>
      <c r="K738" s="5" t="s">
        <v>895</v>
      </c>
      <c r="L738" s="7" t="s">
        <v>896</v>
      </c>
      <c r="Q738" t="s">
        <v>619</v>
      </c>
      <c r="R738">
        <v>25</v>
      </c>
      <c r="S738">
        <v>1</v>
      </c>
      <c r="T738" t="str">
        <f t="shared" si="84"/>
        <v>e</v>
      </c>
      <c r="U738" t="s">
        <v>257</v>
      </c>
      <c r="V738" t="s">
        <v>191</v>
      </c>
      <c r="W738" t="s">
        <v>87</v>
      </c>
      <c r="X738" t="s">
        <v>706</v>
      </c>
      <c r="AF738" t="s">
        <v>401</v>
      </c>
      <c r="AJ738">
        <v>1</v>
      </c>
      <c r="AM738" t="str">
        <f t="shared" si="87"/>
        <v>Zone_Entry_Exit</v>
      </c>
      <c r="AN738" t="str">
        <f t="shared" si="88"/>
        <v>Zone_Entry</v>
      </c>
      <c r="AP738" t="str">
        <f t="shared" si="86"/>
        <v>Offensive</v>
      </c>
      <c r="BB738" s="23"/>
      <c r="BD738" s="21"/>
      <c r="BE738" s="21"/>
      <c r="BF738" s="21"/>
      <c r="BG738" s="21"/>
      <c r="BH738" s="21"/>
      <c r="BI738" s="21"/>
    </row>
    <row r="739" spans="1:61" x14ac:dyDescent="0.2">
      <c r="A739">
        <v>368</v>
      </c>
      <c r="B739" t="s">
        <v>887</v>
      </c>
      <c r="C739" t="str">
        <f t="shared" si="83"/>
        <v/>
      </c>
      <c r="D739" t="str">
        <f t="shared" si="89"/>
        <v/>
      </c>
      <c r="H739">
        <f t="shared" si="85"/>
        <v>1</v>
      </c>
      <c r="R739">
        <v>70</v>
      </c>
      <c r="T739" t="str">
        <f t="shared" si="84"/>
        <v>o</v>
      </c>
      <c r="Y739" t="s">
        <v>714</v>
      </c>
      <c r="AA739" t="s">
        <v>706</v>
      </c>
      <c r="AJ739">
        <v>1</v>
      </c>
      <c r="AM739" t="str">
        <f t="shared" si="87"/>
        <v>Zone_Entry_Exit</v>
      </c>
      <c r="AN739" t="str">
        <f t="shared" si="88"/>
        <v>Zone_Entry</v>
      </c>
      <c r="AP739" t="str">
        <f t="shared" si="86"/>
        <v>Defensive</v>
      </c>
      <c r="BB739" s="23"/>
      <c r="BD739" s="21"/>
      <c r="BE739" s="21"/>
      <c r="BF739" s="21"/>
      <c r="BG739" s="21"/>
      <c r="BH739" s="21"/>
      <c r="BI739" s="21"/>
    </row>
    <row r="740" spans="1:61" x14ac:dyDescent="0.2">
      <c r="A740">
        <v>368</v>
      </c>
      <c r="B740" t="s">
        <v>887</v>
      </c>
      <c r="C740" t="str">
        <f t="shared" si="83"/>
        <v/>
      </c>
      <c r="D740" t="str">
        <f t="shared" si="89"/>
        <v/>
      </c>
      <c r="H740">
        <f t="shared" si="85"/>
        <v>1</v>
      </c>
      <c r="R740">
        <v>9</v>
      </c>
      <c r="T740" t="str">
        <f t="shared" si="84"/>
        <v>o</v>
      </c>
      <c r="AM740" t="str">
        <f t="shared" si="87"/>
        <v>Zone_Entry_Exit</v>
      </c>
      <c r="AN740" t="str">
        <f t="shared" si="88"/>
        <v>Zone_Entry</v>
      </c>
      <c r="AP740" t="str">
        <f t="shared" si="86"/>
        <v>Defensive</v>
      </c>
      <c r="BB740" s="23"/>
      <c r="BD740" s="21"/>
      <c r="BE740" s="21"/>
      <c r="BF740" s="21"/>
      <c r="BG740" s="21"/>
      <c r="BH740" s="21"/>
      <c r="BI740" s="21"/>
    </row>
    <row r="741" spans="1:61" x14ac:dyDescent="0.2">
      <c r="A741">
        <v>369</v>
      </c>
      <c r="B741" t="s">
        <v>887</v>
      </c>
      <c r="C741" t="str">
        <f t="shared" si="83"/>
        <v/>
      </c>
      <c r="D741" t="str">
        <f t="shared" si="89"/>
        <v/>
      </c>
      <c r="H741">
        <f t="shared" si="85"/>
        <v>1</v>
      </c>
      <c r="I741" s="5" t="s">
        <v>895</v>
      </c>
      <c r="J741" s="5" t="s">
        <v>896</v>
      </c>
      <c r="Q741" t="s">
        <v>620</v>
      </c>
      <c r="R741">
        <v>70</v>
      </c>
      <c r="S741">
        <v>1</v>
      </c>
      <c r="T741" t="str">
        <f t="shared" si="84"/>
        <v>e</v>
      </c>
      <c r="U741" t="s">
        <v>10</v>
      </c>
      <c r="V741" t="s">
        <v>200</v>
      </c>
      <c r="W741" t="s">
        <v>82</v>
      </c>
      <c r="Y741" t="s">
        <v>714</v>
      </c>
      <c r="AA741" t="s">
        <v>706</v>
      </c>
      <c r="AF741" t="s">
        <v>623</v>
      </c>
      <c r="AJ741">
        <v>1</v>
      </c>
      <c r="AM741" t="str">
        <f t="shared" si="87"/>
        <v>Turnover</v>
      </c>
      <c r="AN741" t="str">
        <f t="shared" si="88"/>
        <v>Turnover_Takeaway</v>
      </c>
      <c r="AP741" t="str">
        <f t="shared" si="86"/>
        <v>Defensive</v>
      </c>
      <c r="BB741" s="23"/>
      <c r="BD741" s="21"/>
      <c r="BE741" s="21"/>
      <c r="BF741" s="21"/>
      <c r="BG741" s="21"/>
      <c r="BH741" s="21"/>
      <c r="BI741" s="21"/>
    </row>
    <row r="742" spans="1:61" x14ac:dyDescent="0.2">
      <c r="A742">
        <v>369</v>
      </c>
      <c r="B742" t="s">
        <v>887</v>
      </c>
      <c r="C742" t="str">
        <f t="shared" si="83"/>
        <v/>
      </c>
      <c r="D742" t="str">
        <f t="shared" si="89"/>
        <v/>
      </c>
      <c r="H742">
        <f t="shared" si="85"/>
        <v>1</v>
      </c>
      <c r="R742">
        <v>25</v>
      </c>
      <c r="T742" t="str">
        <f t="shared" si="84"/>
        <v>o</v>
      </c>
      <c r="AJ742">
        <v>1</v>
      </c>
      <c r="AM742" t="str">
        <f t="shared" si="87"/>
        <v>Turnover</v>
      </c>
      <c r="AN742" t="str">
        <f t="shared" si="88"/>
        <v>Turnover_Takeaway</v>
      </c>
      <c r="AP742" t="str">
        <f t="shared" si="86"/>
        <v>Offensive</v>
      </c>
      <c r="BB742" s="23"/>
      <c r="BD742" s="21"/>
      <c r="BE742" s="21"/>
      <c r="BF742" s="21"/>
      <c r="BG742" s="21"/>
      <c r="BH742" s="21"/>
      <c r="BI742" s="21"/>
    </row>
    <row r="743" spans="1:61" x14ac:dyDescent="0.2">
      <c r="A743">
        <v>370</v>
      </c>
      <c r="B743" t="s">
        <v>887</v>
      </c>
      <c r="C743" t="str">
        <f t="shared" si="83"/>
        <v/>
      </c>
      <c r="D743" t="str">
        <f t="shared" si="89"/>
        <v/>
      </c>
      <c r="H743">
        <f t="shared" si="85"/>
        <v>1</v>
      </c>
      <c r="I743" s="5" t="s">
        <v>895</v>
      </c>
      <c r="J743" s="5" t="s">
        <v>638</v>
      </c>
      <c r="Q743" t="s">
        <v>620</v>
      </c>
      <c r="R743">
        <v>9</v>
      </c>
      <c r="S743">
        <v>1</v>
      </c>
      <c r="T743" t="str">
        <f t="shared" si="84"/>
        <v>e</v>
      </c>
      <c r="U743" t="s">
        <v>16</v>
      </c>
      <c r="V743" t="s">
        <v>205</v>
      </c>
      <c r="Y743" t="s">
        <v>712</v>
      </c>
      <c r="AA743" t="s">
        <v>705</v>
      </c>
      <c r="AF743" t="s">
        <v>623</v>
      </c>
      <c r="AJ743">
        <v>1</v>
      </c>
      <c r="AM743" t="str">
        <f t="shared" si="87"/>
        <v>LoosePuck</v>
      </c>
      <c r="AN743" t="str">
        <f t="shared" si="88"/>
        <v>LoosePuck_Battle</v>
      </c>
      <c r="AP743" t="str">
        <f t="shared" si="86"/>
        <v>Offensive</v>
      </c>
      <c r="BB743" s="23"/>
      <c r="BD743" s="21"/>
      <c r="BE743" s="21"/>
      <c r="BF743" s="21"/>
      <c r="BG743" s="21"/>
      <c r="BH743" s="21"/>
      <c r="BI743" s="21"/>
    </row>
    <row r="744" spans="1:61" x14ac:dyDescent="0.2">
      <c r="A744">
        <v>370</v>
      </c>
      <c r="B744" t="s">
        <v>887</v>
      </c>
      <c r="C744" t="str">
        <f t="shared" si="83"/>
        <v/>
      </c>
      <c r="D744" t="str">
        <f t="shared" si="89"/>
        <v/>
      </c>
      <c r="H744">
        <f t="shared" si="85"/>
        <v>1</v>
      </c>
      <c r="R744">
        <v>25</v>
      </c>
      <c r="T744" t="str">
        <f t="shared" si="84"/>
        <v>o</v>
      </c>
      <c r="AJ744">
        <v>1</v>
      </c>
      <c r="AM744" t="str">
        <f t="shared" si="87"/>
        <v>LoosePuck</v>
      </c>
      <c r="AN744" t="str">
        <f t="shared" si="88"/>
        <v>LoosePuck_Battle</v>
      </c>
      <c r="AP744" t="str">
        <f t="shared" si="86"/>
        <v>Defensive</v>
      </c>
      <c r="BB744" s="23"/>
      <c r="BD744" s="21"/>
      <c r="BE744" s="21"/>
      <c r="BF744" s="21"/>
      <c r="BG744" s="21"/>
      <c r="BH744" s="21"/>
      <c r="BI744" s="21"/>
    </row>
    <row r="745" spans="1:61" x14ac:dyDescent="0.2">
      <c r="A745">
        <v>371</v>
      </c>
      <c r="B745" t="s">
        <v>887</v>
      </c>
      <c r="C745" t="str">
        <f t="shared" si="83"/>
        <v/>
      </c>
      <c r="D745" t="str">
        <f t="shared" si="89"/>
        <v/>
      </c>
      <c r="H745">
        <f t="shared" si="85"/>
        <v>1</v>
      </c>
      <c r="I745" s="5" t="s">
        <v>895</v>
      </c>
      <c r="J745" s="5" t="s">
        <v>751</v>
      </c>
      <c r="K745" s="5" t="s">
        <v>895</v>
      </c>
      <c r="L745" s="7" t="s">
        <v>640</v>
      </c>
      <c r="Q745" t="s">
        <v>620</v>
      </c>
      <c r="R745">
        <v>91</v>
      </c>
      <c r="S745">
        <v>1</v>
      </c>
      <c r="T745" t="str">
        <f t="shared" si="84"/>
        <v>e</v>
      </c>
      <c r="U745" t="s">
        <v>15</v>
      </c>
      <c r="V745" t="s">
        <v>697</v>
      </c>
      <c r="X745" t="s">
        <v>706</v>
      </c>
      <c r="Y745" t="s">
        <v>712</v>
      </c>
      <c r="AA745" t="s">
        <v>706</v>
      </c>
      <c r="AF745" t="s">
        <v>623</v>
      </c>
      <c r="AM745" t="str">
        <f t="shared" si="87"/>
        <v>Possession</v>
      </c>
      <c r="AN745" t="str">
        <f t="shared" si="88"/>
        <v>PuckRetrieval</v>
      </c>
      <c r="AP745" t="str">
        <f t="shared" si="86"/>
        <v>Offensive</v>
      </c>
      <c r="BB745" s="23"/>
      <c r="BD745" s="21"/>
      <c r="BE745" s="21"/>
      <c r="BF745" s="21"/>
      <c r="BG745" s="21"/>
      <c r="BH745" s="21"/>
      <c r="BI745" s="21"/>
    </row>
    <row r="746" spans="1:61" x14ac:dyDescent="0.2">
      <c r="A746">
        <v>372</v>
      </c>
      <c r="B746" t="s">
        <v>887</v>
      </c>
      <c r="C746" t="str">
        <f t="shared" si="83"/>
        <v/>
      </c>
      <c r="D746" t="str">
        <f t="shared" si="89"/>
        <v/>
      </c>
      <c r="H746">
        <f t="shared" si="85"/>
        <v>1</v>
      </c>
      <c r="I746" s="5" t="s">
        <v>895</v>
      </c>
      <c r="J746" s="5" t="s">
        <v>640</v>
      </c>
      <c r="Q746" t="s">
        <v>619</v>
      </c>
      <c r="R746">
        <v>91</v>
      </c>
      <c r="S746">
        <v>1</v>
      </c>
      <c r="T746" t="str">
        <f t="shared" si="84"/>
        <v>e</v>
      </c>
      <c r="U746" t="s">
        <v>247</v>
      </c>
      <c r="V746" t="s">
        <v>422</v>
      </c>
      <c r="W746" t="s">
        <v>467</v>
      </c>
      <c r="X746" t="s">
        <v>706</v>
      </c>
      <c r="Y746" t="s">
        <v>714</v>
      </c>
      <c r="AA746" t="s">
        <v>706</v>
      </c>
      <c r="AF746" t="s">
        <v>401</v>
      </c>
      <c r="AJ746">
        <v>1</v>
      </c>
      <c r="AM746" t="str">
        <f t="shared" si="87"/>
        <v>Play</v>
      </c>
      <c r="AN746" t="str">
        <f t="shared" si="88"/>
        <v>Play_Defensive</v>
      </c>
      <c r="AP746" t="str">
        <f t="shared" si="86"/>
        <v>Defensive</v>
      </c>
      <c r="BB746" s="23"/>
      <c r="BD746" s="21"/>
      <c r="BE746" s="21"/>
      <c r="BF746" s="21"/>
      <c r="BG746" s="21"/>
      <c r="BH746" s="21"/>
      <c r="BI746" s="21"/>
    </row>
    <row r="747" spans="1:61" x14ac:dyDescent="0.2">
      <c r="A747">
        <v>372</v>
      </c>
      <c r="B747" t="s">
        <v>887</v>
      </c>
      <c r="C747" t="str">
        <f t="shared" si="83"/>
        <v/>
      </c>
      <c r="D747" t="str">
        <f t="shared" si="89"/>
        <v/>
      </c>
      <c r="H747">
        <f t="shared" si="85"/>
        <v>1</v>
      </c>
      <c r="R747">
        <v>91</v>
      </c>
      <c r="T747" t="str">
        <f t="shared" si="84"/>
        <v>o</v>
      </c>
      <c r="AJ747">
        <v>1</v>
      </c>
      <c r="AM747" t="str">
        <f t="shared" si="87"/>
        <v>Play</v>
      </c>
      <c r="AN747" t="str">
        <f t="shared" si="88"/>
        <v>Play_Defensive</v>
      </c>
      <c r="AP747" t="str">
        <f t="shared" si="86"/>
        <v>Offensive</v>
      </c>
      <c r="BB747" s="23"/>
      <c r="BD747" s="21"/>
      <c r="BE747" s="21"/>
      <c r="BF747" s="21"/>
      <c r="BG747" s="21"/>
      <c r="BH747" s="21"/>
      <c r="BI747" s="21"/>
    </row>
    <row r="748" spans="1:61" x14ac:dyDescent="0.2">
      <c r="A748">
        <v>373</v>
      </c>
      <c r="B748" t="s">
        <v>887</v>
      </c>
      <c r="C748" t="str">
        <f t="shared" si="83"/>
        <v/>
      </c>
      <c r="D748" t="str">
        <f t="shared" si="89"/>
        <v/>
      </c>
      <c r="H748">
        <f t="shared" si="85"/>
        <v>1</v>
      </c>
      <c r="I748" s="5" t="s">
        <v>895</v>
      </c>
      <c r="J748" s="5" t="s">
        <v>672</v>
      </c>
      <c r="K748" s="5" t="s">
        <v>895</v>
      </c>
      <c r="L748" s="7" t="s">
        <v>682</v>
      </c>
      <c r="Q748" t="s">
        <v>620</v>
      </c>
      <c r="R748">
        <v>91</v>
      </c>
      <c r="S748">
        <v>1</v>
      </c>
      <c r="T748" t="str">
        <f t="shared" si="84"/>
        <v>e</v>
      </c>
      <c r="U748" t="s">
        <v>15</v>
      </c>
      <c r="V748" t="s">
        <v>684</v>
      </c>
      <c r="X748" t="s">
        <v>706</v>
      </c>
      <c r="AF748" t="s">
        <v>623</v>
      </c>
      <c r="AM748" t="str">
        <f t="shared" si="87"/>
        <v>Possession</v>
      </c>
      <c r="AN748" t="str">
        <f t="shared" si="88"/>
        <v>Regroup</v>
      </c>
      <c r="AP748" t="str">
        <f t="shared" si="86"/>
        <v>Offensive</v>
      </c>
      <c r="BB748" s="23"/>
      <c r="BD748" s="21"/>
      <c r="BE748" s="21"/>
      <c r="BF748" s="21"/>
      <c r="BG748" s="21"/>
      <c r="BH748" s="21"/>
      <c r="BI748" s="21"/>
    </row>
    <row r="749" spans="1:61" x14ac:dyDescent="0.2">
      <c r="A749">
        <v>374</v>
      </c>
      <c r="B749">
        <v>64</v>
      </c>
      <c r="C749">
        <f t="shared" si="83"/>
        <v>9064</v>
      </c>
      <c r="D749">
        <f t="shared" si="89"/>
        <v>9064</v>
      </c>
      <c r="H749">
        <f t="shared" si="85"/>
        <v>1</v>
      </c>
      <c r="I749" s="5" t="s">
        <v>895</v>
      </c>
      <c r="J749" s="5" t="s">
        <v>682</v>
      </c>
      <c r="Q749" t="s">
        <v>620</v>
      </c>
      <c r="R749">
        <v>91</v>
      </c>
      <c r="S749">
        <v>1</v>
      </c>
      <c r="T749" t="str">
        <f t="shared" si="84"/>
        <v>e</v>
      </c>
      <c r="U749" t="s">
        <v>8</v>
      </c>
      <c r="V749" t="s">
        <v>199</v>
      </c>
      <c r="W749" t="s">
        <v>68</v>
      </c>
      <c r="X749" t="s">
        <v>705</v>
      </c>
      <c r="Y749" t="s">
        <v>754</v>
      </c>
      <c r="AA749" t="s">
        <v>705</v>
      </c>
      <c r="AF749" t="s">
        <v>623</v>
      </c>
      <c r="AM749" t="str">
        <f t="shared" si="87"/>
        <v>Pass</v>
      </c>
      <c r="AN749" t="str">
        <f t="shared" si="88"/>
        <v>Pass_Missed</v>
      </c>
      <c r="AP749" t="str">
        <f t="shared" si="86"/>
        <v>Offensive</v>
      </c>
      <c r="BB749" s="23"/>
      <c r="BD749" s="21"/>
      <c r="BE749" s="21"/>
      <c r="BF749" s="21"/>
      <c r="BG749" s="21"/>
      <c r="BH749" s="21"/>
      <c r="BI749" s="21"/>
    </row>
    <row r="750" spans="1:61" x14ac:dyDescent="0.2">
      <c r="A750">
        <v>374</v>
      </c>
      <c r="B750">
        <v>64</v>
      </c>
      <c r="C750">
        <f t="shared" si="83"/>
        <v>9064</v>
      </c>
      <c r="D750">
        <f t="shared" si="89"/>
        <v>9064</v>
      </c>
      <c r="H750">
        <f t="shared" si="85"/>
        <v>1</v>
      </c>
      <c r="R750">
        <v>14</v>
      </c>
      <c r="S750">
        <v>1</v>
      </c>
      <c r="T750" t="str">
        <f t="shared" si="84"/>
        <v>e</v>
      </c>
      <c r="AM750" t="str">
        <f t="shared" si="87"/>
        <v>Pass</v>
      </c>
      <c r="AN750" t="str">
        <f t="shared" si="88"/>
        <v>Pass_Missed</v>
      </c>
      <c r="AP750" t="str">
        <f t="shared" si="86"/>
        <v>Offensive</v>
      </c>
      <c r="BB750" s="23"/>
      <c r="BD750" s="21"/>
      <c r="BE750" s="21"/>
      <c r="BF750" s="21"/>
      <c r="BG750" s="21"/>
      <c r="BH750" s="21"/>
      <c r="BI750" s="21"/>
    </row>
    <row r="751" spans="1:61" x14ac:dyDescent="0.2">
      <c r="A751">
        <v>375</v>
      </c>
      <c r="B751">
        <v>64</v>
      </c>
      <c r="C751">
        <f t="shared" si="83"/>
        <v>9064</v>
      </c>
      <c r="D751">
        <f t="shared" si="89"/>
        <v>9064</v>
      </c>
      <c r="H751">
        <f t="shared" si="85"/>
        <v>1</v>
      </c>
      <c r="I751" s="5" t="s">
        <v>895</v>
      </c>
      <c r="J751" s="5" t="s">
        <v>682</v>
      </c>
      <c r="Q751" t="s">
        <v>620</v>
      </c>
      <c r="R751">
        <v>91</v>
      </c>
      <c r="S751">
        <v>1</v>
      </c>
      <c r="T751" t="str">
        <f t="shared" si="84"/>
        <v>e</v>
      </c>
      <c r="U751" t="s">
        <v>257</v>
      </c>
      <c r="V751" t="s">
        <v>201</v>
      </c>
      <c r="W751" t="s">
        <v>409</v>
      </c>
      <c r="AF751" t="s">
        <v>623</v>
      </c>
      <c r="AM751" t="str">
        <f t="shared" si="87"/>
        <v>Zone_Entry_Exit</v>
      </c>
      <c r="AN751" t="str">
        <f t="shared" si="88"/>
        <v>Zone_Exit</v>
      </c>
      <c r="AP751" t="str">
        <f t="shared" si="86"/>
        <v>Offensive</v>
      </c>
      <c r="BB751" s="23"/>
      <c r="BD751" s="21"/>
      <c r="BE751" s="21"/>
      <c r="BF751" s="21"/>
      <c r="BG751" s="21"/>
      <c r="BH751" s="21"/>
      <c r="BI751" s="21"/>
    </row>
    <row r="752" spans="1:61" x14ac:dyDescent="0.2">
      <c r="A752">
        <v>375</v>
      </c>
      <c r="B752">
        <v>64</v>
      </c>
      <c r="C752">
        <f t="shared" si="83"/>
        <v>9064</v>
      </c>
      <c r="D752">
        <f t="shared" si="89"/>
        <v>9064</v>
      </c>
      <c r="H752">
        <f t="shared" si="85"/>
        <v>1</v>
      </c>
      <c r="R752">
        <v>14</v>
      </c>
      <c r="S752">
        <v>1</v>
      </c>
      <c r="T752" t="str">
        <f t="shared" si="84"/>
        <v>e</v>
      </c>
      <c r="AM752" t="str">
        <f t="shared" si="87"/>
        <v>Zone_Entry_Exit</v>
      </c>
      <c r="AN752" t="str">
        <f t="shared" si="88"/>
        <v>Zone_Exit</v>
      </c>
      <c r="AP752" t="str">
        <f t="shared" si="86"/>
        <v>Offensive</v>
      </c>
      <c r="BB752" s="23"/>
      <c r="BD752" s="21"/>
      <c r="BE752" s="21"/>
      <c r="BF752" s="21"/>
      <c r="BG752" s="21"/>
      <c r="BH752" s="21"/>
      <c r="BI752" s="21"/>
    </row>
    <row r="753" spans="1:61" x14ac:dyDescent="0.2">
      <c r="A753">
        <v>376</v>
      </c>
      <c r="B753">
        <v>64</v>
      </c>
      <c r="C753">
        <f t="shared" si="83"/>
        <v>9064</v>
      </c>
      <c r="D753">
        <f t="shared" si="89"/>
        <v>9064</v>
      </c>
      <c r="H753">
        <f t="shared" si="85"/>
        <v>1</v>
      </c>
      <c r="I753" s="5" t="s">
        <v>895</v>
      </c>
      <c r="J753" s="5" t="s">
        <v>682</v>
      </c>
      <c r="Q753" t="s">
        <v>620</v>
      </c>
      <c r="R753">
        <v>91</v>
      </c>
      <c r="S753">
        <v>1</v>
      </c>
      <c r="T753" t="str">
        <f t="shared" si="84"/>
        <v>e</v>
      </c>
      <c r="U753" t="s">
        <v>10</v>
      </c>
      <c r="V753" t="s">
        <v>190</v>
      </c>
      <c r="W753" t="s">
        <v>416</v>
      </c>
      <c r="AF753" t="s">
        <v>623</v>
      </c>
      <c r="AM753" t="str">
        <f t="shared" si="87"/>
        <v>Turnover</v>
      </c>
      <c r="AN753" t="str">
        <f t="shared" si="88"/>
        <v>Turnover_Giveaway</v>
      </c>
      <c r="AP753" t="str">
        <f t="shared" si="86"/>
        <v>Offensive</v>
      </c>
      <c r="BB753" s="23"/>
      <c r="BD753" s="21"/>
      <c r="BE753" s="21"/>
      <c r="BF753" s="21"/>
      <c r="BG753" s="21"/>
      <c r="BH753" s="21"/>
      <c r="BI753" s="21"/>
    </row>
    <row r="754" spans="1:61" x14ac:dyDescent="0.2">
      <c r="A754">
        <v>377</v>
      </c>
      <c r="B754" t="s">
        <v>887</v>
      </c>
      <c r="C754" t="str">
        <f t="shared" si="83"/>
        <v/>
      </c>
      <c r="D754" t="str">
        <f t="shared" si="89"/>
        <v/>
      </c>
      <c r="H754">
        <f t="shared" si="85"/>
        <v>1</v>
      </c>
      <c r="I754" s="5" t="s">
        <v>895</v>
      </c>
      <c r="J754" s="5" t="s">
        <v>713</v>
      </c>
      <c r="Q754" t="s">
        <v>619</v>
      </c>
      <c r="R754">
        <v>4</v>
      </c>
      <c r="S754">
        <v>1</v>
      </c>
      <c r="T754" t="str">
        <f t="shared" si="84"/>
        <v>e</v>
      </c>
      <c r="U754" t="s">
        <v>15</v>
      </c>
      <c r="V754" t="s">
        <v>697</v>
      </c>
      <c r="X754" t="s">
        <v>706</v>
      </c>
      <c r="Y754" t="s">
        <v>712</v>
      </c>
      <c r="AA754" t="s">
        <v>706</v>
      </c>
      <c r="AF754" t="s">
        <v>635</v>
      </c>
      <c r="AM754" t="str">
        <f t="shared" si="87"/>
        <v>Possession</v>
      </c>
      <c r="AN754" t="str">
        <f t="shared" si="88"/>
        <v>PuckRetrieval</v>
      </c>
      <c r="AP754" t="str">
        <f t="shared" si="86"/>
        <v>Offensive</v>
      </c>
      <c r="BB754" s="23"/>
      <c r="BD754" s="21"/>
      <c r="BE754" s="21"/>
      <c r="BF754" s="21"/>
      <c r="BG754" s="21"/>
      <c r="BH754" s="21"/>
      <c r="BI754" s="21"/>
    </row>
    <row r="755" spans="1:61" x14ac:dyDescent="0.2">
      <c r="A755">
        <v>378</v>
      </c>
      <c r="B755" t="s">
        <v>887</v>
      </c>
      <c r="C755" t="str">
        <f t="shared" si="83"/>
        <v/>
      </c>
      <c r="D755" t="str">
        <f t="shared" si="89"/>
        <v/>
      </c>
      <c r="H755">
        <f t="shared" si="85"/>
        <v>1</v>
      </c>
      <c r="I755" s="5" t="s">
        <v>895</v>
      </c>
      <c r="J755" s="5" t="s">
        <v>716</v>
      </c>
      <c r="Q755" t="s">
        <v>619</v>
      </c>
      <c r="R755">
        <v>4</v>
      </c>
      <c r="S755">
        <v>1</v>
      </c>
      <c r="T755" t="str">
        <f t="shared" si="84"/>
        <v>e</v>
      </c>
      <c r="U755" t="s">
        <v>8</v>
      </c>
      <c r="V755" t="s">
        <v>189</v>
      </c>
      <c r="W755" t="s">
        <v>71</v>
      </c>
      <c r="X755" t="s">
        <v>706</v>
      </c>
      <c r="Y755" t="s">
        <v>814</v>
      </c>
      <c r="AA755" t="s">
        <v>706</v>
      </c>
      <c r="AF755" t="s">
        <v>635</v>
      </c>
      <c r="AJ755">
        <v>1</v>
      </c>
      <c r="AM755" t="str">
        <f t="shared" si="87"/>
        <v>Pass</v>
      </c>
      <c r="AN755" t="str">
        <f t="shared" si="88"/>
        <v>Pass_Completed</v>
      </c>
      <c r="AP755" t="str">
        <f t="shared" si="86"/>
        <v>Offensive</v>
      </c>
      <c r="BB755" s="23"/>
      <c r="BD755" s="21"/>
      <c r="BE755" s="21"/>
      <c r="BF755" s="21"/>
      <c r="BG755" s="21"/>
      <c r="BH755" s="21"/>
      <c r="BI755" s="21"/>
    </row>
    <row r="756" spans="1:61" x14ac:dyDescent="0.2">
      <c r="A756">
        <v>378</v>
      </c>
      <c r="B756" t="s">
        <v>887</v>
      </c>
      <c r="C756" t="str">
        <f t="shared" si="83"/>
        <v/>
      </c>
      <c r="D756" t="str">
        <f t="shared" si="89"/>
        <v/>
      </c>
      <c r="H756">
        <f t="shared" si="85"/>
        <v>1</v>
      </c>
      <c r="R756">
        <v>80</v>
      </c>
      <c r="S756">
        <v>1</v>
      </c>
      <c r="T756" t="str">
        <f t="shared" si="84"/>
        <v>e</v>
      </c>
      <c r="AM756" t="str">
        <f t="shared" si="87"/>
        <v>Pass</v>
      </c>
      <c r="AN756" t="str">
        <f t="shared" si="88"/>
        <v>Pass_Completed</v>
      </c>
      <c r="AP756" t="str">
        <f t="shared" si="86"/>
        <v>Offensive</v>
      </c>
      <c r="BB756" s="23"/>
      <c r="BD756" s="21"/>
      <c r="BE756" s="21"/>
      <c r="BF756" s="21"/>
      <c r="BG756" s="21"/>
      <c r="BH756" s="21"/>
      <c r="BI756" s="21"/>
    </row>
    <row r="757" spans="1:61" x14ac:dyDescent="0.2">
      <c r="A757">
        <v>378</v>
      </c>
      <c r="B757" t="s">
        <v>887</v>
      </c>
      <c r="C757" t="str">
        <f t="shared" si="83"/>
        <v/>
      </c>
      <c r="D757" t="str">
        <f t="shared" si="89"/>
        <v/>
      </c>
      <c r="H757">
        <f t="shared" si="85"/>
        <v>1</v>
      </c>
      <c r="R757">
        <v>14</v>
      </c>
      <c r="T757" t="str">
        <f t="shared" si="84"/>
        <v>o</v>
      </c>
      <c r="AJ757">
        <v>1</v>
      </c>
      <c r="AM757" t="str">
        <f t="shared" si="87"/>
        <v>Pass</v>
      </c>
      <c r="AN757" t="str">
        <f t="shared" si="88"/>
        <v>Pass_Completed</v>
      </c>
      <c r="AP757" t="str">
        <f t="shared" si="86"/>
        <v>Defensive</v>
      </c>
      <c r="BB757" s="23"/>
      <c r="BD757" s="21"/>
      <c r="BE757" s="21"/>
      <c r="BF757" s="21"/>
      <c r="BG757" s="21"/>
      <c r="BH757" s="21"/>
      <c r="BI757" s="21"/>
    </row>
    <row r="758" spans="1:61" x14ac:dyDescent="0.2">
      <c r="A758">
        <v>379</v>
      </c>
      <c r="B758">
        <v>65</v>
      </c>
      <c r="C758">
        <f t="shared" si="83"/>
        <v>9065</v>
      </c>
      <c r="D758">
        <f t="shared" si="89"/>
        <v>9065</v>
      </c>
      <c r="H758">
        <f t="shared" si="85"/>
        <v>1</v>
      </c>
      <c r="I758" s="5" t="s">
        <v>895</v>
      </c>
      <c r="J758" s="5" t="s">
        <v>811</v>
      </c>
      <c r="Q758" t="s">
        <v>619</v>
      </c>
      <c r="R758">
        <v>80</v>
      </c>
      <c r="S758">
        <v>1</v>
      </c>
      <c r="T758" t="str">
        <f t="shared" si="84"/>
        <v>e</v>
      </c>
      <c r="U758" t="s">
        <v>257</v>
      </c>
      <c r="V758" t="s">
        <v>191</v>
      </c>
      <c r="W758" t="s">
        <v>89</v>
      </c>
      <c r="AF758" t="s">
        <v>401</v>
      </c>
      <c r="AM758" t="str">
        <f t="shared" si="87"/>
        <v>Zone_Entry_Exit</v>
      </c>
      <c r="AN758" t="str">
        <f t="shared" si="88"/>
        <v>Zone_Entry</v>
      </c>
      <c r="AP758" t="str">
        <f t="shared" si="86"/>
        <v>Offensive</v>
      </c>
      <c r="BB758" s="23"/>
      <c r="BD758" s="21"/>
      <c r="BE758" s="21"/>
      <c r="BF758" s="21"/>
      <c r="BG758" s="21"/>
      <c r="BH758" s="21"/>
      <c r="BI758" s="21"/>
    </row>
    <row r="759" spans="1:61" x14ac:dyDescent="0.2">
      <c r="A759">
        <v>379</v>
      </c>
      <c r="B759">
        <v>65</v>
      </c>
      <c r="C759">
        <f t="shared" si="83"/>
        <v>9065</v>
      </c>
      <c r="D759">
        <f t="shared" si="89"/>
        <v>9065</v>
      </c>
      <c r="H759">
        <f t="shared" si="85"/>
        <v>1</v>
      </c>
      <c r="R759">
        <v>91</v>
      </c>
      <c r="T759" t="str">
        <f t="shared" si="84"/>
        <v>o</v>
      </c>
      <c r="AM759" t="str">
        <f t="shared" si="87"/>
        <v>Zone_Entry_Exit</v>
      </c>
      <c r="AN759" t="str">
        <f t="shared" si="88"/>
        <v>Zone_Entry</v>
      </c>
      <c r="AP759" t="str">
        <f t="shared" si="86"/>
        <v>Defensive</v>
      </c>
      <c r="BB759" s="23"/>
      <c r="BD759" s="21"/>
      <c r="BE759" s="21"/>
      <c r="BF759" s="21"/>
      <c r="BG759" s="21"/>
      <c r="BH759" s="21"/>
      <c r="BI759" s="21"/>
    </row>
    <row r="760" spans="1:61" x14ac:dyDescent="0.2">
      <c r="A760">
        <v>380</v>
      </c>
      <c r="B760">
        <v>65</v>
      </c>
      <c r="C760">
        <f t="shared" si="83"/>
        <v>9065</v>
      </c>
      <c r="D760">
        <f t="shared" si="89"/>
        <v>9065</v>
      </c>
      <c r="H760">
        <f t="shared" si="85"/>
        <v>1</v>
      </c>
      <c r="I760" s="5" t="s">
        <v>895</v>
      </c>
      <c r="J760" s="5" t="s">
        <v>811</v>
      </c>
      <c r="Q760" t="s">
        <v>619</v>
      </c>
      <c r="R760">
        <v>80</v>
      </c>
      <c r="S760">
        <v>1</v>
      </c>
      <c r="T760" t="str">
        <f t="shared" si="84"/>
        <v>e</v>
      </c>
      <c r="U760" t="s">
        <v>10</v>
      </c>
      <c r="V760" t="s">
        <v>190</v>
      </c>
      <c r="W760" t="s">
        <v>387</v>
      </c>
      <c r="AF760" t="s">
        <v>401</v>
      </c>
      <c r="AM760" t="str">
        <f t="shared" si="87"/>
        <v>Turnover</v>
      </c>
      <c r="AN760" t="str">
        <f t="shared" si="88"/>
        <v>Turnover_Giveaway</v>
      </c>
      <c r="AP760" t="str">
        <f t="shared" si="86"/>
        <v>Offensive</v>
      </c>
      <c r="BB760" s="23"/>
      <c r="BD760" s="21"/>
      <c r="BE760" s="21"/>
      <c r="BF760" s="21"/>
      <c r="BG760" s="21"/>
      <c r="BH760" s="21"/>
      <c r="BI760" s="21"/>
    </row>
    <row r="761" spans="1:61" x14ac:dyDescent="0.2">
      <c r="A761">
        <v>381</v>
      </c>
      <c r="B761" t="s">
        <v>887</v>
      </c>
      <c r="C761" t="str">
        <f t="shared" si="83"/>
        <v/>
      </c>
      <c r="D761" t="str">
        <f t="shared" si="89"/>
        <v/>
      </c>
      <c r="H761">
        <f t="shared" si="85"/>
        <v>1</v>
      </c>
      <c r="I761" s="5" t="s">
        <v>895</v>
      </c>
      <c r="J761" s="5" t="s">
        <v>778</v>
      </c>
      <c r="Q761" t="s">
        <v>620</v>
      </c>
      <c r="R761">
        <v>9</v>
      </c>
      <c r="S761">
        <v>1</v>
      </c>
      <c r="T761" t="str">
        <f t="shared" si="84"/>
        <v>e</v>
      </c>
      <c r="U761" t="s">
        <v>15</v>
      </c>
      <c r="V761" t="s">
        <v>697</v>
      </c>
      <c r="X761" t="s">
        <v>706</v>
      </c>
      <c r="Y761" t="s">
        <v>720</v>
      </c>
      <c r="AA761" t="s">
        <v>706</v>
      </c>
      <c r="AF761" t="s">
        <v>623</v>
      </c>
      <c r="AM761" t="str">
        <f t="shared" si="87"/>
        <v>Possession</v>
      </c>
      <c r="AN761" t="str">
        <f t="shared" si="88"/>
        <v>PuckRetrieval</v>
      </c>
      <c r="AP761" t="str">
        <f t="shared" si="86"/>
        <v>Offensive</v>
      </c>
      <c r="BB761" s="23"/>
      <c r="BD761" s="21"/>
      <c r="BE761" s="21"/>
      <c r="BF761" s="21"/>
      <c r="BG761" s="21"/>
      <c r="BH761" s="21"/>
      <c r="BI761" s="21"/>
    </row>
    <row r="762" spans="1:61" x14ac:dyDescent="0.2">
      <c r="A762">
        <v>382</v>
      </c>
      <c r="B762" t="s">
        <v>887</v>
      </c>
      <c r="C762" t="str">
        <f t="shared" si="83"/>
        <v/>
      </c>
      <c r="D762" t="str">
        <f t="shared" si="89"/>
        <v/>
      </c>
      <c r="H762">
        <f t="shared" si="85"/>
        <v>1</v>
      </c>
      <c r="I762" s="5" t="s">
        <v>895</v>
      </c>
      <c r="J762" s="5" t="s">
        <v>719</v>
      </c>
      <c r="K762" s="5" t="s">
        <v>895</v>
      </c>
      <c r="L762" s="7" t="s">
        <v>779</v>
      </c>
      <c r="Q762" t="s">
        <v>620</v>
      </c>
      <c r="R762">
        <v>9</v>
      </c>
      <c r="S762">
        <v>1</v>
      </c>
      <c r="T762" t="str">
        <f t="shared" si="84"/>
        <v>e</v>
      </c>
      <c r="U762" t="s">
        <v>257</v>
      </c>
      <c r="V762" t="s">
        <v>201</v>
      </c>
      <c r="W762" t="s">
        <v>90</v>
      </c>
      <c r="X762" t="s">
        <v>706</v>
      </c>
      <c r="Y762" t="s">
        <v>767</v>
      </c>
      <c r="AA762" t="s">
        <v>706</v>
      </c>
      <c r="AF762" t="s">
        <v>623</v>
      </c>
      <c r="AJ762">
        <v>1</v>
      </c>
      <c r="AM762" t="str">
        <f t="shared" si="87"/>
        <v>Zone_Entry_Exit</v>
      </c>
      <c r="AN762" t="str">
        <f t="shared" si="88"/>
        <v>Zone_Exit</v>
      </c>
      <c r="AP762" t="str">
        <f t="shared" si="86"/>
        <v>Offensive</v>
      </c>
      <c r="BB762" s="23"/>
      <c r="BD762" s="21"/>
      <c r="BE762" s="21"/>
      <c r="BF762" s="21"/>
      <c r="BG762" s="21"/>
      <c r="BH762" s="21"/>
      <c r="BI762" s="21"/>
    </row>
    <row r="763" spans="1:61" x14ac:dyDescent="0.2">
      <c r="A763">
        <v>382</v>
      </c>
      <c r="B763" t="s">
        <v>887</v>
      </c>
      <c r="C763" t="str">
        <f t="shared" si="83"/>
        <v/>
      </c>
      <c r="D763" t="str">
        <f t="shared" si="89"/>
        <v/>
      </c>
      <c r="H763">
        <f t="shared" si="85"/>
        <v>1</v>
      </c>
      <c r="R763">
        <v>89</v>
      </c>
      <c r="T763" t="str">
        <f t="shared" si="84"/>
        <v>o</v>
      </c>
      <c r="Y763" t="s">
        <v>714</v>
      </c>
      <c r="AA763" t="s">
        <v>705</v>
      </c>
      <c r="AF763" t="s">
        <v>623</v>
      </c>
      <c r="AJ763">
        <v>1</v>
      </c>
      <c r="AM763" t="str">
        <f t="shared" si="87"/>
        <v>Zone_Entry_Exit</v>
      </c>
      <c r="AN763" t="str">
        <f t="shared" si="88"/>
        <v>Zone_Exit</v>
      </c>
      <c r="AP763" t="str">
        <f t="shared" si="86"/>
        <v>Defensive</v>
      </c>
      <c r="BB763" s="23"/>
      <c r="BD763" s="21"/>
      <c r="BE763" s="21"/>
      <c r="BF763" s="21"/>
      <c r="BG763" s="21"/>
      <c r="BH763" s="21"/>
      <c r="BI763" s="21"/>
    </row>
    <row r="764" spans="1:61" x14ac:dyDescent="0.2">
      <c r="A764">
        <v>383</v>
      </c>
      <c r="B764" t="s">
        <v>887</v>
      </c>
      <c r="C764" t="str">
        <f t="shared" si="83"/>
        <v/>
      </c>
      <c r="D764" t="str">
        <f t="shared" si="89"/>
        <v/>
      </c>
      <c r="H764">
        <f t="shared" si="85"/>
        <v>1</v>
      </c>
      <c r="I764" s="5" t="s">
        <v>895</v>
      </c>
      <c r="J764" s="5" t="s">
        <v>779</v>
      </c>
      <c r="K764" s="5" t="s">
        <v>895</v>
      </c>
      <c r="L764" s="7" t="s">
        <v>724</v>
      </c>
      <c r="Q764" t="s">
        <v>620</v>
      </c>
      <c r="R764">
        <v>9</v>
      </c>
      <c r="S764">
        <v>1</v>
      </c>
      <c r="T764" t="str">
        <f t="shared" si="84"/>
        <v>e</v>
      </c>
      <c r="U764" t="s">
        <v>15</v>
      </c>
      <c r="Y764" t="s">
        <v>767</v>
      </c>
      <c r="AA764" t="s">
        <v>706</v>
      </c>
      <c r="AF764" t="s">
        <v>635</v>
      </c>
      <c r="AJ764">
        <v>1</v>
      </c>
      <c r="AM764" t="str">
        <f t="shared" si="87"/>
        <v>Possession</v>
      </c>
      <c r="AN764" t="str">
        <f t="shared" si="88"/>
        <v/>
      </c>
      <c r="AP764" t="str">
        <f t="shared" si="86"/>
        <v>Offensive</v>
      </c>
      <c r="BB764" s="23"/>
      <c r="BD764" s="21"/>
      <c r="BE764" s="21"/>
      <c r="BF764" s="21"/>
      <c r="BG764" s="21"/>
      <c r="BH764" s="21"/>
      <c r="BI764" s="21"/>
    </row>
    <row r="765" spans="1:61" x14ac:dyDescent="0.2">
      <c r="A765">
        <v>383</v>
      </c>
      <c r="B765" t="s">
        <v>887</v>
      </c>
      <c r="C765" t="str">
        <f t="shared" si="83"/>
        <v/>
      </c>
      <c r="D765" t="str">
        <f t="shared" si="89"/>
        <v/>
      </c>
      <c r="H765">
        <f t="shared" si="85"/>
        <v>1</v>
      </c>
      <c r="R765">
        <v>91</v>
      </c>
      <c r="T765" t="str">
        <f t="shared" si="84"/>
        <v>o</v>
      </c>
      <c r="Y765" t="s">
        <v>714</v>
      </c>
      <c r="AA765" t="s">
        <v>705</v>
      </c>
      <c r="AF765" t="s">
        <v>635</v>
      </c>
      <c r="AJ765">
        <v>1</v>
      </c>
      <c r="AM765" t="str">
        <f t="shared" si="87"/>
        <v>Possession</v>
      </c>
      <c r="AN765" t="str">
        <f t="shared" si="88"/>
        <v/>
      </c>
      <c r="AP765" t="str">
        <f t="shared" si="86"/>
        <v>Defensive</v>
      </c>
      <c r="BB765" s="23"/>
      <c r="BD765" s="21"/>
      <c r="BE765" s="21"/>
      <c r="BF765" s="21"/>
      <c r="BG765" s="21"/>
      <c r="BH765" s="21"/>
      <c r="BI765" s="21"/>
    </row>
    <row r="766" spans="1:61" x14ac:dyDescent="0.2">
      <c r="A766">
        <v>384</v>
      </c>
      <c r="B766" t="s">
        <v>887</v>
      </c>
      <c r="C766" t="str">
        <f t="shared" si="83"/>
        <v/>
      </c>
      <c r="D766" t="str">
        <f t="shared" si="89"/>
        <v/>
      </c>
      <c r="H766">
        <f t="shared" si="85"/>
        <v>1</v>
      </c>
      <c r="I766" s="5" t="s">
        <v>895</v>
      </c>
      <c r="J766" s="5" t="s">
        <v>724</v>
      </c>
      <c r="K766" s="5" t="s">
        <v>895</v>
      </c>
      <c r="L766" s="7" t="s">
        <v>759</v>
      </c>
      <c r="Q766" t="s">
        <v>620</v>
      </c>
      <c r="R766">
        <v>9</v>
      </c>
      <c r="S766">
        <v>1</v>
      </c>
      <c r="T766" t="str">
        <f t="shared" si="84"/>
        <v>e</v>
      </c>
      <c r="U766" t="s">
        <v>257</v>
      </c>
      <c r="V766" t="s">
        <v>191</v>
      </c>
      <c r="W766" t="s">
        <v>87</v>
      </c>
      <c r="X766" t="s">
        <v>706</v>
      </c>
      <c r="Y766" t="s">
        <v>728</v>
      </c>
      <c r="AF766" t="s">
        <v>401</v>
      </c>
      <c r="AJ766">
        <v>1</v>
      </c>
      <c r="AM766" t="str">
        <f t="shared" si="87"/>
        <v>Zone_Entry_Exit</v>
      </c>
      <c r="AN766" t="str">
        <f t="shared" si="88"/>
        <v>Zone_Entry</v>
      </c>
      <c r="AP766" t="str">
        <f t="shared" si="86"/>
        <v>Offensive</v>
      </c>
      <c r="BB766" s="23"/>
      <c r="BD766" s="21"/>
      <c r="BE766" s="21"/>
      <c r="BF766" s="21"/>
      <c r="BG766" s="21"/>
      <c r="BH766" s="21"/>
      <c r="BI766" s="21"/>
    </row>
    <row r="767" spans="1:61" x14ac:dyDescent="0.2">
      <c r="A767">
        <v>384</v>
      </c>
      <c r="B767" t="s">
        <v>887</v>
      </c>
      <c r="C767" t="str">
        <f t="shared" si="83"/>
        <v/>
      </c>
      <c r="D767" t="str">
        <f t="shared" si="89"/>
        <v/>
      </c>
      <c r="H767">
        <f t="shared" si="85"/>
        <v>1</v>
      </c>
      <c r="R767">
        <v>14</v>
      </c>
      <c r="S767">
        <v>1</v>
      </c>
      <c r="T767" t="str">
        <f t="shared" si="84"/>
        <v>e</v>
      </c>
      <c r="AF767" t="s">
        <v>401</v>
      </c>
      <c r="AM767" t="str">
        <f t="shared" si="87"/>
        <v>Zone_Entry_Exit</v>
      </c>
      <c r="AN767" t="str">
        <f t="shared" si="88"/>
        <v>Zone_Entry</v>
      </c>
      <c r="AP767" t="str">
        <f t="shared" si="86"/>
        <v>Offensive</v>
      </c>
      <c r="BB767" s="23"/>
      <c r="BD767" s="21"/>
      <c r="BE767" s="21"/>
      <c r="BF767" s="21"/>
      <c r="BG767" s="21"/>
      <c r="BH767" s="21"/>
      <c r="BI767" s="21"/>
    </row>
    <row r="768" spans="1:61" x14ac:dyDescent="0.2">
      <c r="A768">
        <v>384</v>
      </c>
      <c r="B768" t="s">
        <v>887</v>
      </c>
      <c r="C768" t="str">
        <f t="shared" si="83"/>
        <v/>
      </c>
      <c r="D768" t="str">
        <f t="shared" si="89"/>
        <v/>
      </c>
      <c r="H768">
        <f t="shared" si="85"/>
        <v>1</v>
      </c>
      <c r="R768">
        <v>4</v>
      </c>
      <c r="T768" t="str">
        <f t="shared" si="84"/>
        <v>o</v>
      </c>
      <c r="Y768" t="s">
        <v>729</v>
      </c>
      <c r="AA768" t="s">
        <v>706</v>
      </c>
      <c r="AF768" t="s">
        <v>401</v>
      </c>
      <c r="AJ768">
        <v>1</v>
      </c>
      <c r="AM768" t="str">
        <f t="shared" si="87"/>
        <v>Zone_Entry_Exit</v>
      </c>
      <c r="AN768" t="str">
        <f t="shared" si="88"/>
        <v>Zone_Entry</v>
      </c>
      <c r="AP768" t="str">
        <f t="shared" si="86"/>
        <v>Defensive</v>
      </c>
      <c r="BB768" s="23"/>
      <c r="BD768" s="21"/>
      <c r="BE768" s="21"/>
      <c r="BF768" s="21"/>
      <c r="BG768" s="21"/>
      <c r="BH768" s="21"/>
      <c r="BI768" s="21"/>
    </row>
    <row r="769" spans="1:61" x14ac:dyDescent="0.2">
      <c r="A769">
        <v>384</v>
      </c>
      <c r="B769" t="s">
        <v>887</v>
      </c>
      <c r="C769" t="str">
        <f t="shared" si="83"/>
        <v/>
      </c>
      <c r="D769" t="str">
        <f t="shared" si="89"/>
        <v/>
      </c>
      <c r="H769">
        <f t="shared" si="85"/>
        <v>1</v>
      </c>
      <c r="R769">
        <v>25</v>
      </c>
      <c r="T769" t="str">
        <f t="shared" si="84"/>
        <v>o</v>
      </c>
      <c r="AF769" t="s">
        <v>401</v>
      </c>
      <c r="AM769" t="str">
        <f t="shared" si="87"/>
        <v>Zone_Entry_Exit</v>
      </c>
      <c r="AN769" t="str">
        <f t="shared" si="88"/>
        <v>Zone_Entry</v>
      </c>
      <c r="AP769" t="str">
        <f t="shared" si="86"/>
        <v>Defensive</v>
      </c>
      <c r="BB769" s="23"/>
      <c r="BD769" s="21"/>
      <c r="BE769" s="21"/>
      <c r="BF769" s="21"/>
      <c r="BG769" s="21"/>
      <c r="BH769" s="21"/>
      <c r="BI769" s="21"/>
    </row>
    <row r="770" spans="1:61" x14ac:dyDescent="0.2">
      <c r="A770">
        <v>385</v>
      </c>
      <c r="B770" t="s">
        <v>887</v>
      </c>
      <c r="C770" t="str">
        <f t="shared" si="83"/>
        <v/>
      </c>
      <c r="D770" t="str">
        <f t="shared" si="89"/>
        <v/>
      </c>
      <c r="H770">
        <f t="shared" si="85"/>
        <v>1</v>
      </c>
      <c r="I770" s="5" t="s">
        <v>895</v>
      </c>
      <c r="J770" s="5" t="s">
        <v>759</v>
      </c>
      <c r="Q770" t="s">
        <v>619</v>
      </c>
      <c r="R770">
        <v>4</v>
      </c>
      <c r="S770">
        <v>1</v>
      </c>
      <c r="T770" t="str">
        <f t="shared" si="84"/>
        <v>e</v>
      </c>
      <c r="U770" t="s">
        <v>10</v>
      </c>
      <c r="V770" t="s">
        <v>200</v>
      </c>
      <c r="W770" t="s">
        <v>82</v>
      </c>
      <c r="Y770" t="s">
        <v>714</v>
      </c>
      <c r="AA770" t="s">
        <v>706</v>
      </c>
      <c r="AF770" t="s">
        <v>623</v>
      </c>
      <c r="AJ770">
        <v>1</v>
      </c>
      <c r="AM770" t="str">
        <f t="shared" si="87"/>
        <v>Turnover</v>
      </c>
      <c r="AN770" t="str">
        <f t="shared" si="88"/>
        <v>Turnover_Takeaway</v>
      </c>
      <c r="AP770" t="str">
        <f t="shared" si="86"/>
        <v>Defensive</v>
      </c>
      <c r="BB770" s="23"/>
      <c r="BD770" s="21"/>
      <c r="BE770" s="21"/>
      <c r="BF770" s="21"/>
      <c r="BG770" s="21"/>
      <c r="BH770" s="21"/>
      <c r="BI770" s="21"/>
    </row>
    <row r="771" spans="1:61" x14ac:dyDescent="0.2">
      <c r="A771">
        <v>385</v>
      </c>
      <c r="B771" t="s">
        <v>887</v>
      </c>
      <c r="C771" t="str">
        <f t="shared" ref="C771:C835" si="90">IF(B771&lt;&gt;"",9000+B771,"")</f>
        <v/>
      </c>
      <c r="D771" t="str">
        <f t="shared" si="89"/>
        <v/>
      </c>
      <c r="H771">
        <f t="shared" si="85"/>
        <v>1</v>
      </c>
      <c r="R771">
        <v>9</v>
      </c>
      <c r="T771" t="str">
        <f t="shared" ref="T771:T834" si="91">IF(S771="x","",IF(S771=1,"e","o"))</f>
        <v>o</v>
      </c>
      <c r="Y771" t="s">
        <v>728</v>
      </c>
      <c r="AA771" t="s">
        <v>705</v>
      </c>
      <c r="AF771" t="s">
        <v>623</v>
      </c>
      <c r="AJ771">
        <v>1</v>
      </c>
      <c r="AM771" t="str">
        <f t="shared" si="87"/>
        <v>Turnover</v>
      </c>
      <c r="AN771" t="str">
        <f t="shared" si="88"/>
        <v>Turnover_Takeaway</v>
      </c>
      <c r="AP771" t="str">
        <f t="shared" si="86"/>
        <v>Offensive</v>
      </c>
      <c r="BB771" s="23"/>
      <c r="BD771" s="21"/>
      <c r="BE771" s="21"/>
      <c r="BF771" s="21"/>
      <c r="BG771" s="21"/>
      <c r="BH771" s="21"/>
      <c r="BI771" s="21"/>
    </row>
    <row r="772" spans="1:61" x14ac:dyDescent="0.2">
      <c r="A772">
        <v>386</v>
      </c>
      <c r="B772" t="s">
        <v>887</v>
      </c>
      <c r="C772" t="str">
        <f t="shared" si="90"/>
        <v/>
      </c>
      <c r="D772" t="str">
        <f t="shared" si="89"/>
        <v/>
      </c>
      <c r="H772">
        <f t="shared" ref="H772:H836" si="92">IF(U772="Intermission",H771+1,H771)</f>
        <v>1</v>
      </c>
      <c r="I772" s="5" t="s">
        <v>895</v>
      </c>
      <c r="J772" s="5" t="s">
        <v>813</v>
      </c>
      <c r="Q772" t="s">
        <v>619</v>
      </c>
      <c r="R772">
        <v>91</v>
      </c>
      <c r="S772">
        <v>1</v>
      </c>
      <c r="T772" t="str">
        <f t="shared" si="91"/>
        <v>e</v>
      </c>
      <c r="U772" t="s">
        <v>15</v>
      </c>
      <c r="V772" t="s">
        <v>697</v>
      </c>
      <c r="X772" t="s">
        <v>705</v>
      </c>
      <c r="Y772" t="s">
        <v>712</v>
      </c>
      <c r="Z772" t="s">
        <v>803</v>
      </c>
      <c r="AA772" t="s">
        <v>705</v>
      </c>
      <c r="AF772" t="s">
        <v>623</v>
      </c>
      <c r="AM772" t="str">
        <f t="shared" si="87"/>
        <v>Possession</v>
      </c>
      <c r="AN772" t="str">
        <f t="shared" si="88"/>
        <v>PuckRetrieval</v>
      </c>
      <c r="AP772" t="str">
        <f t="shared" si="86"/>
        <v>Offensive</v>
      </c>
      <c r="BB772" s="23"/>
      <c r="BD772" s="21"/>
      <c r="BE772" s="21"/>
      <c r="BF772" s="21"/>
      <c r="BG772" s="21"/>
      <c r="BH772" s="21"/>
      <c r="BI772" s="21"/>
    </row>
    <row r="773" spans="1:61" x14ac:dyDescent="0.2">
      <c r="A773">
        <v>387</v>
      </c>
      <c r="B773" t="s">
        <v>887</v>
      </c>
      <c r="C773" t="str">
        <f t="shared" si="90"/>
        <v/>
      </c>
      <c r="D773" t="str">
        <f t="shared" si="89"/>
        <v/>
      </c>
      <c r="H773">
        <f t="shared" si="92"/>
        <v>1</v>
      </c>
      <c r="I773" s="5" t="s">
        <v>895</v>
      </c>
      <c r="J773" s="5" t="s">
        <v>760</v>
      </c>
      <c r="Q773" t="s">
        <v>619</v>
      </c>
      <c r="R773">
        <v>91</v>
      </c>
      <c r="S773">
        <v>1</v>
      </c>
      <c r="T773" t="str">
        <f t="shared" si="91"/>
        <v>e</v>
      </c>
      <c r="U773" t="s">
        <v>10</v>
      </c>
      <c r="V773" t="s">
        <v>190</v>
      </c>
      <c r="W773" t="s">
        <v>73</v>
      </c>
      <c r="AF773" t="s">
        <v>401</v>
      </c>
      <c r="AJ773">
        <v>1</v>
      </c>
      <c r="AM773" t="str">
        <f t="shared" si="87"/>
        <v>Turnover</v>
      </c>
      <c r="AN773" t="str">
        <f t="shared" si="88"/>
        <v>Turnover_Giveaway</v>
      </c>
      <c r="AP773" t="str">
        <f t="shared" ref="AP773:AP837" si="93">IF(AND(T773="e",OR(AM773="Save",AN773="Turnover_Takeaway",AN773="Play_Defensive")),"Defensive",IF(AND(T773="o",OR(AM773="Save",AN773="Turnover_Takeaway",AN773="Play_Defensive")),"Offensive",IF(OR(AM773="Deadice",AM773="Stoppage",AM773="Intermission"),"",IF(T773="e","Offensive",IF(T773="o","Defensive","")))))</f>
        <v>Offensive</v>
      </c>
      <c r="BB773" s="23"/>
      <c r="BD773" s="21"/>
      <c r="BE773" s="21"/>
      <c r="BF773" s="21"/>
      <c r="BG773" s="21"/>
      <c r="BH773" s="21"/>
      <c r="BI773" s="21"/>
    </row>
    <row r="774" spans="1:61" x14ac:dyDescent="0.2">
      <c r="A774">
        <v>387</v>
      </c>
      <c r="B774" t="s">
        <v>887</v>
      </c>
      <c r="C774" t="str">
        <f t="shared" si="90"/>
        <v/>
      </c>
      <c r="D774" t="str">
        <f t="shared" si="89"/>
        <v/>
      </c>
      <c r="H774">
        <f t="shared" si="92"/>
        <v>1</v>
      </c>
      <c r="R774">
        <v>61</v>
      </c>
      <c r="T774" t="str">
        <f t="shared" si="91"/>
        <v>o</v>
      </c>
      <c r="Y774" t="s">
        <v>714</v>
      </c>
      <c r="AA774" t="s">
        <v>706</v>
      </c>
      <c r="AF774" t="s">
        <v>401</v>
      </c>
      <c r="AJ774">
        <v>1</v>
      </c>
      <c r="AM774" t="str">
        <f t="shared" si="87"/>
        <v>Turnover</v>
      </c>
      <c r="AN774" t="str">
        <f t="shared" si="88"/>
        <v>Turnover_Giveaway</v>
      </c>
      <c r="AP774" t="str">
        <f t="shared" si="93"/>
        <v>Defensive</v>
      </c>
      <c r="BB774" s="23"/>
      <c r="BD774" s="21"/>
      <c r="BE774" s="21"/>
      <c r="BF774" s="21"/>
      <c r="BG774" s="21"/>
      <c r="BH774" s="21"/>
      <c r="BI774" s="21"/>
    </row>
    <row r="775" spans="1:61" x14ac:dyDescent="0.2">
      <c r="A775">
        <v>388</v>
      </c>
      <c r="B775" t="s">
        <v>887</v>
      </c>
      <c r="C775" t="str">
        <f t="shared" si="90"/>
        <v/>
      </c>
      <c r="D775" t="str">
        <f t="shared" si="89"/>
        <v/>
      </c>
      <c r="H775">
        <f t="shared" si="92"/>
        <v>1</v>
      </c>
      <c r="I775" s="5" t="s">
        <v>895</v>
      </c>
      <c r="J775" s="5" t="s">
        <v>731</v>
      </c>
      <c r="Q775" t="s">
        <v>619</v>
      </c>
      <c r="R775">
        <v>91</v>
      </c>
      <c r="S775">
        <v>1</v>
      </c>
      <c r="T775" t="str">
        <f t="shared" si="91"/>
        <v>e</v>
      </c>
      <c r="U775" t="s">
        <v>10</v>
      </c>
      <c r="V775" t="s">
        <v>200</v>
      </c>
      <c r="W775" t="s">
        <v>81</v>
      </c>
      <c r="Y775" t="s">
        <v>774</v>
      </c>
      <c r="AA775" t="s">
        <v>706</v>
      </c>
      <c r="AF775" t="s">
        <v>623</v>
      </c>
      <c r="AJ775">
        <v>1</v>
      </c>
      <c r="AM775" t="str">
        <f t="shared" ref="AM775:AM782" si="94">IF(U775&lt;&gt;"",U775,IF($A775=$A774,AM774,""))</f>
        <v>Turnover</v>
      </c>
      <c r="AN775" t="str">
        <f t="shared" ref="AN775:AN782" si="95">IF(V775&lt;&gt;"",V775,IF($A775=$A774,AN774,""))</f>
        <v>Turnover_Takeaway</v>
      </c>
      <c r="AP775" t="str">
        <f t="shared" si="93"/>
        <v>Defensive</v>
      </c>
      <c r="BB775" s="23"/>
      <c r="BD775" s="21"/>
      <c r="BE775" s="21"/>
      <c r="BF775" s="21"/>
      <c r="BG775" s="21"/>
      <c r="BH775" s="21"/>
      <c r="BI775" s="21"/>
    </row>
    <row r="776" spans="1:61" x14ac:dyDescent="0.2">
      <c r="A776">
        <v>388</v>
      </c>
      <c r="B776" t="s">
        <v>887</v>
      </c>
      <c r="C776" t="str">
        <f t="shared" si="90"/>
        <v/>
      </c>
      <c r="D776" t="str">
        <f t="shared" ref="D776:D840" si="96">IF(C776&lt;&gt;"",C776,B776)</f>
        <v/>
      </c>
      <c r="H776">
        <f t="shared" si="92"/>
        <v>1</v>
      </c>
      <c r="R776">
        <v>61</v>
      </c>
      <c r="T776" t="str">
        <f t="shared" si="91"/>
        <v>o</v>
      </c>
      <c r="AJ776">
        <v>1</v>
      </c>
      <c r="AM776" t="str">
        <f t="shared" si="94"/>
        <v>Turnover</v>
      </c>
      <c r="AN776" t="str">
        <f t="shared" si="95"/>
        <v>Turnover_Takeaway</v>
      </c>
      <c r="AP776" t="str">
        <f t="shared" si="93"/>
        <v>Offensive</v>
      </c>
      <c r="BB776" s="23"/>
      <c r="BD776" s="21"/>
      <c r="BE776" s="21"/>
      <c r="BF776" s="21"/>
      <c r="BG776" s="21"/>
      <c r="BH776" s="21"/>
      <c r="BI776" s="21"/>
    </row>
    <row r="777" spans="1:61" x14ac:dyDescent="0.2">
      <c r="A777">
        <v>389</v>
      </c>
      <c r="B777" t="s">
        <v>887</v>
      </c>
      <c r="C777" t="str">
        <f t="shared" si="90"/>
        <v/>
      </c>
      <c r="D777" t="str">
        <f t="shared" si="96"/>
        <v/>
      </c>
      <c r="H777">
        <f t="shared" si="92"/>
        <v>1</v>
      </c>
      <c r="I777" s="5" t="s">
        <v>895</v>
      </c>
      <c r="J777" s="5" t="s">
        <v>782</v>
      </c>
      <c r="K777" s="5" t="s">
        <v>895</v>
      </c>
      <c r="L777" s="7" t="s">
        <v>743</v>
      </c>
      <c r="Q777" t="s">
        <v>619</v>
      </c>
      <c r="R777">
        <v>25</v>
      </c>
      <c r="S777">
        <v>1</v>
      </c>
      <c r="T777" t="str">
        <f t="shared" si="91"/>
        <v>e</v>
      </c>
      <c r="U777" t="s">
        <v>15</v>
      </c>
      <c r="V777" t="s">
        <v>697</v>
      </c>
      <c r="X777" t="s">
        <v>706</v>
      </c>
      <c r="Y777" t="s">
        <v>712</v>
      </c>
      <c r="Z777" t="s">
        <v>771</v>
      </c>
      <c r="AA777" t="s">
        <v>706</v>
      </c>
      <c r="AF777" t="s">
        <v>623</v>
      </c>
      <c r="AM777" t="str">
        <f t="shared" si="94"/>
        <v>Possession</v>
      </c>
      <c r="AN777" t="str">
        <f t="shared" si="95"/>
        <v>PuckRetrieval</v>
      </c>
      <c r="AP777" t="str">
        <f t="shared" si="93"/>
        <v>Offensive</v>
      </c>
      <c r="BB777" s="23"/>
      <c r="BD777" s="21"/>
      <c r="BE777" s="21"/>
      <c r="BF777" s="21"/>
      <c r="BG777" s="21"/>
      <c r="BH777" s="21"/>
      <c r="BI777" s="21"/>
    </row>
    <row r="778" spans="1:61" x14ac:dyDescent="0.2">
      <c r="A778">
        <v>390</v>
      </c>
      <c r="B778" t="s">
        <v>887</v>
      </c>
      <c r="C778" t="str">
        <f t="shared" si="90"/>
        <v/>
      </c>
      <c r="D778" t="str">
        <f t="shared" si="96"/>
        <v/>
      </c>
      <c r="H778">
        <f t="shared" si="92"/>
        <v>1</v>
      </c>
      <c r="I778" s="5" t="s">
        <v>895</v>
      </c>
      <c r="J778" s="5" t="s">
        <v>732</v>
      </c>
      <c r="Q778" t="s">
        <v>619</v>
      </c>
      <c r="R778">
        <v>25</v>
      </c>
      <c r="S778">
        <v>1</v>
      </c>
      <c r="T778" t="str">
        <f t="shared" si="91"/>
        <v>e</v>
      </c>
      <c r="U778" t="s">
        <v>8</v>
      </c>
      <c r="V778" t="s">
        <v>189</v>
      </c>
      <c r="W778" t="s">
        <v>71</v>
      </c>
      <c r="X778" t="s">
        <v>706</v>
      </c>
      <c r="AF778" t="s">
        <v>623</v>
      </c>
      <c r="AM778" t="str">
        <f t="shared" si="94"/>
        <v>Pass</v>
      </c>
      <c r="AN778" t="str">
        <f t="shared" si="95"/>
        <v>Pass_Completed</v>
      </c>
      <c r="AP778" t="str">
        <f t="shared" si="93"/>
        <v>Offensive</v>
      </c>
      <c r="BB778" s="23"/>
      <c r="BD778" s="21"/>
      <c r="BE778" s="21"/>
      <c r="BF778" s="21"/>
      <c r="BG778" s="21"/>
      <c r="BH778" s="21"/>
      <c r="BI778" s="21"/>
    </row>
    <row r="779" spans="1:61" x14ac:dyDescent="0.2">
      <c r="A779">
        <v>390</v>
      </c>
      <c r="B779" t="s">
        <v>887</v>
      </c>
      <c r="C779" t="str">
        <f t="shared" si="90"/>
        <v/>
      </c>
      <c r="D779" t="str">
        <f t="shared" si="96"/>
        <v/>
      </c>
      <c r="H779">
        <f t="shared" si="92"/>
        <v>1</v>
      </c>
      <c r="R779">
        <v>91</v>
      </c>
      <c r="S779">
        <v>1</v>
      </c>
      <c r="T779" t="str">
        <f t="shared" si="91"/>
        <v>e</v>
      </c>
      <c r="AM779" t="str">
        <f t="shared" si="94"/>
        <v>Pass</v>
      </c>
      <c r="AN779" t="str">
        <f t="shared" si="95"/>
        <v>Pass_Completed</v>
      </c>
      <c r="AP779" t="str">
        <f t="shared" si="93"/>
        <v>Offensive</v>
      </c>
      <c r="BB779" s="23"/>
      <c r="BD779" s="21"/>
      <c r="BE779" s="21"/>
      <c r="BF779" s="21"/>
      <c r="BG779" s="21"/>
      <c r="BH779" s="21"/>
      <c r="BI779" s="21"/>
    </row>
    <row r="780" spans="1:61" x14ac:dyDescent="0.2">
      <c r="A780">
        <v>391</v>
      </c>
      <c r="B780" t="s">
        <v>887</v>
      </c>
      <c r="C780" t="str">
        <f t="shared" si="90"/>
        <v/>
      </c>
      <c r="D780" t="str">
        <f t="shared" si="96"/>
        <v/>
      </c>
      <c r="H780">
        <f t="shared" si="92"/>
        <v>1</v>
      </c>
      <c r="I780" s="5" t="s">
        <v>895</v>
      </c>
      <c r="J780" s="5" t="s">
        <v>732</v>
      </c>
      <c r="K780" s="5" t="s">
        <v>895</v>
      </c>
      <c r="L780" s="7" t="s">
        <v>448</v>
      </c>
      <c r="Q780" t="s">
        <v>619</v>
      </c>
      <c r="R780">
        <v>91</v>
      </c>
      <c r="S780">
        <v>1</v>
      </c>
      <c r="T780" t="str">
        <f t="shared" si="91"/>
        <v>e</v>
      </c>
      <c r="U780" t="s">
        <v>15</v>
      </c>
      <c r="AF780" t="s">
        <v>623</v>
      </c>
      <c r="AJ780">
        <v>1</v>
      </c>
      <c r="AM780" t="str">
        <f t="shared" si="94"/>
        <v>Possession</v>
      </c>
      <c r="AN780" t="str">
        <f t="shared" si="95"/>
        <v/>
      </c>
      <c r="AP780" t="str">
        <f t="shared" si="93"/>
        <v>Offensive</v>
      </c>
      <c r="BB780" s="23"/>
      <c r="BD780" s="21"/>
      <c r="BE780" s="21"/>
      <c r="BF780" s="21"/>
      <c r="BG780" s="21"/>
      <c r="BH780" s="21"/>
      <c r="BI780" s="21"/>
    </row>
    <row r="781" spans="1:61" x14ac:dyDescent="0.2">
      <c r="A781">
        <v>391</v>
      </c>
      <c r="B781" t="s">
        <v>887</v>
      </c>
      <c r="C781" t="str">
        <f t="shared" si="90"/>
        <v/>
      </c>
      <c r="D781" t="str">
        <f t="shared" si="96"/>
        <v/>
      </c>
      <c r="H781">
        <f t="shared" si="92"/>
        <v>1</v>
      </c>
      <c r="R781">
        <v>14</v>
      </c>
      <c r="T781" t="str">
        <f t="shared" si="91"/>
        <v>o</v>
      </c>
      <c r="AJ781">
        <v>1</v>
      </c>
      <c r="AM781" t="str">
        <f t="shared" si="94"/>
        <v>Possession</v>
      </c>
      <c r="AN781" t="str">
        <f t="shared" si="95"/>
        <v/>
      </c>
      <c r="AP781" t="str">
        <f t="shared" si="93"/>
        <v>Defensive</v>
      </c>
      <c r="BB781" s="23"/>
      <c r="BD781" s="21"/>
      <c r="BE781" s="21"/>
      <c r="BF781" s="21"/>
      <c r="BG781" s="21"/>
      <c r="BH781" s="21"/>
      <c r="BI781" s="21"/>
    </row>
    <row r="782" spans="1:61" x14ac:dyDescent="0.2">
      <c r="A782">
        <v>392</v>
      </c>
      <c r="B782">
        <v>66</v>
      </c>
      <c r="C782">
        <f t="shared" si="90"/>
        <v>9066</v>
      </c>
      <c r="D782">
        <f t="shared" si="96"/>
        <v>9066</v>
      </c>
      <c r="H782">
        <f t="shared" si="92"/>
        <v>1</v>
      </c>
      <c r="I782" s="5" t="s">
        <v>895</v>
      </c>
      <c r="J782" s="5" t="s">
        <v>448</v>
      </c>
      <c r="Q782" t="s">
        <v>619</v>
      </c>
      <c r="R782">
        <v>91</v>
      </c>
      <c r="S782">
        <v>1</v>
      </c>
      <c r="T782" t="str">
        <f t="shared" si="91"/>
        <v>e</v>
      </c>
      <c r="U782" t="s">
        <v>257</v>
      </c>
      <c r="V782" t="s">
        <v>201</v>
      </c>
      <c r="W782" t="s">
        <v>92</v>
      </c>
      <c r="AF782" t="s">
        <v>623</v>
      </c>
      <c r="AJ782">
        <v>1</v>
      </c>
      <c r="AM782" t="str">
        <f t="shared" si="94"/>
        <v>Zone_Entry_Exit</v>
      </c>
      <c r="AN782" t="str">
        <f t="shared" si="95"/>
        <v>Zone_Exit</v>
      </c>
      <c r="AP782" t="str">
        <f t="shared" si="93"/>
        <v>Offensive</v>
      </c>
      <c r="BB782" s="23"/>
      <c r="BD782" s="21"/>
      <c r="BE782" s="21"/>
      <c r="BF782" s="21"/>
      <c r="BG782" s="21"/>
      <c r="BH782" s="21"/>
      <c r="BI782" s="21"/>
    </row>
    <row r="783" spans="1:61" x14ac:dyDescent="0.2">
      <c r="A783">
        <v>392</v>
      </c>
      <c r="B783">
        <v>66</v>
      </c>
      <c r="C783">
        <f t="shared" si="90"/>
        <v>9066</v>
      </c>
      <c r="D783">
        <f>IF(C783&lt;&gt;"",C783,B783)</f>
        <v>9066</v>
      </c>
      <c r="H783">
        <f>IF(U783="Intermission",H782+1,H782)</f>
        <v>1</v>
      </c>
      <c r="I783" s="5" t="s">
        <v>895</v>
      </c>
      <c r="J783" s="5" t="s">
        <v>448</v>
      </c>
      <c r="Q783" t="s">
        <v>619</v>
      </c>
      <c r="R783">
        <v>14</v>
      </c>
      <c r="T783" t="str">
        <f t="shared" si="91"/>
        <v>o</v>
      </c>
      <c r="U783" t="s">
        <v>257</v>
      </c>
      <c r="V783" t="s">
        <v>201</v>
      </c>
      <c r="W783" t="s">
        <v>92</v>
      </c>
      <c r="AF783" t="s">
        <v>623</v>
      </c>
      <c r="AJ783">
        <v>1</v>
      </c>
      <c r="BB783" s="23"/>
      <c r="BD783" s="21"/>
      <c r="BE783" s="21"/>
      <c r="BF783" s="21"/>
      <c r="BG783" s="21"/>
      <c r="BH783" s="21"/>
      <c r="BI783" s="21"/>
    </row>
    <row r="784" spans="1:61" x14ac:dyDescent="0.2">
      <c r="A784">
        <v>393</v>
      </c>
      <c r="B784">
        <v>66</v>
      </c>
      <c r="C784">
        <f t="shared" si="90"/>
        <v>9066</v>
      </c>
      <c r="D784">
        <f t="shared" si="96"/>
        <v>9066</v>
      </c>
      <c r="H784">
        <f>IF(U784="Intermission",H782+1,H782)</f>
        <v>1</v>
      </c>
      <c r="I784" s="5" t="s">
        <v>895</v>
      </c>
      <c r="J784" s="5" t="s">
        <v>448</v>
      </c>
      <c r="Q784" t="s">
        <v>619</v>
      </c>
      <c r="R784">
        <v>91</v>
      </c>
      <c r="S784">
        <v>1</v>
      </c>
      <c r="T784" t="str">
        <f t="shared" si="91"/>
        <v>e</v>
      </c>
      <c r="U784" t="s">
        <v>10</v>
      </c>
      <c r="V784" t="s">
        <v>190</v>
      </c>
      <c r="W784" t="s">
        <v>387</v>
      </c>
      <c r="AF784" t="s">
        <v>623</v>
      </c>
      <c r="AJ784">
        <v>1</v>
      </c>
      <c r="AM784" t="str">
        <f>IF(U784&lt;&gt;"",U784,IF($A784=$A782,AM782,""))</f>
        <v>Turnover</v>
      </c>
      <c r="AN784" t="str">
        <f>IF(V784&lt;&gt;"",V784,IF($A784=$A782,AN782,""))</f>
        <v>Turnover_Giveaway</v>
      </c>
      <c r="AP784" t="str">
        <f t="shared" si="93"/>
        <v>Offensive</v>
      </c>
      <c r="BB784" s="23"/>
      <c r="BD784" s="21"/>
      <c r="BE784" s="21"/>
      <c r="BF784" s="21"/>
      <c r="BG784" s="21"/>
      <c r="BH784" s="21"/>
      <c r="BI784" s="21"/>
    </row>
    <row r="785" spans="1:61" x14ac:dyDescent="0.2">
      <c r="A785">
        <v>394</v>
      </c>
      <c r="B785" t="s">
        <v>887</v>
      </c>
      <c r="C785" t="str">
        <f t="shared" si="90"/>
        <v/>
      </c>
      <c r="D785" t="str">
        <f t="shared" si="96"/>
        <v/>
      </c>
      <c r="H785">
        <f t="shared" si="92"/>
        <v>1</v>
      </c>
      <c r="I785" s="5" t="s">
        <v>895</v>
      </c>
      <c r="J785" s="5" t="s">
        <v>733</v>
      </c>
      <c r="Q785" t="s">
        <v>620</v>
      </c>
      <c r="R785">
        <v>22</v>
      </c>
      <c r="S785">
        <v>1</v>
      </c>
      <c r="T785" t="str">
        <f t="shared" si="91"/>
        <v>e</v>
      </c>
      <c r="U785" t="s">
        <v>15</v>
      </c>
      <c r="V785" t="s">
        <v>697</v>
      </c>
      <c r="X785" t="s">
        <v>705</v>
      </c>
      <c r="Y785" t="s">
        <v>712</v>
      </c>
      <c r="AA785" t="s">
        <v>705</v>
      </c>
      <c r="AF785" t="s">
        <v>635</v>
      </c>
      <c r="AJ785">
        <v>1</v>
      </c>
      <c r="AM785" t="str">
        <f t="shared" ref="AM785:AM836" si="97">IF(U785&lt;&gt;"",U785,IF($A785=$A784,AM784,""))</f>
        <v>Possession</v>
      </c>
      <c r="AN785" t="str">
        <f t="shared" ref="AN785:AN836" si="98">IF(V785&lt;&gt;"",V785,IF($A785=$A784,AN784,""))</f>
        <v>PuckRetrieval</v>
      </c>
      <c r="AP785" t="str">
        <f t="shared" si="93"/>
        <v>Offensive</v>
      </c>
      <c r="BB785" s="23"/>
      <c r="BD785" s="21"/>
      <c r="BE785" s="21"/>
      <c r="BF785" s="21"/>
      <c r="BG785" s="21"/>
      <c r="BH785" s="21"/>
      <c r="BI785" s="21"/>
    </row>
    <row r="786" spans="1:61" x14ac:dyDescent="0.2">
      <c r="A786">
        <v>394</v>
      </c>
      <c r="B786">
        <v>67</v>
      </c>
      <c r="C786">
        <f t="shared" si="90"/>
        <v>9067</v>
      </c>
      <c r="D786">
        <f t="shared" si="96"/>
        <v>9067</v>
      </c>
      <c r="H786">
        <f t="shared" si="92"/>
        <v>1</v>
      </c>
      <c r="I786" s="5" t="s">
        <v>895</v>
      </c>
      <c r="J786" s="5" t="s">
        <v>733</v>
      </c>
      <c r="R786">
        <v>80</v>
      </c>
      <c r="T786" t="str">
        <f t="shared" si="91"/>
        <v>o</v>
      </c>
      <c r="AF786" t="s">
        <v>635</v>
      </c>
      <c r="AJ786">
        <v>1</v>
      </c>
      <c r="AM786" t="str">
        <f t="shared" si="97"/>
        <v>Possession</v>
      </c>
      <c r="AN786" t="str">
        <f t="shared" si="98"/>
        <v>PuckRetrieval</v>
      </c>
      <c r="AP786" t="str">
        <f t="shared" si="93"/>
        <v>Defensive</v>
      </c>
      <c r="BB786" s="23"/>
      <c r="BD786" s="21"/>
      <c r="BE786" s="21"/>
      <c r="BF786" s="21"/>
      <c r="BG786" s="21"/>
      <c r="BH786" s="21"/>
      <c r="BI786" s="21"/>
    </row>
    <row r="787" spans="1:61" x14ac:dyDescent="0.2">
      <c r="A787">
        <v>395</v>
      </c>
      <c r="B787">
        <v>68</v>
      </c>
      <c r="C787">
        <f t="shared" si="90"/>
        <v>9068</v>
      </c>
      <c r="D787">
        <f t="shared" si="96"/>
        <v>9068</v>
      </c>
      <c r="H787">
        <f t="shared" si="92"/>
        <v>1</v>
      </c>
      <c r="I787" s="5" t="s">
        <v>895</v>
      </c>
      <c r="J787" s="5" t="s">
        <v>733</v>
      </c>
      <c r="Q787" t="s">
        <v>620</v>
      </c>
      <c r="R787">
        <v>22</v>
      </c>
      <c r="S787">
        <v>1</v>
      </c>
      <c r="T787" t="str">
        <f t="shared" si="91"/>
        <v>e</v>
      </c>
      <c r="U787" t="s">
        <v>10</v>
      </c>
      <c r="V787" t="s">
        <v>190</v>
      </c>
      <c r="W787" t="s">
        <v>73</v>
      </c>
      <c r="AF787" t="s">
        <v>635</v>
      </c>
      <c r="AJ787">
        <v>1</v>
      </c>
      <c r="AM787" t="str">
        <f t="shared" si="97"/>
        <v>Turnover</v>
      </c>
      <c r="AN787" t="str">
        <f t="shared" si="98"/>
        <v>Turnover_Giveaway</v>
      </c>
      <c r="AP787" t="str">
        <f t="shared" si="93"/>
        <v>Offensive</v>
      </c>
      <c r="BB787" s="23"/>
      <c r="BD787" s="21"/>
      <c r="BE787" s="21"/>
      <c r="BF787" s="21"/>
      <c r="BG787" s="21"/>
      <c r="BH787" s="21"/>
      <c r="BI787" s="21"/>
    </row>
    <row r="788" spans="1:61" x14ac:dyDescent="0.2">
      <c r="A788">
        <v>395</v>
      </c>
      <c r="B788" t="s">
        <v>887</v>
      </c>
      <c r="C788" t="str">
        <f t="shared" si="90"/>
        <v/>
      </c>
      <c r="D788" t="str">
        <f t="shared" si="96"/>
        <v/>
      </c>
      <c r="H788">
        <f t="shared" si="92"/>
        <v>1</v>
      </c>
      <c r="R788">
        <v>80</v>
      </c>
      <c r="S788">
        <v>1</v>
      </c>
      <c r="T788" t="str">
        <f t="shared" si="91"/>
        <v>e</v>
      </c>
      <c r="AF788" t="s">
        <v>635</v>
      </c>
      <c r="AJ788">
        <v>1</v>
      </c>
      <c r="AM788" t="str">
        <f t="shared" si="97"/>
        <v>Turnover</v>
      </c>
      <c r="AN788" t="str">
        <f t="shared" si="98"/>
        <v>Turnover_Giveaway</v>
      </c>
      <c r="AP788" t="str">
        <f t="shared" si="93"/>
        <v>Offensive</v>
      </c>
      <c r="BB788" s="23"/>
      <c r="BD788" s="21"/>
      <c r="BE788" s="21"/>
      <c r="BF788" s="21"/>
      <c r="BG788" s="21"/>
      <c r="BH788" s="21"/>
      <c r="BI788" s="21"/>
    </row>
    <row r="789" spans="1:61" x14ac:dyDescent="0.2">
      <c r="A789">
        <v>396</v>
      </c>
      <c r="B789" t="s">
        <v>887</v>
      </c>
      <c r="C789" t="str">
        <f t="shared" si="90"/>
        <v/>
      </c>
      <c r="D789" t="str">
        <f t="shared" si="96"/>
        <v/>
      </c>
      <c r="H789">
        <f t="shared" si="92"/>
        <v>1</v>
      </c>
      <c r="I789" s="5" t="s">
        <v>895</v>
      </c>
      <c r="J789" s="5" t="s">
        <v>735</v>
      </c>
      <c r="Q789" t="s">
        <v>619</v>
      </c>
      <c r="R789">
        <v>4</v>
      </c>
      <c r="S789">
        <v>1</v>
      </c>
      <c r="T789" t="str">
        <f t="shared" si="91"/>
        <v>e</v>
      </c>
      <c r="U789" t="s">
        <v>15</v>
      </c>
      <c r="V789" t="s">
        <v>697</v>
      </c>
      <c r="X789" t="s">
        <v>706</v>
      </c>
      <c r="Y789" t="s">
        <v>712</v>
      </c>
      <c r="AA789" t="s">
        <v>706</v>
      </c>
      <c r="AF789" t="s">
        <v>623</v>
      </c>
      <c r="AM789" t="str">
        <f t="shared" si="97"/>
        <v>Possession</v>
      </c>
      <c r="AN789" t="str">
        <f t="shared" si="98"/>
        <v>PuckRetrieval</v>
      </c>
      <c r="AP789" t="str">
        <f t="shared" si="93"/>
        <v>Offensive</v>
      </c>
      <c r="BB789" s="23"/>
      <c r="BD789" s="21"/>
      <c r="BE789" s="21"/>
      <c r="BF789" s="21"/>
      <c r="BG789" s="21"/>
      <c r="BH789" s="21"/>
      <c r="BI789" s="21"/>
    </row>
    <row r="790" spans="1:61" x14ac:dyDescent="0.2">
      <c r="A790">
        <v>397</v>
      </c>
      <c r="B790">
        <v>69</v>
      </c>
      <c r="C790">
        <f t="shared" si="90"/>
        <v>9069</v>
      </c>
      <c r="D790">
        <f t="shared" si="96"/>
        <v>9069</v>
      </c>
      <c r="H790">
        <f t="shared" si="92"/>
        <v>1</v>
      </c>
      <c r="I790" s="5" t="s">
        <v>895</v>
      </c>
      <c r="J790" s="5" t="s">
        <v>735</v>
      </c>
      <c r="Q790" t="s">
        <v>619</v>
      </c>
      <c r="R790">
        <v>4</v>
      </c>
      <c r="S790">
        <v>1</v>
      </c>
      <c r="T790" t="str">
        <f t="shared" si="91"/>
        <v>e</v>
      </c>
      <c r="U790" t="s">
        <v>257</v>
      </c>
      <c r="V790" t="s">
        <v>201</v>
      </c>
      <c r="W790" t="s">
        <v>413</v>
      </c>
      <c r="AF790" t="s">
        <v>623</v>
      </c>
      <c r="AM790" t="str">
        <f t="shared" si="97"/>
        <v>Zone_Entry_Exit</v>
      </c>
      <c r="AN790" t="str">
        <f t="shared" si="98"/>
        <v>Zone_Exit</v>
      </c>
      <c r="AP790" t="str">
        <f t="shared" si="93"/>
        <v>Offensive</v>
      </c>
      <c r="BB790" s="23"/>
      <c r="BD790" s="21"/>
      <c r="BE790" s="21"/>
      <c r="BF790" s="21"/>
      <c r="BG790" s="21"/>
      <c r="BH790" s="21"/>
      <c r="BI790" s="21"/>
    </row>
    <row r="791" spans="1:61" x14ac:dyDescent="0.2">
      <c r="A791">
        <v>398</v>
      </c>
      <c r="B791">
        <v>69</v>
      </c>
      <c r="C791">
        <f t="shared" si="90"/>
        <v>9069</v>
      </c>
      <c r="D791">
        <f t="shared" si="96"/>
        <v>9069</v>
      </c>
      <c r="H791">
        <f t="shared" si="92"/>
        <v>1</v>
      </c>
      <c r="I791" s="5" t="s">
        <v>895</v>
      </c>
      <c r="J791" s="5" t="s">
        <v>735</v>
      </c>
      <c r="Q791" t="s">
        <v>619</v>
      </c>
      <c r="R791">
        <v>4</v>
      </c>
      <c r="S791">
        <v>1</v>
      </c>
      <c r="T791" t="str">
        <f t="shared" si="91"/>
        <v>e</v>
      </c>
      <c r="U791" t="s">
        <v>257</v>
      </c>
      <c r="V791" t="s">
        <v>191</v>
      </c>
      <c r="W791" t="s">
        <v>408</v>
      </c>
      <c r="AF791" t="s">
        <v>623</v>
      </c>
      <c r="AM791" t="str">
        <f t="shared" si="97"/>
        <v>Zone_Entry_Exit</v>
      </c>
      <c r="AN791" t="str">
        <f t="shared" si="98"/>
        <v>Zone_Entry</v>
      </c>
      <c r="AP791" t="str">
        <f t="shared" si="93"/>
        <v>Offensive</v>
      </c>
      <c r="BB791" s="23"/>
      <c r="BD791" s="21"/>
      <c r="BE791" s="21"/>
      <c r="BF791" s="21"/>
      <c r="BG791" s="21"/>
      <c r="BH791" s="21"/>
      <c r="BI791" s="21"/>
    </row>
    <row r="792" spans="1:61" x14ac:dyDescent="0.2">
      <c r="A792">
        <v>399</v>
      </c>
      <c r="B792">
        <v>69</v>
      </c>
      <c r="C792">
        <f t="shared" si="90"/>
        <v>9069</v>
      </c>
      <c r="D792">
        <f t="shared" si="96"/>
        <v>9069</v>
      </c>
      <c r="H792">
        <f t="shared" si="92"/>
        <v>1</v>
      </c>
      <c r="I792" s="5" t="s">
        <v>895</v>
      </c>
      <c r="J792" s="5" t="s">
        <v>735</v>
      </c>
      <c r="Q792" t="s">
        <v>619</v>
      </c>
      <c r="R792">
        <v>4</v>
      </c>
      <c r="S792">
        <v>1</v>
      </c>
      <c r="T792" t="str">
        <f t="shared" si="91"/>
        <v>e</v>
      </c>
      <c r="U792" t="s">
        <v>10</v>
      </c>
      <c r="V792" t="s">
        <v>190</v>
      </c>
      <c r="W792" t="s">
        <v>387</v>
      </c>
      <c r="AF792" t="s">
        <v>623</v>
      </c>
      <c r="AM792" t="str">
        <f t="shared" si="97"/>
        <v>Turnover</v>
      </c>
      <c r="AN792" t="str">
        <f t="shared" si="98"/>
        <v>Turnover_Giveaway</v>
      </c>
      <c r="AP792" t="str">
        <f t="shared" si="93"/>
        <v>Offensive</v>
      </c>
      <c r="BB792" s="23"/>
      <c r="BD792" s="21"/>
      <c r="BE792" s="21"/>
      <c r="BF792" s="21"/>
      <c r="BG792" s="21"/>
      <c r="BH792" s="21"/>
      <c r="BI792" s="21"/>
    </row>
    <row r="793" spans="1:61" x14ac:dyDescent="0.2">
      <c r="A793">
        <v>400</v>
      </c>
      <c r="C793" t="str">
        <f t="shared" si="90"/>
        <v/>
      </c>
      <c r="H793">
        <f t="shared" si="92"/>
        <v>1</v>
      </c>
      <c r="I793" s="5" t="s">
        <v>895</v>
      </c>
      <c r="J793" s="5" t="s">
        <v>785</v>
      </c>
      <c r="K793" s="5" t="s">
        <v>895</v>
      </c>
      <c r="L793" s="7" t="s">
        <v>786</v>
      </c>
      <c r="Q793" t="s">
        <v>620</v>
      </c>
      <c r="R793">
        <v>91</v>
      </c>
      <c r="S793">
        <v>1</v>
      </c>
      <c r="T793" t="str">
        <f t="shared" si="91"/>
        <v>e</v>
      </c>
      <c r="U793" t="s">
        <v>15</v>
      </c>
      <c r="V793" t="s">
        <v>697</v>
      </c>
      <c r="X793" t="s">
        <v>706</v>
      </c>
      <c r="Y793" t="s">
        <v>712</v>
      </c>
      <c r="Z793" t="s">
        <v>767</v>
      </c>
      <c r="AA793" t="s">
        <v>706</v>
      </c>
      <c r="AF793" t="s">
        <v>623</v>
      </c>
      <c r="AJ793">
        <v>1</v>
      </c>
      <c r="AM793" t="str">
        <f t="shared" si="97"/>
        <v>Possession</v>
      </c>
      <c r="AN793" t="str">
        <f t="shared" si="98"/>
        <v>PuckRetrieval</v>
      </c>
      <c r="AP793" t="str">
        <f t="shared" si="93"/>
        <v>Offensive</v>
      </c>
      <c r="BB793" s="23"/>
      <c r="BD793" s="21"/>
      <c r="BE793" s="21"/>
      <c r="BF793" s="21"/>
      <c r="BG793" s="21"/>
      <c r="BH793" s="21"/>
      <c r="BI793" s="21"/>
    </row>
    <row r="794" spans="1:61" x14ac:dyDescent="0.2">
      <c r="A794">
        <v>400</v>
      </c>
      <c r="B794" t="s">
        <v>887</v>
      </c>
      <c r="C794" t="str">
        <f t="shared" si="90"/>
        <v/>
      </c>
      <c r="D794" t="str">
        <f t="shared" si="96"/>
        <v/>
      </c>
      <c r="H794">
        <f t="shared" si="92"/>
        <v>1</v>
      </c>
      <c r="R794">
        <v>91</v>
      </c>
      <c r="T794" t="str">
        <f t="shared" si="91"/>
        <v>o</v>
      </c>
      <c r="Y794" t="s">
        <v>764</v>
      </c>
      <c r="AF794" t="s">
        <v>623</v>
      </c>
      <c r="AJ794">
        <v>1</v>
      </c>
      <c r="AM794" t="str">
        <f t="shared" si="97"/>
        <v>Possession</v>
      </c>
      <c r="AN794" t="str">
        <f t="shared" si="98"/>
        <v>PuckRetrieval</v>
      </c>
      <c r="AP794" t="str">
        <f t="shared" si="93"/>
        <v>Defensive</v>
      </c>
      <c r="BB794" s="23"/>
      <c r="BD794" s="21"/>
      <c r="BE794" s="21"/>
      <c r="BF794" s="21"/>
      <c r="BG794" s="21"/>
      <c r="BH794" s="21"/>
      <c r="BI794" s="21"/>
    </row>
    <row r="795" spans="1:61" x14ac:dyDescent="0.2">
      <c r="A795">
        <v>401</v>
      </c>
      <c r="B795">
        <v>70</v>
      </c>
      <c r="C795">
        <f t="shared" si="90"/>
        <v>9070</v>
      </c>
      <c r="D795">
        <f t="shared" si="96"/>
        <v>9070</v>
      </c>
      <c r="H795">
        <f t="shared" si="92"/>
        <v>1</v>
      </c>
      <c r="I795" s="5" t="s">
        <v>895</v>
      </c>
      <c r="J795" s="5" t="s">
        <v>786</v>
      </c>
      <c r="Q795" t="s">
        <v>620</v>
      </c>
      <c r="R795">
        <v>91</v>
      </c>
      <c r="S795">
        <v>1</v>
      </c>
      <c r="T795" t="str">
        <f t="shared" si="91"/>
        <v>e</v>
      </c>
      <c r="U795" t="s">
        <v>8</v>
      </c>
      <c r="V795" t="s">
        <v>189</v>
      </c>
      <c r="W795" t="s">
        <v>71</v>
      </c>
      <c r="X795" t="s">
        <v>706</v>
      </c>
      <c r="AF795" t="s">
        <v>623</v>
      </c>
      <c r="AM795" t="str">
        <f t="shared" si="97"/>
        <v>Pass</v>
      </c>
      <c r="AN795" t="str">
        <f t="shared" si="98"/>
        <v>Pass_Completed</v>
      </c>
      <c r="AP795" t="str">
        <f t="shared" si="93"/>
        <v>Offensive</v>
      </c>
      <c r="BB795" s="23"/>
      <c r="BD795" s="21"/>
      <c r="BE795" s="21"/>
      <c r="BF795" s="21"/>
      <c r="BG795" s="21"/>
      <c r="BH795" s="21"/>
      <c r="BI795" s="21"/>
    </row>
    <row r="796" spans="1:61" x14ac:dyDescent="0.2">
      <c r="A796">
        <v>401</v>
      </c>
      <c r="B796">
        <v>70</v>
      </c>
      <c r="C796">
        <f t="shared" si="90"/>
        <v>9070</v>
      </c>
      <c r="D796">
        <f t="shared" si="96"/>
        <v>9070</v>
      </c>
      <c r="H796">
        <f t="shared" si="92"/>
        <v>1</v>
      </c>
      <c r="R796">
        <v>14</v>
      </c>
      <c r="S796">
        <v>1</v>
      </c>
      <c r="T796" t="str">
        <f t="shared" si="91"/>
        <v>e</v>
      </c>
      <c r="AM796" t="str">
        <f t="shared" si="97"/>
        <v>Pass</v>
      </c>
      <c r="AN796" t="str">
        <f t="shared" si="98"/>
        <v>Pass_Completed</v>
      </c>
      <c r="AP796" t="str">
        <f t="shared" si="93"/>
        <v>Offensive</v>
      </c>
      <c r="BB796" s="23"/>
      <c r="BD796" s="21"/>
      <c r="BE796" s="21"/>
      <c r="BF796" s="21"/>
      <c r="BG796" s="21"/>
      <c r="BH796" s="21"/>
      <c r="BI796" s="21"/>
    </row>
    <row r="797" spans="1:61" x14ac:dyDescent="0.2">
      <c r="A797">
        <v>402</v>
      </c>
      <c r="B797">
        <v>70</v>
      </c>
      <c r="C797">
        <f t="shared" si="90"/>
        <v>9070</v>
      </c>
      <c r="D797">
        <f t="shared" si="96"/>
        <v>9070</v>
      </c>
      <c r="H797">
        <f t="shared" si="92"/>
        <v>1</v>
      </c>
      <c r="I797" s="5" t="s">
        <v>895</v>
      </c>
      <c r="J797" s="5" t="s">
        <v>786</v>
      </c>
      <c r="Q797" t="s">
        <v>620</v>
      </c>
      <c r="R797">
        <v>91</v>
      </c>
      <c r="S797">
        <v>1</v>
      </c>
      <c r="T797" t="str">
        <f t="shared" si="91"/>
        <v>e</v>
      </c>
      <c r="U797" t="s">
        <v>257</v>
      </c>
      <c r="V797" t="s">
        <v>201</v>
      </c>
      <c r="W797" t="s">
        <v>91</v>
      </c>
      <c r="X797" t="s">
        <v>706</v>
      </c>
      <c r="AF797" t="s">
        <v>623</v>
      </c>
      <c r="AM797" t="str">
        <f t="shared" si="97"/>
        <v>Zone_Entry_Exit</v>
      </c>
      <c r="AN797" t="str">
        <f t="shared" si="98"/>
        <v>Zone_Exit</v>
      </c>
      <c r="AP797" t="str">
        <f t="shared" si="93"/>
        <v>Offensive</v>
      </c>
      <c r="BB797" s="23"/>
      <c r="BD797" s="21"/>
      <c r="BE797" s="21"/>
      <c r="BF797" s="21"/>
      <c r="BG797" s="21"/>
      <c r="BH797" s="21"/>
      <c r="BI797" s="21"/>
    </row>
    <row r="798" spans="1:61" x14ac:dyDescent="0.2">
      <c r="A798">
        <v>402</v>
      </c>
      <c r="B798">
        <v>70</v>
      </c>
      <c r="C798">
        <f t="shared" si="90"/>
        <v>9070</v>
      </c>
      <c r="D798">
        <f t="shared" si="96"/>
        <v>9070</v>
      </c>
      <c r="H798">
        <f t="shared" si="92"/>
        <v>1</v>
      </c>
      <c r="R798">
        <v>14</v>
      </c>
      <c r="S798">
        <v>1</v>
      </c>
      <c r="T798" t="str">
        <f t="shared" si="91"/>
        <v>e</v>
      </c>
      <c r="AM798" t="str">
        <f t="shared" si="97"/>
        <v>Zone_Entry_Exit</v>
      </c>
      <c r="AN798" t="str">
        <f t="shared" si="98"/>
        <v>Zone_Exit</v>
      </c>
      <c r="AP798" t="str">
        <f t="shared" si="93"/>
        <v>Offensive</v>
      </c>
      <c r="BB798" s="23"/>
      <c r="BD798" s="21"/>
      <c r="BE798" s="21"/>
      <c r="BF798" s="21"/>
      <c r="BG798" s="21"/>
      <c r="BH798" s="21"/>
      <c r="BI798" s="21"/>
    </row>
    <row r="799" spans="1:61" x14ac:dyDescent="0.2">
      <c r="A799">
        <v>403</v>
      </c>
      <c r="B799">
        <v>71</v>
      </c>
      <c r="C799">
        <f t="shared" si="90"/>
        <v>9071</v>
      </c>
      <c r="D799">
        <f t="shared" si="96"/>
        <v>9071</v>
      </c>
      <c r="H799">
        <f t="shared" si="92"/>
        <v>1</v>
      </c>
      <c r="I799" s="5" t="s">
        <v>897</v>
      </c>
      <c r="J799" s="5" t="s">
        <v>637</v>
      </c>
      <c r="Q799" t="s">
        <v>620</v>
      </c>
      <c r="R799">
        <v>14</v>
      </c>
      <c r="S799">
        <v>1</v>
      </c>
      <c r="T799" t="str">
        <f t="shared" si="91"/>
        <v>e</v>
      </c>
      <c r="U799" t="s">
        <v>257</v>
      </c>
      <c r="V799" t="s">
        <v>191</v>
      </c>
      <c r="W799" t="s">
        <v>89</v>
      </c>
      <c r="AF799" t="s">
        <v>635</v>
      </c>
      <c r="AM799" t="str">
        <f t="shared" si="97"/>
        <v>Zone_Entry_Exit</v>
      </c>
      <c r="AN799" t="str">
        <f t="shared" si="98"/>
        <v>Zone_Entry</v>
      </c>
      <c r="AP799" t="str">
        <f t="shared" si="93"/>
        <v>Offensive</v>
      </c>
      <c r="BB799" s="23"/>
      <c r="BD799" s="21"/>
      <c r="BE799" s="21"/>
      <c r="BF799" s="21"/>
      <c r="BG799" s="21"/>
      <c r="BH799" s="21"/>
      <c r="BI799" s="21"/>
    </row>
    <row r="800" spans="1:61" x14ac:dyDescent="0.2">
      <c r="A800">
        <v>404</v>
      </c>
      <c r="B800">
        <v>71</v>
      </c>
      <c r="C800">
        <f t="shared" si="90"/>
        <v>9071</v>
      </c>
      <c r="D800">
        <f t="shared" si="96"/>
        <v>9071</v>
      </c>
      <c r="H800">
        <f t="shared" si="92"/>
        <v>1</v>
      </c>
      <c r="I800" s="5" t="s">
        <v>897</v>
      </c>
      <c r="J800" s="5" t="s">
        <v>637</v>
      </c>
      <c r="Q800" t="s">
        <v>620</v>
      </c>
      <c r="R800">
        <v>14</v>
      </c>
      <c r="S800">
        <v>1</v>
      </c>
      <c r="T800" t="str">
        <f t="shared" si="91"/>
        <v>e</v>
      </c>
      <c r="U800" t="s">
        <v>10</v>
      </c>
      <c r="V800" t="s">
        <v>190</v>
      </c>
      <c r="W800" t="s">
        <v>387</v>
      </c>
      <c r="AF800" t="s">
        <v>635</v>
      </c>
      <c r="AM800" t="str">
        <f t="shared" si="97"/>
        <v>Turnover</v>
      </c>
      <c r="AN800" t="str">
        <f t="shared" si="98"/>
        <v>Turnover_Giveaway</v>
      </c>
      <c r="AP800" t="str">
        <f t="shared" si="93"/>
        <v>Offensive</v>
      </c>
      <c r="BB800" s="23"/>
      <c r="BD800" s="21"/>
      <c r="BE800" s="21"/>
      <c r="BF800" s="21"/>
      <c r="BG800" s="21"/>
      <c r="BH800" s="21"/>
      <c r="BI800" s="21"/>
    </row>
    <row r="801" spans="1:61" x14ac:dyDescent="0.2">
      <c r="A801">
        <v>405</v>
      </c>
      <c r="B801" t="s">
        <v>887</v>
      </c>
      <c r="C801" t="str">
        <f t="shared" si="90"/>
        <v/>
      </c>
      <c r="D801" t="str">
        <f t="shared" si="96"/>
        <v/>
      </c>
      <c r="H801">
        <f t="shared" si="92"/>
        <v>1</v>
      </c>
      <c r="I801" s="5" t="s">
        <v>897</v>
      </c>
      <c r="J801" s="5" t="s">
        <v>788</v>
      </c>
      <c r="K801" s="5" t="s">
        <v>897</v>
      </c>
      <c r="L801" s="7" t="s">
        <v>640</v>
      </c>
      <c r="Q801" t="s">
        <v>619</v>
      </c>
      <c r="R801">
        <v>25</v>
      </c>
      <c r="S801">
        <v>1</v>
      </c>
      <c r="T801" t="str">
        <f t="shared" si="91"/>
        <v>e</v>
      </c>
      <c r="U801" t="s">
        <v>15</v>
      </c>
      <c r="V801" t="s">
        <v>697</v>
      </c>
      <c r="X801" t="s">
        <v>706</v>
      </c>
      <c r="Y801" t="s">
        <v>720</v>
      </c>
      <c r="AA801" t="s">
        <v>706</v>
      </c>
      <c r="AF801" t="s">
        <v>623</v>
      </c>
      <c r="AM801" t="str">
        <f t="shared" si="97"/>
        <v>Possession</v>
      </c>
      <c r="AN801" t="str">
        <f t="shared" si="98"/>
        <v>PuckRetrieval</v>
      </c>
      <c r="AP801" t="str">
        <f t="shared" si="93"/>
        <v>Offensive</v>
      </c>
      <c r="BB801" s="23"/>
      <c r="BD801" s="21"/>
      <c r="BE801" s="21"/>
      <c r="BF801" s="21"/>
      <c r="BG801" s="21"/>
      <c r="BH801" s="21"/>
      <c r="BI801" s="21"/>
    </row>
    <row r="802" spans="1:61" x14ac:dyDescent="0.2">
      <c r="A802">
        <v>406</v>
      </c>
      <c r="B802">
        <v>72</v>
      </c>
      <c r="C802">
        <f t="shared" si="90"/>
        <v>9072</v>
      </c>
      <c r="D802">
        <f t="shared" si="96"/>
        <v>9072</v>
      </c>
      <c r="H802">
        <f t="shared" si="92"/>
        <v>1</v>
      </c>
      <c r="I802" s="5" t="s">
        <v>897</v>
      </c>
      <c r="J802" s="5" t="s">
        <v>640</v>
      </c>
      <c r="Q802" t="s">
        <v>619</v>
      </c>
      <c r="R802">
        <v>25</v>
      </c>
      <c r="S802">
        <v>1</v>
      </c>
      <c r="T802" t="str">
        <f t="shared" si="91"/>
        <v>e</v>
      </c>
      <c r="U802" t="s">
        <v>8</v>
      </c>
      <c r="V802" t="s">
        <v>199</v>
      </c>
      <c r="W802" t="s">
        <v>67</v>
      </c>
      <c r="X802" t="s">
        <v>705</v>
      </c>
      <c r="AF802" t="s">
        <v>623</v>
      </c>
      <c r="AM802" t="str">
        <f t="shared" si="97"/>
        <v>Pass</v>
      </c>
      <c r="AN802" t="str">
        <f t="shared" si="98"/>
        <v>Pass_Missed</v>
      </c>
      <c r="AP802" t="str">
        <f t="shared" si="93"/>
        <v>Offensive</v>
      </c>
      <c r="BB802" s="23"/>
      <c r="BD802" s="21"/>
      <c r="BE802" s="21"/>
      <c r="BF802" s="21"/>
      <c r="BG802" s="21"/>
      <c r="BH802" s="21"/>
      <c r="BI802" s="21"/>
    </row>
    <row r="803" spans="1:61" x14ac:dyDescent="0.2">
      <c r="A803">
        <v>406</v>
      </c>
      <c r="B803">
        <v>72</v>
      </c>
      <c r="C803">
        <f t="shared" si="90"/>
        <v>9072</v>
      </c>
      <c r="D803">
        <f t="shared" si="96"/>
        <v>9072</v>
      </c>
      <c r="H803">
        <f t="shared" si="92"/>
        <v>1</v>
      </c>
      <c r="R803">
        <v>89</v>
      </c>
      <c r="S803">
        <v>1</v>
      </c>
      <c r="T803" t="str">
        <f t="shared" si="91"/>
        <v>e</v>
      </c>
      <c r="AM803" t="str">
        <f t="shared" si="97"/>
        <v>Pass</v>
      </c>
      <c r="AN803" t="str">
        <f t="shared" si="98"/>
        <v>Pass_Missed</v>
      </c>
      <c r="AP803" t="str">
        <f t="shared" si="93"/>
        <v>Offensive</v>
      </c>
      <c r="BB803" s="23"/>
      <c r="BD803" s="21"/>
      <c r="BE803" s="21"/>
      <c r="BF803" s="21"/>
      <c r="BG803" s="21"/>
      <c r="BH803" s="21"/>
      <c r="BI803" s="21"/>
    </row>
    <row r="804" spans="1:61" x14ac:dyDescent="0.2">
      <c r="A804">
        <v>407</v>
      </c>
      <c r="B804">
        <v>72</v>
      </c>
      <c r="C804">
        <f t="shared" si="90"/>
        <v>9072</v>
      </c>
      <c r="D804">
        <f t="shared" si="96"/>
        <v>9072</v>
      </c>
      <c r="H804">
        <f t="shared" si="92"/>
        <v>1</v>
      </c>
      <c r="I804" s="5" t="s">
        <v>897</v>
      </c>
      <c r="J804" s="5" t="s">
        <v>640</v>
      </c>
      <c r="Q804" t="s">
        <v>619</v>
      </c>
      <c r="R804">
        <v>25</v>
      </c>
      <c r="S804">
        <v>1</v>
      </c>
      <c r="T804" t="str">
        <f t="shared" si="91"/>
        <v>e</v>
      </c>
      <c r="U804" t="s">
        <v>257</v>
      </c>
      <c r="V804" t="s">
        <v>201</v>
      </c>
      <c r="W804" t="s">
        <v>409</v>
      </c>
      <c r="AF804" t="s">
        <v>623</v>
      </c>
      <c r="AM804" t="str">
        <f t="shared" si="97"/>
        <v>Zone_Entry_Exit</v>
      </c>
      <c r="AN804" t="str">
        <f t="shared" si="98"/>
        <v>Zone_Exit</v>
      </c>
      <c r="AP804" t="str">
        <f t="shared" si="93"/>
        <v>Offensive</v>
      </c>
      <c r="BB804" s="23"/>
      <c r="BD804" s="21"/>
      <c r="BE804" s="21"/>
      <c r="BF804" s="21"/>
      <c r="BG804" s="21"/>
      <c r="BH804" s="21"/>
      <c r="BI804" s="21"/>
    </row>
    <row r="805" spans="1:61" x14ac:dyDescent="0.2">
      <c r="A805">
        <v>408</v>
      </c>
      <c r="B805">
        <v>72</v>
      </c>
      <c r="C805">
        <f t="shared" si="90"/>
        <v>9072</v>
      </c>
      <c r="D805">
        <f t="shared" si="96"/>
        <v>9072</v>
      </c>
      <c r="H805">
        <f t="shared" si="92"/>
        <v>1</v>
      </c>
      <c r="I805" s="5" t="s">
        <v>897</v>
      </c>
      <c r="J805" s="5" t="s">
        <v>640</v>
      </c>
      <c r="Q805" t="s">
        <v>619</v>
      </c>
      <c r="R805">
        <v>25</v>
      </c>
      <c r="S805">
        <v>1</v>
      </c>
      <c r="T805" t="str">
        <f t="shared" si="91"/>
        <v>e</v>
      </c>
      <c r="U805" t="s">
        <v>257</v>
      </c>
      <c r="V805" t="s">
        <v>191</v>
      </c>
      <c r="W805" t="s">
        <v>408</v>
      </c>
      <c r="AF805" t="s">
        <v>623</v>
      </c>
      <c r="AM805" t="str">
        <f t="shared" si="97"/>
        <v>Zone_Entry_Exit</v>
      </c>
      <c r="AN805" t="str">
        <f t="shared" si="98"/>
        <v>Zone_Entry</v>
      </c>
      <c r="AP805" t="str">
        <f t="shared" si="93"/>
        <v>Offensive</v>
      </c>
      <c r="BB805" s="23"/>
      <c r="BD805" s="21"/>
      <c r="BE805" s="21"/>
      <c r="BF805" s="21"/>
      <c r="BG805" s="21"/>
      <c r="BH805" s="21"/>
      <c r="BI805" s="21"/>
    </row>
    <row r="806" spans="1:61" x14ac:dyDescent="0.2">
      <c r="A806">
        <v>409</v>
      </c>
      <c r="B806">
        <v>72</v>
      </c>
      <c r="C806">
        <f t="shared" si="90"/>
        <v>9072</v>
      </c>
      <c r="D806">
        <f t="shared" si="96"/>
        <v>9072</v>
      </c>
      <c r="H806">
        <f t="shared" si="92"/>
        <v>1</v>
      </c>
      <c r="I806" s="5" t="s">
        <v>897</v>
      </c>
      <c r="J806" s="5" t="s">
        <v>640</v>
      </c>
      <c r="Q806" t="s">
        <v>619</v>
      </c>
      <c r="R806">
        <v>25</v>
      </c>
      <c r="S806">
        <v>1</v>
      </c>
      <c r="T806" t="str">
        <f t="shared" si="91"/>
        <v>e</v>
      </c>
      <c r="U806" t="s">
        <v>10</v>
      </c>
      <c r="V806" t="s">
        <v>190</v>
      </c>
      <c r="W806" t="s">
        <v>76</v>
      </c>
      <c r="AF806" t="s">
        <v>623</v>
      </c>
      <c r="AM806" t="str">
        <f t="shared" si="97"/>
        <v>Turnover</v>
      </c>
      <c r="AN806" t="str">
        <f t="shared" si="98"/>
        <v>Turnover_Giveaway</v>
      </c>
      <c r="AP806" t="str">
        <f t="shared" si="93"/>
        <v>Offensive</v>
      </c>
      <c r="BB806" s="23"/>
      <c r="BD806" s="21"/>
      <c r="BE806" s="21"/>
      <c r="BF806" s="21"/>
      <c r="BG806" s="21"/>
      <c r="BH806" s="21"/>
      <c r="BI806" s="21"/>
    </row>
    <row r="807" spans="1:61" x14ac:dyDescent="0.2">
      <c r="A807">
        <v>410</v>
      </c>
      <c r="B807" t="s">
        <v>887</v>
      </c>
      <c r="C807" t="str">
        <f t="shared" si="90"/>
        <v/>
      </c>
      <c r="D807" t="str">
        <f t="shared" si="96"/>
        <v/>
      </c>
      <c r="H807">
        <f t="shared" si="92"/>
        <v>1</v>
      </c>
      <c r="I807" s="5" t="s">
        <v>897</v>
      </c>
      <c r="J807" s="5" t="s">
        <v>711</v>
      </c>
      <c r="K807" s="5" t="s">
        <v>897</v>
      </c>
      <c r="L807" s="7" t="s">
        <v>790</v>
      </c>
      <c r="Q807" t="s">
        <v>620</v>
      </c>
      <c r="R807">
        <v>22</v>
      </c>
      <c r="S807">
        <v>1</v>
      </c>
      <c r="T807" t="str">
        <f t="shared" si="91"/>
        <v>e</v>
      </c>
      <c r="U807" t="s">
        <v>15</v>
      </c>
      <c r="V807" t="s">
        <v>697</v>
      </c>
      <c r="X807" t="s">
        <v>705</v>
      </c>
      <c r="Y807" t="s">
        <v>712</v>
      </c>
      <c r="AA807" t="s">
        <v>705</v>
      </c>
      <c r="AF807" t="s">
        <v>623</v>
      </c>
      <c r="AJ807">
        <v>1</v>
      </c>
      <c r="AM807" t="str">
        <f t="shared" si="97"/>
        <v>Possession</v>
      </c>
      <c r="AN807" t="str">
        <f t="shared" si="98"/>
        <v>PuckRetrieval</v>
      </c>
      <c r="AP807" t="str">
        <f t="shared" si="93"/>
        <v>Offensive</v>
      </c>
      <c r="BB807" s="23"/>
      <c r="BD807" s="21"/>
      <c r="BE807" s="21"/>
      <c r="BF807" s="21"/>
      <c r="BG807" s="21"/>
      <c r="BH807" s="21"/>
      <c r="BI807" s="21"/>
    </row>
    <row r="808" spans="1:61" x14ac:dyDescent="0.2">
      <c r="A808">
        <v>410</v>
      </c>
      <c r="B808" t="s">
        <v>887</v>
      </c>
      <c r="C808" t="str">
        <f t="shared" si="90"/>
        <v/>
      </c>
      <c r="D808" t="str">
        <f t="shared" si="96"/>
        <v/>
      </c>
      <c r="H808">
        <f t="shared" si="92"/>
        <v>1</v>
      </c>
      <c r="R808">
        <v>13</v>
      </c>
      <c r="T808" t="str">
        <f t="shared" si="91"/>
        <v>o</v>
      </c>
      <c r="AJ808">
        <v>1</v>
      </c>
      <c r="AM808" t="str">
        <f t="shared" si="97"/>
        <v>Possession</v>
      </c>
      <c r="AN808" t="str">
        <f t="shared" si="98"/>
        <v>PuckRetrieval</v>
      </c>
      <c r="AP808" t="str">
        <f t="shared" si="93"/>
        <v>Defensive</v>
      </c>
      <c r="BB808" s="23"/>
      <c r="BD808" s="21"/>
      <c r="BE808" s="21"/>
      <c r="BF808" s="21"/>
      <c r="BG808" s="21"/>
      <c r="BH808" s="21"/>
      <c r="BI808" s="21"/>
    </row>
    <row r="809" spans="1:61" x14ac:dyDescent="0.2">
      <c r="A809">
        <v>411</v>
      </c>
      <c r="B809" t="s">
        <v>887</v>
      </c>
      <c r="C809" t="str">
        <f t="shared" si="90"/>
        <v/>
      </c>
      <c r="D809" t="str">
        <f t="shared" si="96"/>
        <v/>
      </c>
      <c r="H809">
        <f t="shared" si="92"/>
        <v>1</v>
      </c>
      <c r="I809" s="5" t="s">
        <v>897</v>
      </c>
      <c r="J809" s="5" t="s">
        <v>790</v>
      </c>
      <c r="Q809" t="s">
        <v>619</v>
      </c>
      <c r="R809">
        <v>13</v>
      </c>
      <c r="S809">
        <v>1</v>
      </c>
      <c r="T809" t="str">
        <f t="shared" si="91"/>
        <v>e</v>
      </c>
      <c r="U809" t="s">
        <v>10</v>
      </c>
      <c r="V809" t="s">
        <v>200</v>
      </c>
      <c r="W809" t="s">
        <v>81</v>
      </c>
      <c r="AF809" t="s">
        <v>401</v>
      </c>
      <c r="AJ809">
        <v>1</v>
      </c>
      <c r="AM809" t="str">
        <f t="shared" si="97"/>
        <v>Turnover</v>
      </c>
      <c r="AN809" t="str">
        <f t="shared" si="98"/>
        <v>Turnover_Takeaway</v>
      </c>
      <c r="AP809" t="str">
        <f t="shared" si="93"/>
        <v>Defensive</v>
      </c>
      <c r="BB809" s="23"/>
      <c r="BD809" s="21"/>
      <c r="BE809" s="21"/>
      <c r="BF809" s="21"/>
      <c r="BG809" s="21"/>
      <c r="BH809" s="21"/>
      <c r="BI809" s="21"/>
    </row>
    <row r="810" spans="1:61" x14ac:dyDescent="0.2">
      <c r="A810">
        <v>411</v>
      </c>
      <c r="B810" t="s">
        <v>887</v>
      </c>
      <c r="C810" t="str">
        <f t="shared" si="90"/>
        <v/>
      </c>
      <c r="D810" t="str">
        <f t="shared" si="96"/>
        <v/>
      </c>
      <c r="H810">
        <f t="shared" si="92"/>
        <v>1</v>
      </c>
      <c r="R810">
        <v>22</v>
      </c>
      <c r="T810" t="str">
        <f t="shared" si="91"/>
        <v>o</v>
      </c>
      <c r="AF810" t="s">
        <v>401</v>
      </c>
      <c r="AJ810">
        <v>1</v>
      </c>
      <c r="AM810" t="str">
        <f t="shared" si="97"/>
        <v>Turnover</v>
      </c>
      <c r="AN810" t="str">
        <f t="shared" si="98"/>
        <v>Turnover_Takeaway</v>
      </c>
      <c r="AP810" t="str">
        <f t="shared" si="93"/>
        <v>Offensive</v>
      </c>
      <c r="BB810" s="23"/>
      <c r="BD810" s="21"/>
      <c r="BE810" s="21"/>
      <c r="BF810" s="21"/>
      <c r="BG810" s="21"/>
      <c r="BH810" s="21"/>
      <c r="BI810" s="21"/>
    </row>
    <row r="811" spans="1:61" x14ac:dyDescent="0.2">
      <c r="A811">
        <v>412</v>
      </c>
      <c r="B811" t="s">
        <v>887</v>
      </c>
      <c r="C811" t="str">
        <f t="shared" si="90"/>
        <v/>
      </c>
      <c r="D811" t="str">
        <f t="shared" si="96"/>
        <v/>
      </c>
      <c r="H811">
        <f t="shared" si="92"/>
        <v>1</v>
      </c>
      <c r="I811" s="5" t="s">
        <v>897</v>
      </c>
      <c r="J811" s="5" t="s">
        <v>790</v>
      </c>
      <c r="K811" s="5" t="s">
        <v>897</v>
      </c>
      <c r="L811" s="7" t="s">
        <v>811</v>
      </c>
      <c r="Q811" t="s">
        <v>619</v>
      </c>
      <c r="R811">
        <v>13</v>
      </c>
      <c r="S811">
        <v>1</v>
      </c>
      <c r="T811" t="str">
        <f t="shared" si="91"/>
        <v>e</v>
      </c>
      <c r="U811" t="s">
        <v>15</v>
      </c>
      <c r="AF811" t="s">
        <v>401</v>
      </c>
      <c r="AJ811">
        <v>1</v>
      </c>
      <c r="AM811" t="str">
        <f t="shared" si="97"/>
        <v>Possession</v>
      </c>
      <c r="AN811" t="str">
        <f t="shared" si="98"/>
        <v/>
      </c>
      <c r="AP811" t="str">
        <f t="shared" si="93"/>
        <v>Offensive</v>
      </c>
      <c r="BB811" s="23"/>
      <c r="BD811" s="21"/>
      <c r="BE811" s="21"/>
      <c r="BF811" s="21"/>
      <c r="BG811" s="21"/>
      <c r="BH811" s="21"/>
      <c r="BI811" s="21"/>
    </row>
    <row r="812" spans="1:61" x14ac:dyDescent="0.2">
      <c r="A812">
        <v>412</v>
      </c>
      <c r="B812" t="s">
        <v>887</v>
      </c>
      <c r="C812" t="str">
        <f t="shared" si="90"/>
        <v/>
      </c>
      <c r="D812" t="str">
        <f t="shared" si="96"/>
        <v/>
      </c>
      <c r="H812">
        <f t="shared" si="92"/>
        <v>1</v>
      </c>
      <c r="R812">
        <v>22</v>
      </c>
      <c r="T812" t="str">
        <f t="shared" si="91"/>
        <v>o</v>
      </c>
      <c r="AF812" t="s">
        <v>401</v>
      </c>
      <c r="AJ812">
        <v>1</v>
      </c>
      <c r="AM812" t="str">
        <f t="shared" si="97"/>
        <v>Possession</v>
      </c>
      <c r="AN812" t="str">
        <f t="shared" si="98"/>
        <v/>
      </c>
      <c r="AP812" t="str">
        <f t="shared" si="93"/>
        <v>Defensive</v>
      </c>
      <c r="BB812" s="23"/>
      <c r="BD812" s="21"/>
      <c r="BE812" s="21"/>
      <c r="BF812" s="21"/>
      <c r="BG812" s="21"/>
      <c r="BH812" s="21"/>
      <c r="BI812" s="21"/>
    </row>
    <row r="813" spans="1:61" x14ac:dyDescent="0.2">
      <c r="A813">
        <v>413</v>
      </c>
      <c r="B813" t="s">
        <v>887</v>
      </c>
      <c r="C813" t="str">
        <f t="shared" si="90"/>
        <v/>
      </c>
      <c r="D813" t="str">
        <f t="shared" si="96"/>
        <v/>
      </c>
      <c r="H813">
        <f t="shared" si="92"/>
        <v>1</v>
      </c>
      <c r="I813" s="5" t="s">
        <v>897</v>
      </c>
      <c r="J813" s="5" t="s">
        <v>811</v>
      </c>
      <c r="Q813" t="s">
        <v>619</v>
      </c>
      <c r="R813">
        <v>13</v>
      </c>
      <c r="S813">
        <v>1</v>
      </c>
      <c r="T813" t="str">
        <f t="shared" si="91"/>
        <v>e</v>
      </c>
      <c r="U813" t="s">
        <v>10</v>
      </c>
      <c r="V813" t="s">
        <v>190</v>
      </c>
      <c r="W813" t="s">
        <v>424</v>
      </c>
      <c r="Y813" t="s">
        <v>784</v>
      </c>
      <c r="Z813" t="s">
        <v>680</v>
      </c>
      <c r="AA813" t="s">
        <v>705</v>
      </c>
      <c r="AF813" t="s">
        <v>401</v>
      </c>
      <c r="AJ813">
        <v>1</v>
      </c>
      <c r="AM813" t="str">
        <f t="shared" si="97"/>
        <v>Turnover</v>
      </c>
      <c r="AN813" t="str">
        <f t="shared" si="98"/>
        <v>Turnover_Giveaway</v>
      </c>
      <c r="AP813" t="str">
        <f t="shared" si="93"/>
        <v>Offensive</v>
      </c>
      <c r="BB813" s="23"/>
      <c r="BD813" s="21"/>
      <c r="BE813" s="21"/>
      <c r="BF813" s="21"/>
      <c r="BG813" s="21"/>
      <c r="BH813" s="21"/>
      <c r="BI813" s="21"/>
    </row>
    <row r="814" spans="1:61" x14ac:dyDescent="0.2">
      <c r="A814">
        <v>413</v>
      </c>
      <c r="B814" t="s">
        <v>887</v>
      </c>
      <c r="C814" t="str">
        <f t="shared" si="90"/>
        <v/>
      </c>
      <c r="D814" t="str">
        <f t="shared" si="96"/>
        <v/>
      </c>
      <c r="H814">
        <f t="shared" si="92"/>
        <v>1</v>
      </c>
      <c r="R814">
        <v>22</v>
      </c>
      <c r="T814" t="str">
        <f t="shared" si="91"/>
        <v>o</v>
      </c>
      <c r="AF814" t="s">
        <v>401</v>
      </c>
      <c r="AJ814">
        <v>1</v>
      </c>
      <c r="AM814" t="str">
        <f t="shared" si="97"/>
        <v>Turnover</v>
      </c>
      <c r="AN814" t="str">
        <f t="shared" si="98"/>
        <v>Turnover_Giveaway</v>
      </c>
      <c r="AP814" t="str">
        <f t="shared" si="93"/>
        <v>Defensive</v>
      </c>
      <c r="BB814" s="23"/>
      <c r="BD814" s="21"/>
      <c r="BE814" s="21"/>
      <c r="BF814" s="21"/>
      <c r="BG814" s="21"/>
      <c r="BH814" s="21"/>
      <c r="BI814" s="21"/>
    </row>
    <row r="815" spans="1:61" x14ac:dyDescent="0.2">
      <c r="A815">
        <v>414</v>
      </c>
      <c r="B815" t="s">
        <v>887</v>
      </c>
      <c r="C815" t="str">
        <f t="shared" si="90"/>
        <v/>
      </c>
      <c r="D815" t="str">
        <f t="shared" si="96"/>
        <v/>
      </c>
      <c r="H815">
        <f t="shared" si="92"/>
        <v>1</v>
      </c>
      <c r="I815" s="5" t="s">
        <v>897</v>
      </c>
      <c r="J815" s="5" t="s">
        <v>776</v>
      </c>
      <c r="K815" s="5" t="s">
        <v>897</v>
      </c>
      <c r="L815" s="7" t="s">
        <v>778</v>
      </c>
      <c r="Q815" t="s">
        <v>620</v>
      </c>
      <c r="R815">
        <v>91</v>
      </c>
      <c r="S815">
        <v>1</v>
      </c>
      <c r="T815" t="str">
        <f t="shared" si="91"/>
        <v>e</v>
      </c>
      <c r="U815" t="s">
        <v>15</v>
      </c>
      <c r="V815" t="s">
        <v>697</v>
      </c>
      <c r="X815" t="s">
        <v>706</v>
      </c>
      <c r="Y815" t="s">
        <v>720</v>
      </c>
      <c r="AA815" t="s">
        <v>706</v>
      </c>
      <c r="AF815" t="s">
        <v>623</v>
      </c>
      <c r="AM815" t="str">
        <f t="shared" si="97"/>
        <v>Possession</v>
      </c>
      <c r="AN815" t="str">
        <f t="shared" si="98"/>
        <v>PuckRetrieval</v>
      </c>
      <c r="AP815" t="str">
        <f t="shared" si="93"/>
        <v>Offensive</v>
      </c>
      <c r="BB815" s="23"/>
      <c r="BD815" s="21"/>
      <c r="BE815" s="21"/>
      <c r="BF815" s="21"/>
      <c r="BG815" s="21"/>
      <c r="BH815" s="21"/>
      <c r="BI815" s="21"/>
    </row>
    <row r="816" spans="1:61" x14ac:dyDescent="0.2">
      <c r="A816">
        <v>415</v>
      </c>
      <c r="B816">
        <v>73</v>
      </c>
      <c r="C816">
        <f t="shared" si="90"/>
        <v>9073</v>
      </c>
      <c r="D816">
        <f t="shared" si="96"/>
        <v>9073</v>
      </c>
      <c r="H816">
        <f t="shared" si="92"/>
        <v>1</v>
      </c>
      <c r="I816" s="5" t="s">
        <v>897</v>
      </c>
      <c r="J816" s="5" t="s">
        <v>778</v>
      </c>
      <c r="Q816" t="s">
        <v>620</v>
      </c>
      <c r="R816">
        <v>91</v>
      </c>
      <c r="S816">
        <v>1</v>
      </c>
      <c r="T816" t="str">
        <f t="shared" si="91"/>
        <v>e</v>
      </c>
      <c r="U816" t="s">
        <v>8</v>
      </c>
      <c r="V816" t="s">
        <v>189</v>
      </c>
      <c r="W816" t="s">
        <v>70</v>
      </c>
      <c r="X816" t="s">
        <v>706</v>
      </c>
      <c r="AF816" t="s">
        <v>623</v>
      </c>
      <c r="AJ816">
        <v>1</v>
      </c>
      <c r="AM816" t="str">
        <f t="shared" si="97"/>
        <v>Pass</v>
      </c>
      <c r="AN816" t="str">
        <f t="shared" si="98"/>
        <v>Pass_Completed</v>
      </c>
      <c r="AP816" t="str">
        <f t="shared" si="93"/>
        <v>Offensive</v>
      </c>
      <c r="BB816" s="23"/>
      <c r="BD816" s="21"/>
      <c r="BE816" s="21"/>
      <c r="BF816" s="21"/>
      <c r="BG816" s="21"/>
      <c r="BH816" s="21"/>
      <c r="BI816" s="21"/>
    </row>
    <row r="817" spans="1:61" x14ac:dyDescent="0.2">
      <c r="A817">
        <v>415</v>
      </c>
      <c r="B817">
        <v>73</v>
      </c>
      <c r="C817">
        <f t="shared" si="90"/>
        <v>9073</v>
      </c>
      <c r="D817">
        <f t="shared" si="96"/>
        <v>9073</v>
      </c>
      <c r="H817">
        <f t="shared" si="92"/>
        <v>1</v>
      </c>
      <c r="R817">
        <v>75</v>
      </c>
      <c r="S817">
        <v>1</v>
      </c>
      <c r="T817" t="str">
        <f t="shared" si="91"/>
        <v>e</v>
      </c>
      <c r="AM817" t="str">
        <f t="shared" si="97"/>
        <v>Pass</v>
      </c>
      <c r="AN817" t="str">
        <f t="shared" si="98"/>
        <v>Pass_Completed</v>
      </c>
      <c r="AP817" t="str">
        <f t="shared" si="93"/>
        <v>Offensive</v>
      </c>
      <c r="BB817" s="23"/>
      <c r="BD817" s="21"/>
      <c r="BE817" s="21"/>
      <c r="BF817" s="21"/>
      <c r="BG817" s="21"/>
      <c r="BH817" s="21"/>
      <c r="BI817" s="21"/>
    </row>
    <row r="818" spans="1:61" x14ac:dyDescent="0.2">
      <c r="A818">
        <v>415</v>
      </c>
      <c r="B818">
        <v>73</v>
      </c>
      <c r="C818">
        <f t="shared" si="90"/>
        <v>9073</v>
      </c>
      <c r="D818">
        <f t="shared" si="96"/>
        <v>9073</v>
      </c>
      <c r="H818">
        <f t="shared" si="92"/>
        <v>1</v>
      </c>
      <c r="R818">
        <v>68</v>
      </c>
      <c r="T818" t="str">
        <f t="shared" si="91"/>
        <v>o</v>
      </c>
      <c r="AJ818">
        <v>1</v>
      </c>
      <c r="AM818" t="str">
        <f t="shared" si="97"/>
        <v>Pass</v>
      </c>
      <c r="AN818" t="str">
        <f t="shared" si="98"/>
        <v>Pass_Completed</v>
      </c>
      <c r="AP818" t="str">
        <f t="shared" si="93"/>
        <v>Defensive</v>
      </c>
      <c r="BB818" s="23"/>
      <c r="BD818" s="21"/>
      <c r="BE818" s="21"/>
      <c r="BF818" s="21"/>
      <c r="BG818" s="21"/>
      <c r="BH818" s="21"/>
      <c r="BI818" s="21"/>
    </row>
    <row r="819" spans="1:61" x14ac:dyDescent="0.2">
      <c r="A819">
        <v>416</v>
      </c>
      <c r="B819">
        <v>73</v>
      </c>
      <c r="C819">
        <f t="shared" si="90"/>
        <v>9073</v>
      </c>
      <c r="D819">
        <f t="shared" si="96"/>
        <v>9073</v>
      </c>
      <c r="H819">
        <f t="shared" si="92"/>
        <v>1</v>
      </c>
      <c r="I819" s="5" t="s">
        <v>897</v>
      </c>
      <c r="J819" s="5" t="s">
        <v>778</v>
      </c>
      <c r="R819">
        <v>91</v>
      </c>
      <c r="S819">
        <v>1</v>
      </c>
      <c r="T819" t="str">
        <f t="shared" si="91"/>
        <v>e</v>
      </c>
      <c r="U819" t="s">
        <v>257</v>
      </c>
      <c r="V819" t="s">
        <v>201</v>
      </c>
      <c r="W819" t="s">
        <v>91</v>
      </c>
      <c r="X819" t="s">
        <v>706</v>
      </c>
      <c r="AF819" t="s">
        <v>623</v>
      </c>
      <c r="AJ819">
        <v>1</v>
      </c>
      <c r="AM819" t="str">
        <f t="shared" si="97"/>
        <v>Zone_Entry_Exit</v>
      </c>
      <c r="AN819" t="str">
        <f t="shared" si="98"/>
        <v>Zone_Exit</v>
      </c>
      <c r="AP819" t="str">
        <f t="shared" si="93"/>
        <v>Offensive</v>
      </c>
      <c r="BB819" s="23"/>
      <c r="BD819" s="21"/>
      <c r="BE819" s="21"/>
      <c r="BF819" s="21"/>
      <c r="BG819" s="21"/>
      <c r="BH819" s="21"/>
      <c r="BI819" s="21"/>
    </row>
    <row r="820" spans="1:61" x14ac:dyDescent="0.2">
      <c r="A820">
        <v>416</v>
      </c>
      <c r="B820">
        <v>73</v>
      </c>
      <c r="C820">
        <f t="shared" si="90"/>
        <v>9073</v>
      </c>
      <c r="D820">
        <f t="shared" si="96"/>
        <v>9073</v>
      </c>
      <c r="H820">
        <f t="shared" si="92"/>
        <v>1</v>
      </c>
      <c r="R820">
        <v>75</v>
      </c>
      <c r="S820">
        <v>1</v>
      </c>
      <c r="T820" t="str">
        <f t="shared" si="91"/>
        <v>e</v>
      </c>
      <c r="AM820" t="str">
        <f t="shared" si="97"/>
        <v>Zone_Entry_Exit</v>
      </c>
      <c r="AN820" t="str">
        <f t="shared" si="98"/>
        <v>Zone_Exit</v>
      </c>
      <c r="AP820" t="str">
        <f t="shared" si="93"/>
        <v>Offensive</v>
      </c>
      <c r="BB820" s="23"/>
      <c r="BD820" s="21"/>
      <c r="BE820" s="21"/>
      <c r="BF820" s="21"/>
      <c r="BG820" s="21"/>
      <c r="BH820" s="21"/>
      <c r="BI820" s="21"/>
    </row>
    <row r="821" spans="1:61" x14ac:dyDescent="0.2">
      <c r="A821">
        <v>416</v>
      </c>
      <c r="B821">
        <v>73</v>
      </c>
      <c r="C821">
        <f t="shared" si="90"/>
        <v>9073</v>
      </c>
      <c r="D821">
        <f t="shared" si="96"/>
        <v>9073</v>
      </c>
      <c r="H821">
        <f t="shared" si="92"/>
        <v>1</v>
      </c>
      <c r="R821">
        <v>68</v>
      </c>
      <c r="T821" t="str">
        <f t="shared" si="91"/>
        <v>o</v>
      </c>
      <c r="AJ821">
        <v>1</v>
      </c>
      <c r="AM821" t="str">
        <f t="shared" si="97"/>
        <v>Zone_Entry_Exit</v>
      </c>
      <c r="AN821" t="str">
        <f t="shared" si="98"/>
        <v>Zone_Exit</v>
      </c>
      <c r="AP821" t="str">
        <f t="shared" si="93"/>
        <v>Defensive</v>
      </c>
      <c r="BB821" s="23"/>
      <c r="BD821" s="21"/>
      <c r="BE821" s="21"/>
      <c r="BF821" s="21"/>
      <c r="BG821" s="21"/>
      <c r="BH821" s="21"/>
      <c r="BI821" s="21"/>
    </row>
    <row r="822" spans="1:61" x14ac:dyDescent="0.2">
      <c r="A822">
        <v>417</v>
      </c>
      <c r="B822">
        <v>74</v>
      </c>
      <c r="C822">
        <f t="shared" si="90"/>
        <v>9074</v>
      </c>
      <c r="D822">
        <f t="shared" si="96"/>
        <v>9074</v>
      </c>
      <c r="H822">
        <f t="shared" si="92"/>
        <v>1</v>
      </c>
      <c r="I822" s="5" t="s">
        <v>897</v>
      </c>
      <c r="J822" s="5" t="s">
        <v>779</v>
      </c>
      <c r="Q822" t="s">
        <v>620</v>
      </c>
      <c r="R822">
        <v>75</v>
      </c>
      <c r="S822">
        <v>1</v>
      </c>
      <c r="T822" t="str">
        <f t="shared" si="91"/>
        <v>e</v>
      </c>
      <c r="U822" t="s">
        <v>8</v>
      </c>
      <c r="V822" t="s">
        <v>216</v>
      </c>
      <c r="W822" t="s">
        <v>70</v>
      </c>
      <c r="X822" t="s">
        <v>705</v>
      </c>
      <c r="AF822" t="s">
        <v>635</v>
      </c>
      <c r="AJ822">
        <v>1</v>
      </c>
      <c r="AM822" t="str">
        <f t="shared" si="97"/>
        <v>Pass</v>
      </c>
      <c r="AN822" t="str">
        <f t="shared" si="98"/>
        <v>Pass_Intercepted</v>
      </c>
      <c r="AP822" t="str">
        <f t="shared" si="93"/>
        <v>Offensive</v>
      </c>
      <c r="BB822" s="23"/>
      <c r="BD822" s="21"/>
      <c r="BE822" s="21"/>
      <c r="BF822" s="21"/>
      <c r="BG822" s="21"/>
      <c r="BH822" s="21"/>
      <c r="BI822" s="21"/>
    </row>
    <row r="823" spans="1:61" x14ac:dyDescent="0.2">
      <c r="A823">
        <v>417</v>
      </c>
      <c r="B823">
        <v>74</v>
      </c>
      <c r="C823">
        <f t="shared" si="90"/>
        <v>9074</v>
      </c>
      <c r="D823">
        <f t="shared" si="96"/>
        <v>9074</v>
      </c>
      <c r="H823">
        <f t="shared" si="92"/>
        <v>1</v>
      </c>
      <c r="R823">
        <v>77</v>
      </c>
      <c r="T823" t="str">
        <f t="shared" si="91"/>
        <v>o</v>
      </c>
      <c r="Y823" t="s">
        <v>715</v>
      </c>
      <c r="AJ823">
        <v>1</v>
      </c>
      <c r="AM823" t="str">
        <f t="shared" si="97"/>
        <v>Pass</v>
      </c>
      <c r="AN823" t="str">
        <f t="shared" si="98"/>
        <v>Pass_Intercepted</v>
      </c>
      <c r="AP823" t="str">
        <f t="shared" si="93"/>
        <v>Defensive</v>
      </c>
      <c r="BB823" s="23"/>
      <c r="BD823" s="21"/>
      <c r="BE823" s="21"/>
      <c r="BF823" s="21"/>
      <c r="BG823" s="21"/>
      <c r="BH823" s="21"/>
      <c r="BI823" s="21"/>
    </row>
    <row r="824" spans="1:61" x14ac:dyDescent="0.2">
      <c r="A824">
        <v>417</v>
      </c>
      <c r="B824">
        <v>74</v>
      </c>
      <c r="C824">
        <f t="shared" si="90"/>
        <v>9074</v>
      </c>
      <c r="D824">
        <f t="shared" si="96"/>
        <v>9074</v>
      </c>
      <c r="H824">
        <f t="shared" si="92"/>
        <v>1</v>
      </c>
      <c r="R824">
        <v>13</v>
      </c>
      <c r="T824" t="str">
        <f t="shared" si="91"/>
        <v>o</v>
      </c>
      <c r="Y824" t="s">
        <v>722</v>
      </c>
      <c r="AA824" t="s">
        <v>706</v>
      </c>
      <c r="AM824" t="str">
        <f t="shared" si="97"/>
        <v>Pass</v>
      </c>
      <c r="AN824" t="str">
        <f t="shared" si="98"/>
        <v>Pass_Intercepted</v>
      </c>
      <c r="AP824" t="str">
        <f t="shared" si="93"/>
        <v>Defensive</v>
      </c>
      <c r="BB824" s="23"/>
      <c r="BD824" s="21"/>
      <c r="BE824" s="21"/>
      <c r="BF824" s="21"/>
      <c r="BG824" s="21"/>
      <c r="BH824" s="21"/>
      <c r="BI824" s="21"/>
    </row>
    <row r="825" spans="1:61" x14ac:dyDescent="0.2">
      <c r="A825">
        <v>418</v>
      </c>
      <c r="B825">
        <v>74</v>
      </c>
      <c r="C825">
        <f t="shared" si="90"/>
        <v>9074</v>
      </c>
      <c r="D825">
        <f t="shared" si="96"/>
        <v>9074</v>
      </c>
      <c r="H825">
        <f t="shared" si="92"/>
        <v>1</v>
      </c>
      <c r="I825" s="5" t="s">
        <v>897</v>
      </c>
      <c r="J825" s="5" t="s">
        <v>779</v>
      </c>
      <c r="Q825" t="s">
        <v>620</v>
      </c>
      <c r="R825">
        <v>75</v>
      </c>
      <c r="S825">
        <v>1</v>
      </c>
      <c r="T825" t="str">
        <f t="shared" si="91"/>
        <v>e</v>
      </c>
      <c r="U825" t="s">
        <v>10</v>
      </c>
      <c r="V825" t="s">
        <v>190</v>
      </c>
      <c r="W825" t="s">
        <v>75</v>
      </c>
      <c r="AF825" t="s">
        <v>635</v>
      </c>
      <c r="AJ825">
        <v>1</v>
      </c>
      <c r="AM825" t="str">
        <f t="shared" si="97"/>
        <v>Turnover</v>
      </c>
      <c r="AN825" t="str">
        <f t="shared" si="98"/>
        <v>Turnover_Giveaway</v>
      </c>
      <c r="AP825" t="str">
        <f t="shared" si="93"/>
        <v>Offensive</v>
      </c>
      <c r="BB825" s="23"/>
      <c r="BD825" s="21"/>
      <c r="BE825" s="21"/>
      <c r="BF825" s="21"/>
      <c r="BG825" s="21"/>
      <c r="BH825" s="21"/>
      <c r="BI825" s="21"/>
    </row>
    <row r="826" spans="1:61" x14ac:dyDescent="0.2">
      <c r="A826">
        <v>418</v>
      </c>
      <c r="B826">
        <v>74</v>
      </c>
      <c r="C826">
        <f t="shared" si="90"/>
        <v>9074</v>
      </c>
      <c r="D826">
        <f t="shared" si="96"/>
        <v>9074</v>
      </c>
      <c r="H826">
        <f t="shared" si="92"/>
        <v>1</v>
      </c>
      <c r="R826">
        <v>77</v>
      </c>
      <c r="T826" t="str">
        <f t="shared" si="91"/>
        <v>o</v>
      </c>
      <c r="Y826" t="s">
        <v>715</v>
      </c>
      <c r="AJ826">
        <v>1</v>
      </c>
      <c r="AM826" t="str">
        <f t="shared" si="97"/>
        <v>Turnover</v>
      </c>
      <c r="AN826" t="str">
        <f t="shared" si="98"/>
        <v>Turnover_Giveaway</v>
      </c>
      <c r="AP826" t="str">
        <f t="shared" si="93"/>
        <v>Defensive</v>
      </c>
      <c r="BB826" s="23"/>
      <c r="BD826" s="21"/>
      <c r="BE826" s="21"/>
      <c r="BF826" s="21"/>
      <c r="BG826" s="21"/>
      <c r="BH826" s="21"/>
      <c r="BI826" s="21"/>
    </row>
    <row r="827" spans="1:61" x14ac:dyDescent="0.2">
      <c r="A827">
        <v>418</v>
      </c>
      <c r="B827">
        <v>74</v>
      </c>
      <c r="C827">
        <f t="shared" si="90"/>
        <v>9074</v>
      </c>
      <c r="D827">
        <f t="shared" si="96"/>
        <v>9074</v>
      </c>
      <c r="H827">
        <f t="shared" si="92"/>
        <v>1</v>
      </c>
      <c r="R827">
        <v>13</v>
      </c>
      <c r="T827" t="str">
        <f t="shared" si="91"/>
        <v>o</v>
      </c>
      <c r="Y827" t="s">
        <v>722</v>
      </c>
      <c r="AA827" t="s">
        <v>706</v>
      </c>
      <c r="AM827" t="str">
        <f t="shared" si="97"/>
        <v>Turnover</v>
      </c>
      <c r="AN827" t="str">
        <f t="shared" si="98"/>
        <v>Turnover_Giveaway</v>
      </c>
      <c r="AP827" t="str">
        <f t="shared" si="93"/>
        <v>Defensive</v>
      </c>
      <c r="BB827" s="23"/>
      <c r="BD827" s="21"/>
      <c r="BE827" s="21"/>
      <c r="BF827" s="21"/>
      <c r="BG827" s="21"/>
      <c r="BH827" s="21"/>
      <c r="BI827" s="21"/>
    </row>
    <row r="828" spans="1:61" x14ac:dyDescent="0.2">
      <c r="A828">
        <v>419</v>
      </c>
      <c r="B828" t="s">
        <v>887</v>
      </c>
      <c r="C828" t="str">
        <f t="shared" si="90"/>
        <v/>
      </c>
      <c r="D828" t="str">
        <f t="shared" si="96"/>
        <v/>
      </c>
      <c r="H828">
        <f t="shared" si="92"/>
        <v>1</v>
      </c>
      <c r="I828" s="5" t="s">
        <v>897</v>
      </c>
      <c r="J828" s="5" t="s">
        <v>721</v>
      </c>
      <c r="Q828" t="s">
        <v>619</v>
      </c>
      <c r="R828">
        <v>13</v>
      </c>
      <c r="S828">
        <v>1</v>
      </c>
      <c r="T828" t="str">
        <f t="shared" si="91"/>
        <v>e</v>
      </c>
      <c r="U828" t="s">
        <v>8</v>
      </c>
      <c r="V828" t="s">
        <v>189</v>
      </c>
      <c r="W828" t="s">
        <v>418</v>
      </c>
      <c r="X828" t="s">
        <v>706</v>
      </c>
      <c r="Y828" t="s">
        <v>814</v>
      </c>
      <c r="AA828" t="s">
        <v>706</v>
      </c>
      <c r="AF828" t="s">
        <v>635</v>
      </c>
      <c r="AM828" t="str">
        <f t="shared" si="97"/>
        <v>Pass</v>
      </c>
      <c r="AN828" t="str">
        <f t="shared" si="98"/>
        <v>Pass_Completed</v>
      </c>
      <c r="AP828" t="str">
        <f t="shared" si="93"/>
        <v>Offensive</v>
      </c>
      <c r="BB828" s="23"/>
      <c r="BD828" s="21"/>
      <c r="BE828" s="21"/>
      <c r="BF828" s="21"/>
      <c r="BG828" s="21"/>
      <c r="BH828" s="21"/>
      <c r="BI828" s="21"/>
    </row>
    <row r="829" spans="1:61" x14ac:dyDescent="0.2">
      <c r="A829">
        <v>419</v>
      </c>
      <c r="B829" t="s">
        <v>887</v>
      </c>
      <c r="C829" t="str">
        <f t="shared" si="90"/>
        <v/>
      </c>
      <c r="D829" t="str">
        <f t="shared" si="96"/>
        <v/>
      </c>
      <c r="H829">
        <f t="shared" si="92"/>
        <v>1</v>
      </c>
      <c r="R829">
        <v>77</v>
      </c>
      <c r="S829">
        <v>1</v>
      </c>
      <c r="T829" t="str">
        <f t="shared" si="91"/>
        <v>e</v>
      </c>
      <c r="AM829" t="str">
        <f t="shared" si="97"/>
        <v>Pass</v>
      </c>
      <c r="AN829" t="str">
        <f t="shared" si="98"/>
        <v>Pass_Completed</v>
      </c>
      <c r="AP829" t="str">
        <f t="shared" si="93"/>
        <v>Offensive</v>
      </c>
      <c r="BB829" s="23"/>
      <c r="BD829" s="21"/>
      <c r="BE829" s="21"/>
      <c r="BF829" s="21"/>
      <c r="BG829" s="21"/>
      <c r="BH829" s="21"/>
      <c r="BI829" s="21"/>
    </row>
    <row r="830" spans="1:61" x14ac:dyDescent="0.2">
      <c r="A830">
        <v>420</v>
      </c>
      <c r="B830" t="s">
        <v>887</v>
      </c>
      <c r="C830" t="str">
        <f t="shared" si="90"/>
        <v/>
      </c>
      <c r="D830" t="str">
        <f t="shared" si="96"/>
        <v/>
      </c>
      <c r="H830">
        <f t="shared" si="92"/>
        <v>1</v>
      </c>
      <c r="I830" s="5" t="s">
        <v>897</v>
      </c>
      <c r="J830" s="5" t="s">
        <v>721</v>
      </c>
      <c r="K830" s="5" t="s">
        <v>897</v>
      </c>
      <c r="L830" s="7" t="s">
        <v>812</v>
      </c>
      <c r="Q830" t="s">
        <v>619</v>
      </c>
      <c r="R830">
        <v>77</v>
      </c>
      <c r="S830">
        <v>1</v>
      </c>
      <c r="T830" t="str">
        <f t="shared" si="91"/>
        <v>e</v>
      </c>
      <c r="U830" t="s">
        <v>15</v>
      </c>
      <c r="AF830" t="s">
        <v>635</v>
      </c>
      <c r="AM830" t="str">
        <f t="shared" si="97"/>
        <v>Possession</v>
      </c>
      <c r="AN830" t="str">
        <f t="shared" si="98"/>
        <v/>
      </c>
      <c r="AP830" t="str">
        <f t="shared" si="93"/>
        <v>Offensive</v>
      </c>
      <c r="BB830" s="23"/>
      <c r="BD830" s="21"/>
      <c r="BE830" s="21"/>
      <c r="BF830" s="21"/>
      <c r="BG830" s="21"/>
      <c r="BH830" s="21"/>
      <c r="BI830" s="21"/>
    </row>
    <row r="831" spans="1:61" x14ac:dyDescent="0.2">
      <c r="A831">
        <v>421</v>
      </c>
      <c r="B831" t="s">
        <v>887</v>
      </c>
      <c r="C831" t="str">
        <f t="shared" si="90"/>
        <v/>
      </c>
      <c r="D831" t="str">
        <f t="shared" si="96"/>
        <v/>
      </c>
      <c r="H831">
        <f t="shared" si="92"/>
        <v>1</v>
      </c>
      <c r="I831" s="5" t="s">
        <v>897</v>
      </c>
      <c r="J831" s="5" t="s">
        <v>812</v>
      </c>
      <c r="K831" s="5" t="s">
        <v>897</v>
      </c>
      <c r="L831" s="7" t="s">
        <v>780</v>
      </c>
      <c r="Q831" t="s">
        <v>619</v>
      </c>
      <c r="R831">
        <v>77</v>
      </c>
      <c r="S831">
        <v>1</v>
      </c>
      <c r="T831" t="str">
        <f t="shared" si="91"/>
        <v>e</v>
      </c>
      <c r="U831" t="s">
        <v>257</v>
      </c>
      <c r="V831" t="s">
        <v>191</v>
      </c>
      <c r="W831" t="s">
        <v>87</v>
      </c>
      <c r="X831" t="s">
        <v>706</v>
      </c>
      <c r="Y831" t="s">
        <v>825</v>
      </c>
      <c r="AA831" t="s">
        <v>706</v>
      </c>
      <c r="AF831" t="s">
        <v>401</v>
      </c>
      <c r="AJ831">
        <v>1</v>
      </c>
      <c r="AM831" t="str">
        <f t="shared" si="97"/>
        <v>Zone_Entry_Exit</v>
      </c>
      <c r="AN831" t="str">
        <f t="shared" si="98"/>
        <v>Zone_Entry</v>
      </c>
      <c r="AP831" t="str">
        <f t="shared" si="93"/>
        <v>Offensive</v>
      </c>
      <c r="BB831" s="23"/>
      <c r="BD831" s="21"/>
      <c r="BE831" s="21"/>
      <c r="BF831" s="21"/>
      <c r="BG831" s="21"/>
      <c r="BH831" s="21"/>
      <c r="BI831" s="21"/>
    </row>
    <row r="832" spans="1:61" x14ac:dyDescent="0.2">
      <c r="A832">
        <v>421</v>
      </c>
      <c r="B832" t="s">
        <v>887</v>
      </c>
      <c r="C832" t="str">
        <f t="shared" si="90"/>
        <v/>
      </c>
      <c r="D832" t="str">
        <f t="shared" si="96"/>
        <v/>
      </c>
      <c r="H832">
        <f t="shared" si="92"/>
        <v>1</v>
      </c>
      <c r="R832">
        <v>68</v>
      </c>
      <c r="S832">
        <v>1</v>
      </c>
      <c r="T832" t="str">
        <f t="shared" si="91"/>
        <v>e</v>
      </c>
      <c r="AM832" t="str">
        <f t="shared" si="97"/>
        <v>Zone_Entry_Exit</v>
      </c>
      <c r="AN832" t="str">
        <f t="shared" si="98"/>
        <v>Zone_Entry</v>
      </c>
      <c r="AP832" t="str">
        <f t="shared" si="93"/>
        <v>Offensive</v>
      </c>
      <c r="BB832" s="23"/>
      <c r="BD832" s="21"/>
      <c r="BE832" s="21"/>
      <c r="BF832" s="21"/>
      <c r="BG832" s="21"/>
      <c r="BH832" s="21"/>
      <c r="BI832" s="21"/>
    </row>
    <row r="833" spans="1:61" x14ac:dyDescent="0.2">
      <c r="A833">
        <v>421</v>
      </c>
      <c r="B833" t="s">
        <v>887</v>
      </c>
      <c r="C833" t="str">
        <f t="shared" si="90"/>
        <v/>
      </c>
      <c r="D833" t="str">
        <f t="shared" si="96"/>
        <v/>
      </c>
      <c r="H833">
        <f t="shared" si="92"/>
        <v>1</v>
      </c>
      <c r="R833">
        <v>91</v>
      </c>
      <c r="T833" t="str">
        <f t="shared" si="91"/>
        <v>o</v>
      </c>
      <c r="Y833" t="s">
        <v>781</v>
      </c>
      <c r="AA833" t="s">
        <v>705</v>
      </c>
      <c r="AJ833">
        <v>1</v>
      </c>
      <c r="AM833" t="str">
        <f t="shared" si="97"/>
        <v>Zone_Entry_Exit</v>
      </c>
      <c r="AN833" t="str">
        <f t="shared" si="98"/>
        <v>Zone_Entry</v>
      </c>
      <c r="AP833" t="str">
        <f t="shared" si="93"/>
        <v>Defensive</v>
      </c>
      <c r="BB833" s="23"/>
      <c r="BD833" s="21"/>
      <c r="BE833" s="21"/>
      <c r="BF833" s="21"/>
      <c r="BG833" s="21"/>
      <c r="BH833" s="21"/>
      <c r="BI833" s="21"/>
    </row>
    <row r="834" spans="1:61" x14ac:dyDescent="0.2">
      <c r="A834">
        <v>421</v>
      </c>
      <c r="B834" t="s">
        <v>887</v>
      </c>
      <c r="C834" t="str">
        <f t="shared" si="90"/>
        <v/>
      </c>
      <c r="D834" t="str">
        <f t="shared" si="96"/>
        <v/>
      </c>
      <c r="H834">
        <f t="shared" si="92"/>
        <v>1</v>
      </c>
      <c r="R834">
        <v>75</v>
      </c>
      <c r="T834" t="str">
        <f t="shared" si="91"/>
        <v>o</v>
      </c>
      <c r="Y834" t="s">
        <v>715</v>
      </c>
      <c r="AA834" t="s">
        <v>705</v>
      </c>
      <c r="AJ834">
        <v>1</v>
      </c>
      <c r="AM834" t="str">
        <f t="shared" si="97"/>
        <v>Zone_Entry_Exit</v>
      </c>
      <c r="AN834" t="str">
        <f t="shared" si="98"/>
        <v>Zone_Entry</v>
      </c>
      <c r="AP834" t="str">
        <f t="shared" si="93"/>
        <v>Defensive</v>
      </c>
      <c r="BB834" s="23"/>
      <c r="BD834" s="21"/>
      <c r="BE834" s="21"/>
      <c r="BF834" s="21"/>
      <c r="BG834" s="21"/>
      <c r="BH834" s="21"/>
      <c r="BI834" s="21"/>
    </row>
    <row r="835" spans="1:61" x14ac:dyDescent="0.2">
      <c r="A835">
        <v>421</v>
      </c>
      <c r="B835" t="s">
        <v>887</v>
      </c>
      <c r="C835" t="str">
        <f t="shared" si="90"/>
        <v/>
      </c>
      <c r="D835" t="str">
        <f t="shared" si="96"/>
        <v/>
      </c>
      <c r="H835">
        <f t="shared" si="92"/>
        <v>1</v>
      </c>
      <c r="R835">
        <v>22</v>
      </c>
      <c r="T835" t="str">
        <f t="shared" ref="T835:T898" si="99">IF(S835="x","",IF(S835=1,"e","o"))</f>
        <v>o</v>
      </c>
      <c r="AM835" t="str">
        <f t="shared" si="97"/>
        <v>Zone_Entry_Exit</v>
      </c>
      <c r="AN835" t="str">
        <f t="shared" si="98"/>
        <v>Zone_Entry</v>
      </c>
      <c r="AP835" t="str">
        <f t="shared" si="93"/>
        <v>Defensive</v>
      </c>
      <c r="BB835" s="23"/>
      <c r="BD835" s="21"/>
      <c r="BE835" s="21"/>
      <c r="BF835" s="21"/>
      <c r="BG835" s="21"/>
      <c r="BH835" s="21"/>
      <c r="BI835" s="21"/>
    </row>
    <row r="836" spans="1:61" x14ac:dyDescent="0.2">
      <c r="A836">
        <v>422</v>
      </c>
      <c r="B836">
        <v>75</v>
      </c>
      <c r="C836">
        <f t="shared" ref="C836:C899" si="100">IF(B836&lt;&gt;"",9000+B836,"")</f>
        <v>9075</v>
      </c>
      <c r="D836">
        <f t="shared" si="96"/>
        <v>9075</v>
      </c>
      <c r="H836">
        <f t="shared" si="92"/>
        <v>1</v>
      </c>
      <c r="I836" s="5" t="s">
        <v>897</v>
      </c>
      <c r="J836" s="5" t="s">
        <v>759</v>
      </c>
      <c r="Q836" t="s">
        <v>620</v>
      </c>
      <c r="R836">
        <v>91</v>
      </c>
      <c r="S836">
        <v>1</v>
      </c>
      <c r="T836" t="str">
        <f t="shared" si="99"/>
        <v>e</v>
      </c>
      <c r="U836" t="s">
        <v>12</v>
      </c>
      <c r="V836" t="s">
        <v>192</v>
      </c>
      <c r="W836" t="s">
        <v>141</v>
      </c>
      <c r="AF836" t="s">
        <v>623</v>
      </c>
      <c r="AJ836">
        <v>1</v>
      </c>
      <c r="AM836" t="str">
        <f t="shared" si="97"/>
        <v>Penalty</v>
      </c>
      <c r="AN836" t="str">
        <f t="shared" si="98"/>
        <v>Penalty_Minor</v>
      </c>
      <c r="AP836" t="str">
        <f t="shared" si="93"/>
        <v>Offensive</v>
      </c>
      <c r="BB836" s="23"/>
      <c r="BD836" s="21"/>
      <c r="BE836" s="21"/>
      <c r="BF836" s="21"/>
      <c r="BG836" s="21"/>
      <c r="BH836" s="21"/>
      <c r="BI836" s="21"/>
    </row>
    <row r="837" spans="1:61" x14ac:dyDescent="0.2">
      <c r="A837">
        <v>422</v>
      </c>
      <c r="B837">
        <v>75</v>
      </c>
      <c r="C837">
        <f t="shared" si="100"/>
        <v>9075</v>
      </c>
      <c r="D837">
        <f t="shared" si="96"/>
        <v>9075</v>
      </c>
      <c r="H837">
        <f t="shared" ref="H837:H900" si="101">IF(U837="Intermission",H836+1,H836)</f>
        <v>1</v>
      </c>
      <c r="R837">
        <v>77</v>
      </c>
      <c r="T837" t="str">
        <f t="shared" si="99"/>
        <v>o</v>
      </c>
      <c r="AJ837">
        <v>1</v>
      </c>
      <c r="AM837" t="str">
        <f t="shared" ref="AM837:AM900" si="102">IF(U837&lt;&gt;"",U837,IF($A837=$A836,AM836,""))</f>
        <v>Penalty</v>
      </c>
      <c r="AN837" t="str">
        <f t="shared" ref="AN837:AN900" si="103">IF(V837&lt;&gt;"",V837,IF($A837=$A836,AN836,""))</f>
        <v>Penalty_Minor</v>
      </c>
      <c r="AP837" t="str">
        <f t="shared" si="93"/>
        <v>Defensive</v>
      </c>
      <c r="BB837" s="23"/>
      <c r="BD837" s="21"/>
      <c r="BE837" s="21"/>
      <c r="BF837" s="21"/>
      <c r="BG837" s="21"/>
      <c r="BH837" s="21"/>
      <c r="BI837" s="21"/>
    </row>
    <row r="838" spans="1:61" x14ac:dyDescent="0.2">
      <c r="A838">
        <v>423</v>
      </c>
      <c r="B838">
        <v>75</v>
      </c>
      <c r="C838">
        <f t="shared" si="100"/>
        <v>9075</v>
      </c>
      <c r="D838">
        <f t="shared" si="96"/>
        <v>9075</v>
      </c>
      <c r="H838">
        <f t="shared" si="101"/>
        <v>1</v>
      </c>
      <c r="I838" s="5" t="s">
        <v>897</v>
      </c>
      <c r="J838" s="5" t="s">
        <v>759</v>
      </c>
      <c r="Q838" t="s">
        <v>620</v>
      </c>
      <c r="R838">
        <v>91</v>
      </c>
      <c r="S838">
        <v>1</v>
      </c>
      <c r="T838" t="str">
        <f t="shared" si="99"/>
        <v>e</v>
      </c>
      <c r="U838" t="s">
        <v>13</v>
      </c>
      <c r="V838" t="s">
        <v>204</v>
      </c>
      <c r="W838" t="s">
        <v>43</v>
      </c>
      <c r="AF838" t="s">
        <v>623</v>
      </c>
      <c r="AM838" t="str">
        <f t="shared" si="102"/>
        <v>Stoppage</v>
      </c>
      <c r="AN838" t="str">
        <f t="shared" si="103"/>
        <v>Stoppage_Play</v>
      </c>
      <c r="AP838" t="str">
        <f t="shared" ref="AP838:AP901" si="104">IF(AND(T838="e",OR(AM838="Save",AN838="Turnover_Takeaway",AN838="Play_Defensive")),"Defensive",IF(AND(T838="o",OR(AM838="Save",AN838="Turnover_Takeaway",AN838="Play_Defensive")),"Offensive",IF(OR(AM838="Deadice",AM838="Stoppage",AM838="Intermission"),"",IF(T838="e","Offensive",IF(T838="o","Defensive","")))))</f>
        <v/>
      </c>
      <c r="BB838" s="23"/>
      <c r="BD838" s="21"/>
      <c r="BE838" s="21"/>
      <c r="BF838" s="21"/>
      <c r="BG838" s="21"/>
      <c r="BH838" s="21"/>
      <c r="BI838" s="21"/>
    </row>
    <row r="839" spans="1:61" x14ac:dyDescent="0.2">
      <c r="A839">
        <v>424</v>
      </c>
      <c r="B839">
        <v>75</v>
      </c>
      <c r="C839">
        <f t="shared" si="100"/>
        <v>9075</v>
      </c>
      <c r="D839">
        <f t="shared" si="96"/>
        <v>9075</v>
      </c>
      <c r="H839">
        <f t="shared" si="101"/>
        <v>1</v>
      </c>
      <c r="I839" s="5" t="s">
        <v>897</v>
      </c>
      <c r="J839" s="5" t="s">
        <v>759</v>
      </c>
      <c r="K839" s="5" t="s">
        <v>816</v>
      </c>
      <c r="L839" s="7" t="s">
        <v>639</v>
      </c>
      <c r="Q839" t="s">
        <v>620</v>
      </c>
      <c r="R839">
        <v>91</v>
      </c>
      <c r="S839">
        <v>1</v>
      </c>
      <c r="T839" t="str">
        <f t="shared" si="99"/>
        <v>e</v>
      </c>
      <c r="U839" t="s">
        <v>262</v>
      </c>
      <c r="AF839" t="s">
        <v>623</v>
      </c>
      <c r="AM839" t="str">
        <f t="shared" si="102"/>
        <v>DeadIce</v>
      </c>
      <c r="AN839" t="str">
        <f t="shared" si="103"/>
        <v/>
      </c>
      <c r="AP839" t="str">
        <f t="shared" si="104"/>
        <v/>
      </c>
      <c r="BB839" s="23"/>
      <c r="BD839" s="21"/>
      <c r="BE839" s="21"/>
      <c r="BF839" s="21"/>
      <c r="BG839" s="21"/>
      <c r="BH839" s="21"/>
      <c r="BI839" s="21"/>
    </row>
    <row r="840" spans="1:61" x14ac:dyDescent="0.2">
      <c r="A840">
        <v>425</v>
      </c>
      <c r="B840" t="s">
        <v>887</v>
      </c>
      <c r="C840" t="str">
        <f t="shared" si="100"/>
        <v/>
      </c>
      <c r="D840" t="str">
        <f t="shared" si="96"/>
        <v/>
      </c>
      <c r="H840">
        <f t="shared" si="101"/>
        <v>1</v>
      </c>
      <c r="I840" s="5" t="s">
        <v>816</v>
      </c>
      <c r="J840" s="5" t="s">
        <v>639</v>
      </c>
      <c r="Q840" t="s">
        <v>619</v>
      </c>
      <c r="R840">
        <v>77</v>
      </c>
      <c r="S840">
        <v>1</v>
      </c>
      <c r="T840" t="str">
        <f t="shared" si="99"/>
        <v>e</v>
      </c>
      <c r="U840" t="s">
        <v>6</v>
      </c>
      <c r="V840" t="s">
        <v>197</v>
      </c>
      <c r="AF840" t="s">
        <v>401</v>
      </c>
      <c r="AM840" t="str">
        <f t="shared" si="102"/>
        <v>Faceoff</v>
      </c>
      <c r="AN840" t="str">
        <f t="shared" si="103"/>
        <v>Faceoff_AfterPenalty</v>
      </c>
      <c r="AP840" t="str">
        <f t="shared" si="104"/>
        <v>Offensive</v>
      </c>
      <c r="BB840" s="23"/>
      <c r="BD840" s="21"/>
      <c r="BE840" s="21"/>
      <c r="BF840" s="21"/>
      <c r="BG840" s="21"/>
      <c r="BH840" s="21"/>
      <c r="BI840" s="21"/>
    </row>
    <row r="841" spans="1:61" x14ac:dyDescent="0.2">
      <c r="A841">
        <v>425</v>
      </c>
      <c r="B841" t="s">
        <v>887</v>
      </c>
      <c r="C841" t="str">
        <f t="shared" si="100"/>
        <v/>
      </c>
      <c r="D841" t="str">
        <f t="shared" ref="D841:D904" si="105">IF(C841&lt;&gt;"",C841,B841)</f>
        <v/>
      </c>
      <c r="H841">
        <f t="shared" si="101"/>
        <v>1</v>
      </c>
      <c r="R841">
        <v>42</v>
      </c>
      <c r="T841" t="str">
        <f t="shared" si="99"/>
        <v>o</v>
      </c>
      <c r="AM841" t="str">
        <f t="shared" si="102"/>
        <v>Faceoff</v>
      </c>
      <c r="AN841" t="str">
        <f t="shared" si="103"/>
        <v>Faceoff_AfterPenalty</v>
      </c>
      <c r="AP841" t="str">
        <f t="shared" si="104"/>
        <v>Defensive</v>
      </c>
      <c r="BB841" s="23"/>
      <c r="BD841" s="21"/>
      <c r="BE841" s="21"/>
      <c r="BF841" s="21"/>
      <c r="BG841" s="21"/>
      <c r="BH841" s="21"/>
      <c r="BI841" s="21"/>
    </row>
    <row r="842" spans="1:61" x14ac:dyDescent="0.2">
      <c r="A842">
        <v>426</v>
      </c>
      <c r="B842" t="s">
        <v>887</v>
      </c>
      <c r="C842" t="str">
        <f t="shared" si="100"/>
        <v/>
      </c>
      <c r="D842" t="str">
        <f t="shared" si="105"/>
        <v/>
      </c>
      <c r="H842">
        <f t="shared" si="101"/>
        <v>1</v>
      </c>
      <c r="I842" s="5" t="s">
        <v>816</v>
      </c>
      <c r="J842" s="5" t="s">
        <v>753</v>
      </c>
      <c r="Q842" t="s">
        <v>619</v>
      </c>
      <c r="R842">
        <v>13</v>
      </c>
      <c r="S842">
        <v>1</v>
      </c>
      <c r="T842" t="str">
        <f t="shared" si="99"/>
        <v>e</v>
      </c>
      <c r="U842" t="s">
        <v>8</v>
      </c>
      <c r="V842" t="s">
        <v>189</v>
      </c>
      <c r="W842" t="s">
        <v>71</v>
      </c>
      <c r="X842" t="s">
        <v>706</v>
      </c>
      <c r="Y842" t="s">
        <v>814</v>
      </c>
      <c r="AA842" t="s">
        <v>706</v>
      </c>
      <c r="AF842" t="s">
        <v>401</v>
      </c>
      <c r="AM842" t="str">
        <f t="shared" si="102"/>
        <v>Pass</v>
      </c>
      <c r="AN842" t="str">
        <f t="shared" si="103"/>
        <v>Pass_Completed</v>
      </c>
      <c r="AP842" t="str">
        <f t="shared" si="104"/>
        <v>Offensive</v>
      </c>
      <c r="BB842" s="23"/>
      <c r="BD842" s="21"/>
      <c r="BE842" s="21"/>
      <c r="BF842" s="21"/>
      <c r="BG842" s="21"/>
      <c r="BH842" s="21"/>
      <c r="BI842" s="21"/>
    </row>
    <row r="843" spans="1:61" x14ac:dyDescent="0.2">
      <c r="A843">
        <v>426</v>
      </c>
      <c r="B843" t="s">
        <v>887</v>
      </c>
      <c r="C843" t="str">
        <f t="shared" si="100"/>
        <v/>
      </c>
      <c r="D843" t="str">
        <f t="shared" si="105"/>
        <v/>
      </c>
      <c r="H843">
        <f t="shared" si="101"/>
        <v>1</v>
      </c>
      <c r="R843">
        <v>44</v>
      </c>
      <c r="S843">
        <v>1</v>
      </c>
      <c r="T843" t="str">
        <f t="shared" si="99"/>
        <v>e</v>
      </c>
      <c r="AM843" t="str">
        <f t="shared" si="102"/>
        <v>Pass</v>
      </c>
      <c r="AN843" t="str">
        <f t="shared" si="103"/>
        <v>Pass_Completed</v>
      </c>
      <c r="AP843" t="str">
        <f t="shared" si="104"/>
        <v>Offensive</v>
      </c>
      <c r="BB843" s="23"/>
      <c r="BD843" s="21"/>
      <c r="BE843" s="21"/>
      <c r="BF843" s="21"/>
      <c r="BG843" s="21"/>
      <c r="BH843" s="21"/>
      <c r="BI843" s="21"/>
    </row>
    <row r="844" spans="1:61" x14ac:dyDescent="0.2">
      <c r="A844">
        <v>427</v>
      </c>
      <c r="B844" t="s">
        <v>887</v>
      </c>
      <c r="C844" t="str">
        <f t="shared" si="100"/>
        <v/>
      </c>
      <c r="D844" t="str">
        <f t="shared" si="105"/>
        <v/>
      </c>
      <c r="H844">
        <f t="shared" si="101"/>
        <v>1</v>
      </c>
      <c r="I844" s="5" t="s">
        <v>816</v>
      </c>
      <c r="J844" s="5" t="s">
        <v>640</v>
      </c>
      <c r="K844" s="5" t="s">
        <v>816</v>
      </c>
      <c r="L844" s="7" t="s">
        <v>672</v>
      </c>
      <c r="Q844" t="s">
        <v>619</v>
      </c>
      <c r="R844">
        <v>44</v>
      </c>
      <c r="S844">
        <v>1</v>
      </c>
      <c r="T844" t="str">
        <f t="shared" si="99"/>
        <v>e</v>
      </c>
      <c r="U844" t="s">
        <v>15</v>
      </c>
      <c r="AF844" t="s">
        <v>401</v>
      </c>
      <c r="AM844" t="str">
        <f t="shared" si="102"/>
        <v>Possession</v>
      </c>
      <c r="AN844" t="str">
        <f t="shared" si="103"/>
        <v/>
      </c>
      <c r="AP844" t="str">
        <f t="shared" si="104"/>
        <v>Offensive</v>
      </c>
      <c r="BB844" s="23"/>
      <c r="BD844" s="21"/>
      <c r="BE844" s="21"/>
      <c r="BF844" s="21"/>
      <c r="BG844" s="21"/>
      <c r="BH844" s="21"/>
      <c r="BI844" s="21"/>
    </row>
    <row r="845" spans="1:61" x14ac:dyDescent="0.2">
      <c r="A845">
        <v>428</v>
      </c>
      <c r="B845" t="s">
        <v>887</v>
      </c>
      <c r="C845" t="str">
        <f t="shared" si="100"/>
        <v/>
      </c>
      <c r="D845" t="str">
        <f t="shared" si="105"/>
        <v/>
      </c>
      <c r="H845">
        <f t="shared" si="101"/>
        <v>1</v>
      </c>
      <c r="I845" s="5" t="s">
        <v>816</v>
      </c>
      <c r="J845" s="5" t="s">
        <v>672</v>
      </c>
      <c r="Q845" t="s">
        <v>619</v>
      </c>
      <c r="R845">
        <v>44</v>
      </c>
      <c r="S845">
        <v>1</v>
      </c>
      <c r="T845" t="str">
        <f t="shared" si="99"/>
        <v>e</v>
      </c>
      <c r="U845" t="s">
        <v>8</v>
      </c>
      <c r="V845" t="s">
        <v>189</v>
      </c>
      <c r="W845" t="s">
        <v>70</v>
      </c>
      <c r="X845" t="s">
        <v>706</v>
      </c>
      <c r="AF845" t="s">
        <v>401</v>
      </c>
      <c r="AM845" t="str">
        <f t="shared" si="102"/>
        <v>Pass</v>
      </c>
      <c r="AN845" t="str">
        <f t="shared" si="103"/>
        <v>Pass_Completed</v>
      </c>
      <c r="AP845" t="str">
        <f t="shared" si="104"/>
        <v>Offensive</v>
      </c>
      <c r="BB845" s="23"/>
      <c r="BD845" s="21"/>
      <c r="BE845" s="21"/>
      <c r="BF845" s="21"/>
      <c r="BG845" s="21"/>
      <c r="BH845" s="21"/>
      <c r="BI845" s="21"/>
    </row>
    <row r="846" spans="1:61" x14ac:dyDescent="0.2">
      <c r="A846">
        <v>428</v>
      </c>
      <c r="B846" t="s">
        <v>887</v>
      </c>
      <c r="C846" t="str">
        <f t="shared" si="100"/>
        <v/>
      </c>
      <c r="D846" t="str">
        <f t="shared" si="105"/>
        <v/>
      </c>
      <c r="H846">
        <f t="shared" si="101"/>
        <v>1</v>
      </c>
      <c r="R846">
        <v>13</v>
      </c>
      <c r="S846">
        <v>1</v>
      </c>
      <c r="T846" t="str">
        <f t="shared" si="99"/>
        <v>e</v>
      </c>
      <c r="AM846" t="str">
        <f t="shared" si="102"/>
        <v>Pass</v>
      </c>
      <c r="AN846" t="str">
        <f t="shared" si="103"/>
        <v>Pass_Completed</v>
      </c>
      <c r="AP846" t="str">
        <f t="shared" si="104"/>
        <v>Offensive</v>
      </c>
      <c r="BB846" s="23"/>
      <c r="BD846" s="21"/>
      <c r="BE846" s="21"/>
      <c r="BF846" s="21"/>
      <c r="BG846" s="21"/>
      <c r="BH846" s="21"/>
      <c r="BI846" s="21"/>
    </row>
    <row r="847" spans="1:61" x14ac:dyDescent="0.2">
      <c r="A847">
        <v>429</v>
      </c>
      <c r="B847" t="s">
        <v>887</v>
      </c>
      <c r="C847" t="str">
        <f t="shared" si="100"/>
        <v/>
      </c>
      <c r="D847" t="str">
        <f t="shared" si="105"/>
        <v/>
      </c>
      <c r="H847">
        <f t="shared" si="101"/>
        <v>1</v>
      </c>
      <c r="I847" s="5" t="s">
        <v>816</v>
      </c>
      <c r="J847" s="5" t="s">
        <v>672</v>
      </c>
      <c r="K847" s="5" t="s">
        <v>816</v>
      </c>
      <c r="L847" s="7" t="s">
        <v>682</v>
      </c>
      <c r="Q847" t="s">
        <v>619</v>
      </c>
      <c r="R847">
        <v>13</v>
      </c>
      <c r="S847">
        <v>1</v>
      </c>
      <c r="T847" t="str">
        <f t="shared" si="99"/>
        <v>e</v>
      </c>
      <c r="U847" t="s">
        <v>15</v>
      </c>
      <c r="AM847" t="str">
        <f t="shared" si="102"/>
        <v>Possession</v>
      </c>
      <c r="AN847" t="str">
        <f t="shared" si="103"/>
        <v/>
      </c>
      <c r="AP847" t="str">
        <f t="shared" si="104"/>
        <v>Offensive</v>
      </c>
      <c r="BB847" s="23"/>
      <c r="BD847" s="21"/>
      <c r="BE847" s="21"/>
      <c r="BF847" s="21"/>
      <c r="BG847" s="21"/>
      <c r="BH847" s="21"/>
      <c r="BI847" s="21"/>
    </row>
    <row r="848" spans="1:61" x14ac:dyDescent="0.2">
      <c r="A848">
        <v>430</v>
      </c>
      <c r="B848" t="s">
        <v>887</v>
      </c>
      <c r="C848" t="str">
        <f t="shared" si="100"/>
        <v/>
      </c>
      <c r="D848" t="str">
        <f t="shared" si="105"/>
        <v/>
      </c>
      <c r="H848">
        <f t="shared" si="101"/>
        <v>1</v>
      </c>
      <c r="I848" s="5" t="s">
        <v>816</v>
      </c>
      <c r="J848" s="5" t="s">
        <v>682</v>
      </c>
      <c r="Q848" t="s">
        <v>619</v>
      </c>
      <c r="R848">
        <v>13</v>
      </c>
      <c r="S848">
        <v>1</v>
      </c>
      <c r="T848" t="str">
        <f t="shared" si="99"/>
        <v>e</v>
      </c>
      <c r="U848" t="s">
        <v>8</v>
      </c>
      <c r="V848" t="s">
        <v>189</v>
      </c>
      <c r="W848" t="s">
        <v>70</v>
      </c>
      <c r="X848" t="s">
        <v>706</v>
      </c>
      <c r="AM848" t="str">
        <f t="shared" si="102"/>
        <v>Pass</v>
      </c>
      <c r="AN848" t="str">
        <f t="shared" si="103"/>
        <v>Pass_Completed</v>
      </c>
      <c r="AP848" t="str">
        <f t="shared" si="104"/>
        <v>Offensive</v>
      </c>
      <c r="BB848" s="23"/>
      <c r="BD848" s="21"/>
      <c r="BE848" s="21"/>
      <c r="BF848" s="21"/>
      <c r="BG848" s="21"/>
      <c r="BH848" s="21"/>
      <c r="BI848" s="21"/>
    </row>
    <row r="849" spans="1:61" x14ac:dyDescent="0.2">
      <c r="A849">
        <v>430</v>
      </c>
      <c r="B849" t="s">
        <v>887</v>
      </c>
      <c r="C849" t="str">
        <f t="shared" si="100"/>
        <v/>
      </c>
      <c r="D849" t="str">
        <f t="shared" si="105"/>
        <v/>
      </c>
      <c r="H849">
        <f t="shared" si="101"/>
        <v>1</v>
      </c>
      <c r="R849">
        <v>77</v>
      </c>
      <c r="S849">
        <v>1</v>
      </c>
      <c r="T849" t="str">
        <f t="shared" si="99"/>
        <v>e</v>
      </c>
      <c r="AM849" t="str">
        <f t="shared" si="102"/>
        <v>Pass</v>
      </c>
      <c r="AN849" t="str">
        <f t="shared" si="103"/>
        <v>Pass_Completed</v>
      </c>
      <c r="AP849" t="str">
        <f t="shared" si="104"/>
        <v>Offensive</v>
      </c>
      <c r="BB849" s="23"/>
      <c r="BD849" s="21"/>
      <c r="BE849" s="21"/>
      <c r="BF849" s="21"/>
      <c r="BG849" s="21"/>
      <c r="BH849" s="21"/>
      <c r="BI849" s="21"/>
    </row>
    <row r="850" spans="1:61" x14ac:dyDescent="0.2">
      <c r="A850">
        <v>431</v>
      </c>
      <c r="B850" t="s">
        <v>887</v>
      </c>
      <c r="C850" t="str">
        <f t="shared" si="100"/>
        <v/>
      </c>
      <c r="D850" t="str">
        <f t="shared" si="105"/>
        <v/>
      </c>
      <c r="H850">
        <f t="shared" si="101"/>
        <v>1</v>
      </c>
      <c r="I850" s="5" t="s">
        <v>816</v>
      </c>
      <c r="J850" s="5" t="s">
        <v>682</v>
      </c>
      <c r="K850" s="5" t="s">
        <v>816</v>
      </c>
      <c r="L850" s="7" t="s">
        <v>811</v>
      </c>
      <c r="Q850" t="s">
        <v>619</v>
      </c>
      <c r="R850">
        <v>77</v>
      </c>
      <c r="S850">
        <v>1</v>
      </c>
      <c r="T850" t="str">
        <f t="shared" si="99"/>
        <v>e</v>
      </c>
      <c r="U850" t="s">
        <v>15</v>
      </c>
      <c r="Y850" t="s">
        <v>777</v>
      </c>
      <c r="AA850" t="s">
        <v>706</v>
      </c>
      <c r="AF850" t="s">
        <v>401</v>
      </c>
      <c r="AJ850">
        <v>1</v>
      </c>
      <c r="AM850" t="str">
        <f t="shared" si="102"/>
        <v>Possession</v>
      </c>
      <c r="AN850" t="str">
        <f t="shared" si="103"/>
        <v/>
      </c>
      <c r="AP850" t="str">
        <f t="shared" si="104"/>
        <v>Offensive</v>
      </c>
      <c r="BB850" s="23"/>
      <c r="BD850" s="21"/>
      <c r="BE850" s="21"/>
      <c r="BF850" s="21"/>
      <c r="BG850" s="21"/>
      <c r="BH850" s="21"/>
      <c r="BI850" s="21"/>
    </row>
    <row r="851" spans="1:61" x14ac:dyDescent="0.2">
      <c r="A851">
        <v>431</v>
      </c>
      <c r="B851" t="s">
        <v>887</v>
      </c>
      <c r="C851" t="str">
        <f t="shared" si="100"/>
        <v/>
      </c>
      <c r="D851" t="str">
        <f t="shared" si="105"/>
        <v/>
      </c>
      <c r="H851">
        <f t="shared" si="101"/>
        <v>1</v>
      </c>
      <c r="R851">
        <v>84</v>
      </c>
      <c r="T851" t="str">
        <f t="shared" si="99"/>
        <v>o</v>
      </c>
      <c r="AJ851">
        <v>1</v>
      </c>
      <c r="AM851" t="str">
        <f t="shared" si="102"/>
        <v>Possession</v>
      </c>
      <c r="AN851" t="str">
        <f t="shared" si="103"/>
        <v/>
      </c>
      <c r="AP851" t="str">
        <f t="shared" si="104"/>
        <v>Defensive</v>
      </c>
      <c r="BB851" s="23"/>
      <c r="BD851" s="21"/>
      <c r="BE851" s="21"/>
      <c r="BF851" s="21"/>
      <c r="BG851" s="21"/>
      <c r="BH851" s="21"/>
      <c r="BI851" s="21"/>
    </row>
    <row r="852" spans="1:61" x14ac:dyDescent="0.2">
      <c r="A852">
        <v>432</v>
      </c>
      <c r="B852" t="s">
        <v>887</v>
      </c>
      <c r="C852" t="str">
        <f t="shared" si="100"/>
        <v/>
      </c>
      <c r="D852" t="str">
        <f t="shared" si="105"/>
        <v/>
      </c>
      <c r="H852">
        <f t="shared" si="101"/>
        <v>1</v>
      </c>
      <c r="I852" s="5" t="s">
        <v>816</v>
      </c>
      <c r="J852" s="5" t="s">
        <v>811</v>
      </c>
      <c r="K852" s="5" t="s">
        <v>816</v>
      </c>
      <c r="L852" s="7" t="s">
        <v>717</v>
      </c>
      <c r="Q852" t="s">
        <v>619</v>
      </c>
      <c r="R852">
        <v>77</v>
      </c>
      <c r="S852">
        <v>1</v>
      </c>
      <c r="T852" t="str">
        <f t="shared" si="99"/>
        <v>e</v>
      </c>
      <c r="U852" t="s">
        <v>15</v>
      </c>
      <c r="Y852" t="s">
        <v>784</v>
      </c>
      <c r="Z852" t="s">
        <v>852</v>
      </c>
      <c r="AA852" t="s">
        <v>706</v>
      </c>
      <c r="AF852" t="s">
        <v>401</v>
      </c>
      <c r="AJ852">
        <v>1</v>
      </c>
      <c r="AM852" t="str">
        <f t="shared" si="102"/>
        <v>Possession</v>
      </c>
      <c r="AN852" t="str">
        <f t="shared" si="103"/>
        <v/>
      </c>
      <c r="AP852" t="str">
        <f t="shared" si="104"/>
        <v>Offensive</v>
      </c>
      <c r="BB852" s="23"/>
      <c r="BD852" s="21"/>
      <c r="BE852" s="21"/>
      <c r="BF852" s="21"/>
      <c r="BG852" s="21"/>
      <c r="BH852" s="21"/>
      <c r="BI852" s="21"/>
    </row>
    <row r="853" spans="1:61" x14ac:dyDescent="0.2">
      <c r="A853">
        <v>432</v>
      </c>
      <c r="B853" t="s">
        <v>887</v>
      </c>
      <c r="C853" t="str">
        <f t="shared" si="100"/>
        <v/>
      </c>
      <c r="D853" t="str">
        <f t="shared" si="105"/>
        <v/>
      </c>
      <c r="H853">
        <f t="shared" si="101"/>
        <v>1</v>
      </c>
      <c r="R853">
        <v>70</v>
      </c>
      <c r="T853" t="str">
        <f t="shared" si="99"/>
        <v>o</v>
      </c>
      <c r="AJ853">
        <v>1</v>
      </c>
      <c r="AM853" t="str">
        <f t="shared" si="102"/>
        <v>Possession</v>
      </c>
      <c r="AN853" t="str">
        <f t="shared" si="103"/>
        <v/>
      </c>
      <c r="AP853" t="str">
        <f t="shared" si="104"/>
        <v>Defensive</v>
      </c>
      <c r="BB853" s="23"/>
      <c r="BD853" s="21"/>
      <c r="BE853" s="21"/>
      <c r="BF853" s="21"/>
      <c r="BG853" s="21"/>
      <c r="BH853" s="21"/>
      <c r="BI853" s="21"/>
    </row>
    <row r="854" spans="1:61" x14ac:dyDescent="0.2">
      <c r="A854">
        <v>433</v>
      </c>
      <c r="B854" t="s">
        <v>887</v>
      </c>
      <c r="C854" t="str">
        <f t="shared" si="100"/>
        <v/>
      </c>
      <c r="D854" t="str">
        <f t="shared" si="105"/>
        <v/>
      </c>
      <c r="H854">
        <f t="shared" si="101"/>
        <v>1</v>
      </c>
      <c r="I854" s="5" t="s">
        <v>816</v>
      </c>
      <c r="J854" s="5" t="s">
        <v>717</v>
      </c>
      <c r="Q854" t="s">
        <v>619</v>
      </c>
      <c r="R854">
        <v>77</v>
      </c>
      <c r="S854">
        <v>1</v>
      </c>
      <c r="T854" t="str">
        <f t="shared" si="99"/>
        <v>e</v>
      </c>
      <c r="U854" t="s">
        <v>8</v>
      </c>
      <c r="V854" t="s">
        <v>189</v>
      </c>
      <c r="W854" t="s">
        <v>69</v>
      </c>
      <c r="X854" t="s">
        <v>706</v>
      </c>
      <c r="Y854" t="s">
        <v>852</v>
      </c>
      <c r="AA854" t="s">
        <v>706</v>
      </c>
      <c r="AF854" t="s">
        <v>401</v>
      </c>
      <c r="AM854" t="str">
        <f t="shared" si="102"/>
        <v>Pass</v>
      </c>
      <c r="AN854" t="str">
        <f t="shared" si="103"/>
        <v>Pass_Completed</v>
      </c>
      <c r="AP854" t="str">
        <f t="shared" si="104"/>
        <v>Offensive</v>
      </c>
      <c r="BB854" s="23"/>
      <c r="BD854" s="21"/>
      <c r="BE854" s="21"/>
      <c r="BF854" s="21"/>
      <c r="BG854" s="21"/>
      <c r="BH854" s="21"/>
      <c r="BI854" s="21"/>
    </row>
    <row r="855" spans="1:61" x14ac:dyDescent="0.2">
      <c r="A855">
        <v>433</v>
      </c>
      <c r="B855" t="s">
        <v>887</v>
      </c>
      <c r="C855" t="str">
        <f t="shared" si="100"/>
        <v/>
      </c>
      <c r="D855" t="str">
        <f t="shared" si="105"/>
        <v/>
      </c>
      <c r="H855">
        <f t="shared" si="101"/>
        <v>1</v>
      </c>
      <c r="R855">
        <v>68</v>
      </c>
      <c r="S855">
        <v>1</v>
      </c>
      <c r="T855" t="str">
        <f t="shared" si="99"/>
        <v>e</v>
      </c>
      <c r="AM855" t="str">
        <f t="shared" si="102"/>
        <v>Pass</v>
      </c>
      <c r="AN855" t="str">
        <f t="shared" si="103"/>
        <v>Pass_Completed</v>
      </c>
      <c r="AP855" t="str">
        <f t="shared" si="104"/>
        <v>Offensive</v>
      </c>
      <c r="BB855" s="23"/>
      <c r="BD855" s="21"/>
      <c r="BE855" s="21"/>
      <c r="BF855" s="21"/>
      <c r="BG855" s="21"/>
      <c r="BH855" s="21"/>
      <c r="BI855" s="21"/>
    </row>
    <row r="856" spans="1:61" x14ac:dyDescent="0.2">
      <c r="A856">
        <v>434</v>
      </c>
      <c r="B856" t="s">
        <v>887</v>
      </c>
      <c r="C856" t="str">
        <f t="shared" si="100"/>
        <v/>
      </c>
      <c r="D856" t="str">
        <f t="shared" si="105"/>
        <v/>
      </c>
      <c r="H856">
        <f t="shared" si="101"/>
        <v>1</v>
      </c>
      <c r="I856" s="5" t="s">
        <v>816</v>
      </c>
      <c r="J856" s="5" t="s">
        <v>778</v>
      </c>
      <c r="K856" s="5" t="s">
        <v>816</v>
      </c>
      <c r="L856" s="7" t="s">
        <v>779</v>
      </c>
      <c r="Q856" t="s">
        <v>619</v>
      </c>
      <c r="R856">
        <v>68</v>
      </c>
      <c r="S856">
        <v>1</v>
      </c>
      <c r="T856" t="str">
        <f t="shared" si="99"/>
        <v>e</v>
      </c>
      <c r="U856" t="s">
        <v>15</v>
      </c>
      <c r="Y856" t="s">
        <v>809</v>
      </c>
      <c r="Z856" t="s">
        <v>852</v>
      </c>
      <c r="AA856" t="s">
        <v>706</v>
      </c>
      <c r="AF856" t="s">
        <v>401</v>
      </c>
      <c r="AM856" t="str">
        <f t="shared" si="102"/>
        <v>Possession</v>
      </c>
      <c r="AN856" t="str">
        <f t="shared" si="103"/>
        <v/>
      </c>
      <c r="AP856" t="str">
        <f t="shared" si="104"/>
        <v>Offensive</v>
      </c>
      <c r="BB856" s="23"/>
      <c r="BD856" s="21"/>
      <c r="BE856" s="21"/>
      <c r="BF856" s="21"/>
      <c r="BG856" s="21"/>
      <c r="BH856" s="21"/>
      <c r="BI856" s="21"/>
    </row>
    <row r="857" spans="1:61" x14ac:dyDescent="0.2">
      <c r="A857">
        <v>434</v>
      </c>
      <c r="B857" t="s">
        <v>887</v>
      </c>
      <c r="C857" t="str">
        <f t="shared" si="100"/>
        <v/>
      </c>
      <c r="D857" t="str">
        <f t="shared" si="105"/>
        <v/>
      </c>
      <c r="H857">
        <f t="shared" si="101"/>
        <v>1</v>
      </c>
      <c r="R857">
        <v>84</v>
      </c>
      <c r="T857" t="str">
        <f t="shared" si="99"/>
        <v>o</v>
      </c>
      <c r="AM857" t="str">
        <f t="shared" si="102"/>
        <v>Possession</v>
      </c>
      <c r="AN857" t="str">
        <f t="shared" si="103"/>
        <v/>
      </c>
      <c r="AP857" t="str">
        <f t="shared" si="104"/>
        <v>Defensive</v>
      </c>
      <c r="BB857" s="23"/>
      <c r="BD857" s="21"/>
      <c r="BE857" s="21"/>
      <c r="BF857" s="21"/>
      <c r="BG857" s="21"/>
      <c r="BH857" s="21"/>
      <c r="BI857" s="21"/>
    </row>
    <row r="858" spans="1:61" x14ac:dyDescent="0.2">
      <c r="A858">
        <v>435</v>
      </c>
      <c r="B858" t="s">
        <v>887</v>
      </c>
      <c r="C858" t="str">
        <f t="shared" si="100"/>
        <v/>
      </c>
      <c r="D858" t="str">
        <f t="shared" si="105"/>
        <v/>
      </c>
      <c r="H858">
        <f t="shared" si="101"/>
        <v>1</v>
      </c>
      <c r="I858" s="5" t="s">
        <v>816</v>
      </c>
      <c r="J858" s="5" t="s">
        <v>779</v>
      </c>
      <c r="Q858" t="s">
        <v>619</v>
      </c>
      <c r="R858">
        <v>68</v>
      </c>
      <c r="S858">
        <v>1</v>
      </c>
      <c r="T858" t="str">
        <f t="shared" si="99"/>
        <v>e</v>
      </c>
      <c r="U858" t="s">
        <v>8</v>
      </c>
      <c r="V858" t="s">
        <v>189</v>
      </c>
      <c r="W858" t="s">
        <v>70</v>
      </c>
      <c r="X858" t="s">
        <v>706</v>
      </c>
      <c r="AF858" t="s">
        <v>401</v>
      </c>
      <c r="AM858" t="str">
        <f t="shared" si="102"/>
        <v>Pass</v>
      </c>
      <c r="AN858" t="str">
        <f t="shared" si="103"/>
        <v>Pass_Completed</v>
      </c>
      <c r="AP858" t="str">
        <f t="shared" si="104"/>
        <v>Offensive</v>
      </c>
      <c r="BB858" s="23"/>
      <c r="BD858" s="21"/>
      <c r="BE858" s="21"/>
      <c r="BF858" s="21"/>
      <c r="BG858" s="21"/>
      <c r="BH858" s="21"/>
      <c r="BI858" s="21"/>
    </row>
    <row r="859" spans="1:61" x14ac:dyDescent="0.2">
      <c r="A859">
        <v>435</v>
      </c>
      <c r="B859" t="s">
        <v>887</v>
      </c>
      <c r="C859" t="str">
        <f t="shared" si="100"/>
        <v/>
      </c>
      <c r="D859" t="str">
        <f t="shared" si="105"/>
        <v/>
      </c>
      <c r="H859">
        <f t="shared" si="101"/>
        <v>1</v>
      </c>
      <c r="R859">
        <v>18</v>
      </c>
      <c r="S859">
        <v>1</v>
      </c>
      <c r="T859" t="str">
        <f t="shared" si="99"/>
        <v>e</v>
      </c>
      <c r="AM859" t="str">
        <f t="shared" si="102"/>
        <v>Pass</v>
      </c>
      <c r="AN859" t="str">
        <f t="shared" si="103"/>
        <v>Pass_Completed</v>
      </c>
      <c r="AP859" t="str">
        <f t="shared" si="104"/>
        <v>Offensive</v>
      </c>
      <c r="BB859" s="23"/>
      <c r="BD859" s="21"/>
      <c r="BE859" s="21"/>
      <c r="BF859" s="21"/>
      <c r="BG859" s="21"/>
      <c r="BH859" s="21"/>
      <c r="BI859" s="21"/>
    </row>
    <row r="860" spans="1:61" x14ac:dyDescent="0.2">
      <c r="A860">
        <v>436</v>
      </c>
      <c r="B860" t="s">
        <v>887</v>
      </c>
      <c r="C860" t="str">
        <f t="shared" si="100"/>
        <v/>
      </c>
      <c r="D860" t="str">
        <f t="shared" si="105"/>
        <v/>
      </c>
      <c r="H860">
        <f t="shared" si="101"/>
        <v>1</v>
      </c>
      <c r="I860" s="5" t="s">
        <v>816</v>
      </c>
      <c r="J860" s="5" t="s">
        <v>721</v>
      </c>
      <c r="Q860" t="s">
        <v>619</v>
      </c>
      <c r="R860">
        <v>18</v>
      </c>
      <c r="S860">
        <v>1</v>
      </c>
      <c r="T860" t="str">
        <f t="shared" si="99"/>
        <v>e</v>
      </c>
      <c r="U860" t="s">
        <v>7</v>
      </c>
      <c r="V860" t="s">
        <v>208</v>
      </c>
      <c r="W860" t="s">
        <v>54</v>
      </c>
      <c r="X860" t="s">
        <v>705</v>
      </c>
      <c r="AF860" t="s">
        <v>401</v>
      </c>
      <c r="AJ860">
        <v>1</v>
      </c>
      <c r="AM860" t="str">
        <f t="shared" si="102"/>
        <v>Shot</v>
      </c>
      <c r="AN860" t="str">
        <f t="shared" si="103"/>
        <v>Shot_Blocked</v>
      </c>
      <c r="AP860" t="str">
        <f t="shared" si="104"/>
        <v>Offensive</v>
      </c>
      <c r="BB860" s="23"/>
      <c r="BD860" s="21"/>
      <c r="BE860" s="21"/>
      <c r="BF860" s="21"/>
      <c r="BG860" s="21"/>
      <c r="BH860" s="21"/>
      <c r="BI860" s="21"/>
    </row>
    <row r="861" spans="1:61" x14ac:dyDescent="0.2">
      <c r="A861">
        <v>436</v>
      </c>
      <c r="B861" t="s">
        <v>887</v>
      </c>
      <c r="C861" t="str">
        <f t="shared" si="100"/>
        <v/>
      </c>
      <c r="D861" t="str">
        <f t="shared" si="105"/>
        <v/>
      </c>
      <c r="H861">
        <f t="shared" si="101"/>
        <v>1</v>
      </c>
      <c r="R861">
        <v>84</v>
      </c>
      <c r="T861" t="str">
        <f t="shared" si="99"/>
        <v>o</v>
      </c>
      <c r="Y861" t="s">
        <v>681</v>
      </c>
      <c r="AA861" t="s">
        <v>706</v>
      </c>
      <c r="AM861" t="str">
        <f t="shared" si="102"/>
        <v>Shot</v>
      </c>
      <c r="AN861" t="str">
        <f t="shared" si="103"/>
        <v>Shot_Blocked</v>
      </c>
      <c r="AP861" t="str">
        <f t="shared" si="104"/>
        <v>Defensive</v>
      </c>
      <c r="BB861" s="23"/>
      <c r="BD861" s="21"/>
      <c r="BE861" s="21"/>
      <c r="BF861" s="21"/>
      <c r="BG861" s="21"/>
      <c r="BH861" s="21"/>
      <c r="BI861" s="21"/>
    </row>
    <row r="862" spans="1:61" x14ac:dyDescent="0.2">
      <c r="A862">
        <v>436</v>
      </c>
      <c r="B862" t="s">
        <v>887</v>
      </c>
      <c r="C862" t="str">
        <f t="shared" si="100"/>
        <v/>
      </c>
      <c r="D862" t="str">
        <f t="shared" si="105"/>
        <v/>
      </c>
      <c r="H862">
        <f t="shared" si="101"/>
        <v>1</v>
      </c>
      <c r="R862">
        <v>70</v>
      </c>
      <c r="T862" t="str">
        <f t="shared" si="99"/>
        <v>o</v>
      </c>
      <c r="Y862" t="s">
        <v>715</v>
      </c>
      <c r="AJ862">
        <v>1</v>
      </c>
      <c r="AM862" t="str">
        <f t="shared" si="102"/>
        <v>Shot</v>
      </c>
      <c r="AN862" t="str">
        <f t="shared" si="103"/>
        <v>Shot_Blocked</v>
      </c>
      <c r="AP862" t="str">
        <f t="shared" si="104"/>
        <v>Defensive</v>
      </c>
      <c r="BB862" s="23"/>
      <c r="BD862" s="21"/>
      <c r="BE862" s="21"/>
      <c r="BF862" s="21"/>
      <c r="BG862" s="21"/>
      <c r="BH862" s="21"/>
      <c r="BI862" s="21"/>
    </row>
    <row r="863" spans="1:61" x14ac:dyDescent="0.2">
      <c r="A863">
        <v>437</v>
      </c>
      <c r="B863" t="s">
        <v>887</v>
      </c>
      <c r="C863" t="str">
        <f t="shared" si="100"/>
        <v/>
      </c>
      <c r="D863" t="str">
        <f t="shared" si="105"/>
        <v/>
      </c>
      <c r="H863">
        <f t="shared" si="101"/>
        <v>1</v>
      </c>
      <c r="I863" s="5" t="s">
        <v>816</v>
      </c>
      <c r="J863" s="5" t="s">
        <v>726</v>
      </c>
      <c r="Q863" t="s">
        <v>619</v>
      </c>
      <c r="R863">
        <v>44</v>
      </c>
      <c r="S863">
        <v>1</v>
      </c>
      <c r="T863" t="str">
        <f t="shared" si="99"/>
        <v>e</v>
      </c>
      <c r="U863" t="s">
        <v>15</v>
      </c>
      <c r="V863" t="s">
        <v>698</v>
      </c>
      <c r="X863" t="s">
        <v>706</v>
      </c>
      <c r="Y863" t="s">
        <v>739</v>
      </c>
      <c r="AA863" t="s">
        <v>706</v>
      </c>
      <c r="AF863" t="s">
        <v>401</v>
      </c>
      <c r="AM863" t="str">
        <f t="shared" si="102"/>
        <v>Possession</v>
      </c>
      <c r="AN863" t="str">
        <f t="shared" si="103"/>
        <v>PuckRecovery</v>
      </c>
      <c r="AP863" t="str">
        <f t="shared" si="104"/>
        <v>Offensive</v>
      </c>
      <c r="BB863" s="23"/>
      <c r="BD863" s="21"/>
      <c r="BE863" s="21"/>
      <c r="BF863" s="21"/>
      <c r="BG863" s="21"/>
      <c r="BH863" s="21"/>
      <c r="BI863" s="21"/>
    </row>
    <row r="864" spans="1:61" x14ac:dyDescent="0.2">
      <c r="A864">
        <v>438</v>
      </c>
      <c r="B864">
        <v>76</v>
      </c>
      <c r="C864">
        <f t="shared" si="100"/>
        <v>9076</v>
      </c>
      <c r="D864">
        <f t="shared" si="105"/>
        <v>9076</v>
      </c>
      <c r="H864">
        <f t="shared" si="101"/>
        <v>1</v>
      </c>
      <c r="I864" s="5" t="s">
        <v>816</v>
      </c>
      <c r="J864" s="5" t="s">
        <v>726</v>
      </c>
      <c r="Q864" t="s">
        <v>619</v>
      </c>
      <c r="R864">
        <v>44</v>
      </c>
      <c r="S864">
        <v>1</v>
      </c>
      <c r="T864" t="str">
        <f t="shared" si="99"/>
        <v>e</v>
      </c>
      <c r="U864" t="s">
        <v>7</v>
      </c>
      <c r="V864" t="s">
        <v>222</v>
      </c>
      <c r="W864" t="s">
        <v>57</v>
      </c>
      <c r="X864" t="s">
        <v>706</v>
      </c>
      <c r="AF864" t="s">
        <v>401</v>
      </c>
      <c r="AM864" t="str">
        <f t="shared" si="102"/>
        <v>Shot</v>
      </c>
      <c r="AN864" t="str">
        <f t="shared" si="103"/>
        <v>Shot_OnNetSaved</v>
      </c>
      <c r="AP864" t="str">
        <f t="shared" si="104"/>
        <v>Offensive</v>
      </c>
      <c r="BB864" s="23"/>
      <c r="BD864" s="21"/>
      <c r="BE864" s="21"/>
      <c r="BF864" s="21"/>
      <c r="BG864" s="21"/>
      <c r="BH864" s="21"/>
      <c r="BI864" s="21"/>
    </row>
    <row r="865" spans="1:61" x14ac:dyDescent="0.2">
      <c r="A865">
        <v>438</v>
      </c>
      <c r="B865">
        <v>76</v>
      </c>
      <c r="C865">
        <f t="shared" si="100"/>
        <v>9076</v>
      </c>
      <c r="D865">
        <f t="shared" si="105"/>
        <v>9076</v>
      </c>
      <c r="H865">
        <f t="shared" si="101"/>
        <v>1</v>
      </c>
      <c r="R865">
        <v>39</v>
      </c>
      <c r="T865" t="str">
        <f t="shared" si="99"/>
        <v>o</v>
      </c>
      <c r="AM865" t="str">
        <f t="shared" si="102"/>
        <v>Shot</v>
      </c>
      <c r="AN865" t="str">
        <f t="shared" si="103"/>
        <v>Shot_OnNetSaved</v>
      </c>
      <c r="AP865" t="str">
        <f t="shared" si="104"/>
        <v>Defensive</v>
      </c>
      <c r="BB865" s="23"/>
      <c r="BD865" s="21"/>
      <c r="BE865" s="21"/>
      <c r="BF865" s="21"/>
      <c r="BG865" s="21"/>
      <c r="BH865" s="21"/>
      <c r="BI865" s="21"/>
    </row>
    <row r="866" spans="1:61" x14ac:dyDescent="0.2">
      <c r="A866">
        <v>439</v>
      </c>
      <c r="B866">
        <v>76</v>
      </c>
      <c r="C866">
        <f t="shared" si="100"/>
        <v>9076</v>
      </c>
      <c r="D866">
        <f t="shared" si="105"/>
        <v>9076</v>
      </c>
      <c r="H866">
        <f t="shared" si="101"/>
        <v>1</v>
      </c>
      <c r="I866" s="5" t="s">
        <v>816</v>
      </c>
      <c r="J866" s="5" t="s">
        <v>726</v>
      </c>
      <c r="Q866" t="s">
        <v>620</v>
      </c>
      <c r="R866">
        <v>39</v>
      </c>
      <c r="S866">
        <v>1</v>
      </c>
      <c r="T866" t="str">
        <f t="shared" si="99"/>
        <v>e</v>
      </c>
      <c r="U866" t="s">
        <v>17</v>
      </c>
      <c r="V866" t="s">
        <v>196</v>
      </c>
      <c r="W866" t="s">
        <v>99</v>
      </c>
      <c r="AF866" t="s">
        <v>623</v>
      </c>
      <c r="AM866" t="str">
        <f t="shared" si="102"/>
        <v>Save</v>
      </c>
      <c r="AN866" t="str">
        <f t="shared" si="103"/>
        <v>Save_Rebound</v>
      </c>
      <c r="AP866" t="str">
        <f t="shared" si="104"/>
        <v>Defensive</v>
      </c>
      <c r="BB866" s="23"/>
      <c r="BD866" s="21"/>
      <c r="BE866" s="21"/>
      <c r="BF866" s="21"/>
      <c r="BG866" s="21"/>
      <c r="BH866" s="21"/>
      <c r="BI866" s="21"/>
    </row>
    <row r="867" spans="1:61" x14ac:dyDescent="0.2">
      <c r="A867">
        <v>439</v>
      </c>
      <c r="B867">
        <v>76</v>
      </c>
      <c r="C867">
        <f t="shared" si="100"/>
        <v>9076</v>
      </c>
      <c r="D867">
        <f t="shared" si="105"/>
        <v>9076</v>
      </c>
      <c r="H867">
        <f t="shared" si="101"/>
        <v>1</v>
      </c>
      <c r="R867">
        <v>44</v>
      </c>
      <c r="T867" t="str">
        <f t="shared" si="99"/>
        <v>o</v>
      </c>
      <c r="AM867" t="str">
        <f t="shared" si="102"/>
        <v>Save</v>
      </c>
      <c r="AN867" t="str">
        <f t="shared" si="103"/>
        <v>Save_Rebound</v>
      </c>
      <c r="AP867" t="str">
        <f t="shared" si="104"/>
        <v>Offensive</v>
      </c>
      <c r="BB867" s="23"/>
      <c r="BD867" s="21"/>
      <c r="BE867" s="21"/>
      <c r="BF867" s="21"/>
      <c r="BG867" s="21"/>
      <c r="BH867" s="21"/>
      <c r="BI867" s="21"/>
    </row>
    <row r="868" spans="1:61" x14ac:dyDescent="0.2">
      <c r="A868">
        <v>440</v>
      </c>
      <c r="B868">
        <v>76</v>
      </c>
      <c r="C868">
        <f t="shared" si="100"/>
        <v>9076</v>
      </c>
      <c r="D868">
        <f t="shared" si="105"/>
        <v>9076</v>
      </c>
      <c r="H868">
        <f t="shared" si="101"/>
        <v>1</v>
      </c>
      <c r="I868" s="5" t="s">
        <v>816</v>
      </c>
      <c r="J868" s="5" t="s">
        <v>780</v>
      </c>
      <c r="Q868" t="s">
        <v>620</v>
      </c>
      <c r="R868">
        <v>39</v>
      </c>
      <c r="S868">
        <v>1</v>
      </c>
      <c r="T868" t="str">
        <f t="shared" si="99"/>
        <v>e</v>
      </c>
      <c r="U868" t="s">
        <v>250</v>
      </c>
      <c r="V868" t="s">
        <v>251</v>
      </c>
      <c r="AF868" t="s">
        <v>623</v>
      </c>
      <c r="AM868" t="str">
        <f t="shared" si="102"/>
        <v>Rebound</v>
      </c>
      <c r="AN868" t="str">
        <f t="shared" si="103"/>
        <v>Rebound_TeamRecovered</v>
      </c>
      <c r="AP868" t="str">
        <f t="shared" si="104"/>
        <v>Offensive</v>
      </c>
      <c r="BB868" s="23"/>
      <c r="BD868" s="21"/>
      <c r="BE868" s="21"/>
      <c r="BF868" s="21"/>
      <c r="BG868" s="21"/>
      <c r="BH868" s="21"/>
      <c r="BI868" s="21"/>
    </row>
    <row r="869" spans="1:61" x14ac:dyDescent="0.2">
      <c r="A869">
        <v>441</v>
      </c>
      <c r="B869">
        <v>77</v>
      </c>
      <c r="C869">
        <f t="shared" si="100"/>
        <v>9077</v>
      </c>
      <c r="D869">
        <f t="shared" si="105"/>
        <v>9077</v>
      </c>
      <c r="H869">
        <f t="shared" si="101"/>
        <v>1</v>
      </c>
      <c r="I869" s="5" t="s">
        <v>816</v>
      </c>
      <c r="J869" s="5" t="s">
        <v>730</v>
      </c>
      <c r="Q869" t="s">
        <v>620</v>
      </c>
      <c r="R869">
        <v>70</v>
      </c>
      <c r="S869">
        <v>1</v>
      </c>
      <c r="T869" t="str">
        <f t="shared" si="99"/>
        <v>e</v>
      </c>
      <c r="U869" t="s">
        <v>257</v>
      </c>
      <c r="V869" t="s">
        <v>201</v>
      </c>
      <c r="W869" t="s">
        <v>618</v>
      </c>
      <c r="X869" t="s">
        <v>706</v>
      </c>
      <c r="AF869" t="s">
        <v>623</v>
      </c>
      <c r="AM869" t="str">
        <f t="shared" si="102"/>
        <v>Zone_Entry_Exit</v>
      </c>
      <c r="AN869" t="str">
        <f t="shared" si="103"/>
        <v>Zone_Exit</v>
      </c>
      <c r="AP869" t="str">
        <f t="shared" si="104"/>
        <v>Offensive</v>
      </c>
      <c r="BB869" s="23"/>
      <c r="BD869" s="21"/>
      <c r="BE869" s="21"/>
      <c r="BF869" s="21"/>
      <c r="BG869" s="21"/>
      <c r="BH869" s="21"/>
      <c r="BI869" s="21"/>
    </row>
    <row r="870" spans="1:61" x14ac:dyDescent="0.2">
      <c r="A870">
        <v>442</v>
      </c>
      <c r="B870">
        <v>77</v>
      </c>
      <c r="C870">
        <f t="shared" si="100"/>
        <v>9077</v>
      </c>
      <c r="D870">
        <f t="shared" si="105"/>
        <v>9077</v>
      </c>
      <c r="H870">
        <f t="shared" si="101"/>
        <v>1</v>
      </c>
      <c r="I870" s="5" t="s">
        <v>816</v>
      </c>
      <c r="J870" s="5" t="s">
        <v>730</v>
      </c>
      <c r="Q870" t="s">
        <v>620</v>
      </c>
      <c r="R870">
        <v>70</v>
      </c>
      <c r="S870">
        <v>1</v>
      </c>
      <c r="T870" t="str">
        <f t="shared" si="99"/>
        <v>e</v>
      </c>
      <c r="U870" t="s">
        <v>257</v>
      </c>
      <c r="V870" t="s">
        <v>191</v>
      </c>
      <c r="W870" t="s">
        <v>617</v>
      </c>
      <c r="X870" t="s">
        <v>706</v>
      </c>
      <c r="AF870" t="s">
        <v>623</v>
      </c>
      <c r="AM870" t="str">
        <f t="shared" si="102"/>
        <v>Zone_Entry_Exit</v>
      </c>
      <c r="AN870" t="str">
        <f t="shared" si="103"/>
        <v>Zone_Entry</v>
      </c>
      <c r="AP870" t="str">
        <f t="shared" si="104"/>
        <v>Offensive</v>
      </c>
      <c r="BB870" s="23"/>
      <c r="BD870" s="21"/>
      <c r="BE870" s="21"/>
      <c r="BF870" s="21"/>
      <c r="BG870" s="21"/>
      <c r="BH870" s="21"/>
      <c r="BI870" s="21"/>
    </row>
    <row r="871" spans="1:61" x14ac:dyDescent="0.2">
      <c r="A871">
        <v>443</v>
      </c>
      <c r="B871">
        <v>78</v>
      </c>
      <c r="C871">
        <f t="shared" si="100"/>
        <v>9078</v>
      </c>
      <c r="D871">
        <f t="shared" si="105"/>
        <v>9078</v>
      </c>
      <c r="H871">
        <f t="shared" si="101"/>
        <v>1</v>
      </c>
      <c r="I871" s="5" t="s">
        <v>816</v>
      </c>
      <c r="J871" s="5" t="s">
        <v>731</v>
      </c>
      <c r="Q871" t="s">
        <v>619</v>
      </c>
      <c r="R871">
        <v>30</v>
      </c>
      <c r="S871">
        <v>1</v>
      </c>
      <c r="T871" t="str">
        <f t="shared" si="99"/>
        <v>e</v>
      </c>
      <c r="U871" t="s">
        <v>8</v>
      </c>
      <c r="V871" t="s">
        <v>199</v>
      </c>
      <c r="W871" t="s">
        <v>70</v>
      </c>
      <c r="X871" t="s">
        <v>705</v>
      </c>
      <c r="AF871" t="s">
        <v>623</v>
      </c>
      <c r="AM871" t="str">
        <f t="shared" si="102"/>
        <v>Pass</v>
      </c>
      <c r="AN871" t="str">
        <f t="shared" si="103"/>
        <v>Pass_Missed</v>
      </c>
      <c r="AP871" t="str">
        <f t="shared" si="104"/>
        <v>Offensive</v>
      </c>
      <c r="BB871" s="23"/>
      <c r="BD871" s="21"/>
      <c r="BE871" s="21"/>
      <c r="BF871" s="21"/>
      <c r="BG871" s="21"/>
      <c r="BH871" s="21"/>
      <c r="BI871" s="21"/>
    </row>
    <row r="872" spans="1:61" x14ac:dyDescent="0.2">
      <c r="A872">
        <v>443</v>
      </c>
      <c r="B872">
        <v>78</v>
      </c>
      <c r="C872">
        <f t="shared" si="100"/>
        <v>9078</v>
      </c>
      <c r="D872">
        <f t="shared" si="105"/>
        <v>9078</v>
      </c>
      <c r="H872">
        <f t="shared" si="101"/>
        <v>1</v>
      </c>
      <c r="R872">
        <v>68</v>
      </c>
      <c r="S872">
        <v>1</v>
      </c>
      <c r="T872" t="str">
        <f t="shared" si="99"/>
        <v>e</v>
      </c>
      <c r="AM872" t="str">
        <f t="shared" si="102"/>
        <v>Pass</v>
      </c>
      <c r="AN872" t="str">
        <f t="shared" si="103"/>
        <v>Pass_Missed</v>
      </c>
      <c r="AP872" t="str">
        <f t="shared" si="104"/>
        <v>Offensive</v>
      </c>
      <c r="BB872" s="23"/>
      <c r="BD872" s="21"/>
      <c r="BE872" s="21"/>
      <c r="BF872" s="21"/>
      <c r="BG872" s="21"/>
      <c r="BH872" s="21"/>
      <c r="BI872" s="21"/>
    </row>
    <row r="873" spans="1:61" x14ac:dyDescent="0.2">
      <c r="A873">
        <v>444</v>
      </c>
      <c r="B873">
        <v>78</v>
      </c>
      <c r="C873">
        <f t="shared" si="100"/>
        <v>9078</v>
      </c>
      <c r="D873">
        <f t="shared" si="105"/>
        <v>9078</v>
      </c>
      <c r="H873">
        <f t="shared" si="101"/>
        <v>1</v>
      </c>
      <c r="I873" s="5" t="s">
        <v>816</v>
      </c>
      <c r="J873" s="5" t="s">
        <v>731</v>
      </c>
      <c r="Q873" t="s">
        <v>619</v>
      </c>
      <c r="R873">
        <v>30</v>
      </c>
      <c r="S873">
        <v>1</v>
      </c>
      <c r="T873" t="str">
        <f t="shared" si="99"/>
        <v>e</v>
      </c>
      <c r="U873" t="s">
        <v>257</v>
      </c>
      <c r="V873" t="s">
        <v>201</v>
      </c>
      <c r="W873" t="s">
        <v>409</v>
      </c>
      <c r="X873" t="s">
        <v>705</v>
      </c>
      <c r="AF873" t="s">
        <v>623</v>
      </c>
      <c r="AM873" t="str">
        <f t="shared" si="102"/>
        <v>Zone_Entry_Exit</v>
      </c>
      <c r="AN873" t="str">
        <f t="shared" si="103"/>
        <v>Zone_Exit</v>
      </c>
      <c r="AP873" t="str">
        <f t="shared" si="104"/>
        <v>Offensive</v>
      </c>
      <c r="BB873" s="23"/>
      <c r="BD873" s="21"/>
      <c r="BE873" s="21"/>
      <c r="BF873" s="21"/>
      <c r="BG873" s="21"/>
      <c r="BH873" s="21"/>
      <c r="BI873" s="21"/>
    </row>
    <row r="874" spans="1:61" x14ac:dyDescent="0.2">
      <c r="A874">
        <v>444</v>
      </c>
      <c r="B874">
        <v>78</v>
      </c>
      <c r="C874">
        <f t="shared" si="100"/>
        <v>9078</v>
      </c>
      <c r="D874">
        <f t="shared" si="105"/>
        <v>9078</v>
      </c>
      <c r="H874">
        <f t="shared" si="101"/>
        <v>1</v>
      </c>
      <c r="I874" s="5" t="s">
        <v>816</v>
      </c>
      <c r="J874" s="5" t="s">
        <v>731</v>
      </c>
      <c r="Q874" t="s">
        <v>619</v>
      </c>
      <c r="R874">
        <v>30</v>
      </c>
      <c r="S874">
        <v>1</v>
      </c>
      <c r="T874" t="str">
        <f t="shared" si="99"/>
        <v>e</v>
      </c>
      <c r="U874" t="s">
        <v>10</v>
      </c>
      <c r="V874" t="s">
        <v>190</v>
      </c>
      <c r="W874" t="s">
        <v>76</v>
      </c>
      <c r="AF874" t="s">
        <v>623</v>
      </c>
      <c r="AM874" t="str">
        <f t="shared" si="102"/>
        <v>Turnover</v>
      </c>
      <c r="AN874" t="str">
        <f t="shared" si="103"/>
        <v>Turnover_Giveaway</v>
      </c>
      <c r="AP874" t="str">
        <f t="shared" si="104"/>
        <v>Offensive</v>
      </c>
      <c r="BB874" s="23"/>
      <c r="BD874" s="21"/>
      <c r="BE874" s="21"/>
      <c r="BF874" s="21"/>
      <c r="BG874" s="21"/>
      <c r="BH874" s="21"/>
      <c r="BI874" s="21"/>
    </row>
    <row r="875" spans="1:61" x14ac:dyDescent="0.2">
      <c r="A875">
        <v>445</v>
      </c>
      <c r="B875">
        <v>78</v>
      </c>
      <c r="C875">
        <f t="shared" si="100"/>
        <v>9078</v>
      </c>
      <c r="D875">
        <f t="shared" si="105"/>
        <v>9078</v>
      </c>
      <c r="H875">
        <f t="shared" si="101"/>
        <v>1</v>
      </c>
      <c r="I875" s="5" t="s">
        <v>816</v>
      </c>
      <c r="J875" s="5" t="s">
        <v>732</v>
      </c>
      <c r="Q875" t="s">
        <v>620</v>
      </c>
      <c r="R875">
        <v>84</v>
      </c>
      <c r="S875">
        <v>1</v>
      </c>
      <c r="T875" t="str">
        <f t="shared" si="99"/>
        <v>e</v>
      </c>
      <c r="U875" t="s">
        <v>15</v>
      </c>
      <c r="V875" t="s">
        <v>697</v>
      </c>
      <c r="X875" t="s">
        <v>705</v>
      </c>
      <c r="Y875" t="s">
        <v>712</v>
      </c>
      <c r="AA875" t="s">
        <v>706</v>
      </c>
      <c r="AF875" t="s">
        <v>635</v>
      </c>
      <c r="AM875" t="str">
        <f t="shared" si="102"/>
        <v>Possession</v>
      </c>
      <c r="AN875" t="str">
        <f t="shared" si="103"/>
        <v>PuckRetrieval</v>
      </c>
      <c r="AP875" t="str">
        <f t="shared" si="104"/>
        <v>Offensive</v>
      </c>
      <c r="BB875" s="23"/>
      <c r="BD875" s="21"/>
      <c r="BE875" s="21"/>
      <c r="BF875" s="21"/>
      <c r="BG875" s="21"/>
      <c r="BH875" s="21"/>
      <c r="BI875" s="21"/>
    </row>
    <row r="876" spans="1:61" x14ac:dyDescent="0.2">
      <c r="A876">
        <v>446</v>
      </c>
      <c r="B876" t="s">
        <v>887</v>
      </c>
      <c r="C876" t="str">
        <f t="shared" si="100"/>
        <v/>
      </c>
      <c r="D876" t="str">
        <f t="shared" si="105"/>
        <v/>
      </c>
      <c r="H876">
        <f t="shared" si="101"/>
        <v>1</v>
      </c>
      <c r="I876" s="5" t="s">
        <v>816</v>
      </c>
      <c r="J876" s="5" t="s">
        <v>732</v>
      </c>
      <c r="K876" s="5" t="s">
        <v>816</v>
      </c>
      <c r="L876" s="7" t="s">
        <v>768</v>
      </c>
      <c r="Q876" t="s">
        <v>620</v>
      </c>
      <c r="R876">
        <v>84</v>
      </c>
      <c r="S876">
        <v>1</v>
      </c>
      <c r="T876" t="str">
        <f t="shared" si="99"/>
        <v>e</v>
      </c>
      <c r="U876" t="s">
        <v>15</v>
      </c>
      <c r="AF876" t="s">
        <v>635</v>
      </c>
      <c r="AJ876">
        <v>1</v>
      </c>
      <c r="AM876" t="str">
        <f t="shared" si="102"/>
        <v>Possession</v>
      </c>
      <c r="AN876" t="str">
        <f t="shared" si="103"/>
        <v/>
      </c>
      <c r="AP876" t="str">
        <f t="shared" si="104"/>
        <v>Offensive</v>
      </c>
      <c r="BB876" s="23"/>
      <c r="BD876" s="21"/>
      <c r="BE876" s="21"/>
      <c r="BF876" s="21"/>
      <c r="BG876" s="21"/>
      <c r="BH876" s="21"/>
      <c r="BI876" s="21"/>
    </row>
    <row r="877" spans="1:61" x14ac:dyDescent="0.2">
      <c r="A877">
        <v>446</v>
      </c>
      <c r="B877" t="s">
        <v>887</v>
      </c>
      <c r="C877" t="str">
        <f t="shared" si="100"/>
        <v/>
      </c>
      <c r="D877" t="str">
        <f t="shared" si="105"/>
        <v/>
      </c>
      <c r="H877">
        <f t="shared" si="101"/>
        <v>1</v>
      </c>
      <c r="R877">
        <v>77</v>
      </c>
      <c r="T877" t="str">
        <f t="shared" si="99"/>
        <v>o</v>
      </c>
      <c r="Y877" t="s">
        <v>715</v>
      </c>
      <c r="AJ877">
        <v>1</v>
      </c>
      <c r="AM877" t="str">
        <f t="shared" si="102"/>
        <v>Possession</v>
      </c>
      <c r="AN877" t="str">
        <f t="shared" si="103"/>
        <v/>
      </c>
      <c r="AP877" t="str">
        <f t="shared" si="104"/>
        <v>Defensive</v>
      </c>
      <c r="BB877" s="23"/>
      <c r="BD877" s="21"/>
      <c r="BE877" s="21"/>
      <c r="BF877" s="21"/>
      <c r="BG877" s="21"/>
      <c r="BH877" s="21"/>
      <c r="BI877" s="21"/>
    </row>
    <row r="878" spans="1:61" x14ac:dyDescent="0.2">
      <c r="A878">
        <v>448</v>
      </c>
      <c r="B878">
        <v>79</v>
      </c>
      <c r="C878">
        <f t="shared" si="100"/>
        <v>9079</v>
      </c>
      <c r="D878">
        <f t="shared" si="105"/>
        <v>9079</v>
      </c>
      <c r="H878">
        <f t="shared" si="101"/>
        <v>1</v>
      </c>
      <c r="I878" s="5" t="s">
        <v>816</v>
      </c>
      <c r="J878" s="5" t="s">
        <v>768</v>
      </c>
      <c r="Q878" t="s">
        <v>620</v>
      </c>
      <c r="R878">
        <v>84</v>
      </c>
      <c r="S878">
        <v>1</v>
      </c>
      <c r="T878" t="str">
        <f t="shared" si="99"/>
        <v>e</v>
      </c>
      <c r="U878" t="s">
        <v>13</v>
      </c>
      <c r="V878" t="s">
        <v>204</v>
      </c>
      <c r="W878" t="s">
        <v>107</v>
      </c>
      <c r="AF878" t="s">
        <v>635</v>
      </c>
      <c r="AM878" t="str">
        <f t="shared" si="102"/>
        <v>Stoppage</v>
      </c>
      <c r="AN878" t="str">
        <f t="shared" si="103"/>
        <v>Stoppage_Play</v>
      </c>
      <c r="AP878" t="str">
        <f t="shared" si="104"/>
        <v/>
      </c>
      <c r="BB878" s="23"/>
      <c r="BD878" s="21"/>
      <c r="BE878" s="21"/>
      <c r="BF878" s="21"/>
      <c r="BG878" s="21"/>
      <c r="BH878" s="21"/>
      <c r="BI878" s="21"/>
    </row>
    <row r="879" spans="1:61" x14ac:dyDescent="0.2">
      <c r="A879">
        <v>449</v>
      </c>
      <c r="B879">
        <v>79</v>
      </c>
      <c r="C879">
        <f t="shared" si="100"/>
        <v>9079</v>
      </c>
      <c r="D879">
        <f t="shared" si="105"/>
        <v>9079</v>
      </c>
      <c r="H879">
        <f t="shared" si="101"/>
        <v>1</v>
      </c>
      <c r="I879" s="5" t="s">
        <v>816</v>
      </c>
      <c r="J879" s="5" t="s">
        <v>768</v>
      </c>
      <c r="K879" s="5" t="s">
        <v>899</v>
      </c>
      <c r="L879" s="7" t="s">
        <v>753</v>
      </c>
      <c r="Q879" t="s">
        <v>620</v>
      </c>
      <c r="R879">
        <v>84</v>
      </c>
      <c r="S879">
        <v>1</v>
      </c>
      <c r="T879" t="str">
        <f t="shared" si="99"/>
        <v>e</v>
      </c>
      <c r="U879" t="s">
        <v>262</v>
      </c>
      <c r="AF879" t="s">
        <v>635</v>
      </c>
      <c r="AM879" t="str">
        <f t="shared" si="102"/>
        <v>DeadIce</v>
      </c>
      <c r="AN879" t="str">
        <f t="shared" si="103"/>
        <v/>
      </c>
      <c r="AP879" t="str">
        <f t="shared" si="104"/>
        <v/>
      </c>
      <c r="BB879" s="23"/>
      <c r="BD879" s="21"/>
      <c r="BE879" s="21"/>
      <c r="BF879" s="21"/>
      <c r="BG879" s="21"/>
      <c r="BH879" s="21"/>
      <c r="BI879" s="21"/>
    </row>
    <row r="880" spans="1:61" x14ac:dyDescent="0.2">
      <c r="A880">
        <v>450</v>
      </c>
      <c r="B880" t="s">
        <v>887</v>
      </c>
      <c r="C880" t="str">
        <f t="shared" si="100"/>
        <v/>
      </c>
      <c r="D880" t="str">
        <f t="shared" si="105"/>
        <v/>
      </c>
      <c r="H880">
        <f t="shared" si="101"/>
        <v>1</v>
      </c>
      <c r="I880" s="5" t="s">
        <v>899</v>
      </c>
      <c r="J880" s="5" t="s">
        <v>753</v>
      </c>
      <c r="Q880" t="s">
        <v>619</v>
      </c>
      <c r="R880">
        <v>77</v>
      </c>
      <c r="S880">
        <v>1</v>
      </c>
      <c r="T880" t="str">
        <f t="shared" si="99"/>
        <v>e</v>
      </c>
      <c r="U880" t="s">
        <v>6</v>
      </c>
      <c r="V880" t="s">
        <v>255</v>
      </c>
      <c r="AF880" t="s">
        <v>635</v>
      </c>
      <c r="AM880" t="str">
        <f t="shared" si="102"/>
        <v>Faceoff</v>
      </c>
      <c r="AN880" t="str">
        <f t="shared" si="103"/>
        <v>Faceoff_AfterStoppage</v>
      </c>
      <c r="AP880" t="str">
        <f t="shared" si="104"/>
        <v>Offensive</v>
      </c>
      <c r="BB880" s="23"/>
      <c r="BD880" s="21"/>
      <c r="BE880" s="21"/>
      <c r="BF880" s="21"/>
      <c r="BG880" s="21"/>
      <c r="BH880" s="21"/>
      <c r="BI880" s="21"/>
    </row>
    <row r="881" spans="1:61" x14ac:dyDescent="0.2">
      <c r="A881">
        <v>450</v>
      </c>
      <c r="B881" t="s">
        <v>887</v>
      </c>
      <c r="C881" t="str">
        <f t="shared" si="100"/>
        <v/>
      </c>
      <c r="D881" t="str">
        <f t="shared" si="105"/>
        <v/>
      </c>
      <c r="H881">
        <f t="shared" si="101"/>
        <v>1</v>
      </c>
      <c r="I881" s="5" t="s">
        <v>899</v>
      </c>
      <c r="J881" s="5" t="s">
        <v>753</v>
      </c>
      <c r="R881">
        <v>42</v>
      </c>
      <c r="T881" t="str">
        <f t="shared" si="99"/>
        <v>o</v>
      </c>
      <c r="AF881" t="s">
        <v>635</v>
      </c>
      <c r="AM881" t="str">
        <f t="shared" si="102"/>
        <v>Faceoff</v>
      </c>
      <c r="AN881" t="str">
        <f t="shared" si="103"/>
        <v>Faceoff_AfterStoppage</v>
      </c>
      <c r="AP881" t="str">
        <f t="shared" si="104"/>
        <v>Defensive</v>
      </c>
      <c r="BB881" s="23"/>
      <c r="BD881" s="21"/>
      <c r="BE881" s="21"/>
      <c r="BF881" s="21"/>
      <c r="BG881" s="21"/>
      <c r="BH881" s="21"/>
      <c r="BI881" s="21"/>
    </row>
    <row r="882" spans="1:61" x14ac:dyDescent="0.2">
      <c r="A882">
        <v>451</v>
      </c>
      <c r="B882" t="s">
        <v>887</v>
      </c>
      <c r="C882" t="str">
        <f t="shared" si="100"/>
        <v/>
      </c>
      <c r="D882" t="str">
        <f t="shared" si="105"/>
        <v/>
      </c>
      <c r="H882">
        <f t="shared" si="101"/>
        <v>1</v>
      </c>
      <c r="I882" s="5" t="s">
        <v>899</v>
      </c>
      <c r="J882" s="5" t="s">
        <v>753</v>
      </c>
      <c r="K882" s="5" t="s">
        <v>899</v>
      </c>
      <c r="L882" s="7" t="s">
        <v>789</v>
      </c>
      <c r="Q882" t="s">
        <v>619</v>
      </c>
      <c r="R882">
        <v>77</v>
      </c>
      <c r="S882">
        <v>1</v>
      </c>
      <c r="T882" t="str">
        <f t="shared" si="99"/>
        <v>e</v>
      </c>
      <c r="U882" t="s">
        <v>257</v>
      </c>
      <c r="V882" t="s">
        <v>191</v>
      </c>
      <c r="W882" t="s">
        <v>87</v>
      </c>
      <c r="X882" t="s">
        <v>706</v>
      </c>
      <c r="Y882" t="s">
        <v>677</v>
      </c>
      <c r="AA882" t="s">
        <v>706</v>
      </c>
      <c r="AF882" t="s">
        <v>401</v>
      </c>
      <c r="AJ882">
        <v>1</v>
      </c>
      <c r="AM882" t="str">
        <f t="shared" si="102"/>
        <v>Zone_Entry_Exit</v>
      </c>
      <c r="AN882" t="str">
        <f t="shared" si="103"/>
        <v>Zone_Entry</v>
      </c>
      <c r="AP882" t="str">
        <f t="shared" si="104"/>
        <v>Offensive</v>
      </c>
      <c r="BB882" s="23"/>
      <c r="BD882" s="21"/>
      <c r="BE882" s="21"/>
      <c r="BF882" s="21"/>
      <c r="BG882" s="21"/>
      <c r="BH882" s="21"/>
      <c r="BI882" s="21"/>
    </row>
    <row r="883" spans="1:61" x14ac:dyDescent="0.2">
      <c r="A883">
        <v>451</v>
      </c>
      <c r="B883" t="s">
        <v>887</v>
      </c>
      <c r="C883" t="str">
        <f t="shared" si="100"/>
        <v/>
      </c>
      <c r="D883" t="str">
        <f t="shared" si="105"/>
        <v/>
      </c>
      <c r="H883">
        <f t="shared" si="101"/>
        <v>1</v>
      </c>
      <c r="R883">
        <v>22</v>
      </c>
      <c r="T883" t="str">
        <f t="shared" si="99"/>
        <v>o</v>
      </c>
      <c r="Y883" t="s">
        <v>714</v>
      </c>
      <c r="AA883" t="s">
        <v>705</v>
      </c>
      <c r="AF883" t="s">
        <v>401</v>
      </c>
      <c r="AJ883">
        <v>1</v>
      </c>
      <c r="AM883" t="str">
        <f t="shared" si="102"/>
        <v>Zone_Entry_Exit</v>
      </c>
      <c r="AN883" t="str">
        <f t="shared" si="103"/>
        <v>Zone_Entry</v>
      </c>
      <c r="AP883" t="str">
        <f t="shared" si="104"/>
        <v>Defensive</v>
      </c>
      <c r="BB883" s="23"/>
      <c r="BD883" s="21"/>
      <c r="BE883" s="21"/>
      <c r="BF883" s="21"/>
      <c r="BG883" s="21"/>
      <c r="BH883" s="21"/>
      <c r="BI883" s="21"/>
    </row>
    <row r="884" spans="1:61" x14ac:dyDescent="0.2">
      <c r="A884">
        <v>452</v>
      </c>
      <c r="B884" t="s">
        <v>887</v>
      </c>
      <c r="C884" t="str">
        <f t="shared" si="100"/>
        <v/>
      </c>
      <c r="D884" t="str">
        <f t="shared" si="105"/>
        <v/>
      </c>
      <c r="H884">
        <f t="shared" si="101"/>
        <v>1</v>
      </c>
      <c r="I884" s="5" t="s">
        <v>899</v>
      </c>
      <c r="J884" s="5" t="s">
        <v>789</v>
      </c>
      <c r="K884" s="5" t="s">
        <v>899</v>
      </c>
      <c r="L884" s="7" t="s">
        <v>672</v>
      </c>
      <c r="Q884" t="s">
        <v>619</v>
      </c>
      <c r="R884">
        <v>77</v>
      </c>
      <c r="S884">
        <v>1</v>
      </c>
      <c r="T884" t="str">
        <f t="shared" si="99"/>
        <v>e</v>
      </c>
      <c r="U884" t="s">
        <v>15</v>
      </c>
      <c r="Y884" t="s">
        <v>677</v>
      </c>
      <c r="AA884" t="s">
        <v>706</v>
      </c>
      <c r="AF884" t="s">
        <v>401</v>
      </c>
      <c r="AM884" t="str">
        <f t="shared" si="102"/>
        <v>Possession</v>
      </c>
      <c r="AN884" t="str">
        <f t="shared" si="103"/>
        <v/>
      </c>
      <c r="AP884" t="str">
        <f t="shared" si="104"/>
        <v>Offensive</v>
      </c>
      <c r="BB884" s="23"/>
      <c r="BD884" s="21"/>
      <c r="BE884" s="21"/>
      <c r="BF884" s="21"/>
      <c r="BG884" s="21"/>
      <c r="BH884" s="21"/>
      <c r="BI884" s="21"/>
    </row>
    <row r="885" spans="1:61" x14ac:dyDescent="0.2">
      <c r="A885">
        <v>453</v>
      </c>
      <c r="B885">
        <v>80</v>
      </c>
      <c r="C885">
        <f t="shared" si="100"/>
        <v>9080</v>
      </c>
      <c r="D885">
        <f t="shared" si="105"/>
        <v>9080</v>
      </c>
      <c r="H885">
        <f t="shared" si="101"/>
        <v>1</v>
      </c>
      <c r="I885" s="5" t="s">
        <v>899</v>
      </c>
      <c r="J885" s="5" t="s">
        <v>672</v>
      </c>
      <c r="Q885" t="s">
        <v>619</v>
      </c>
      <c r="R885">
        <v>77</v>
      </c>
      <c r="S885">
        <v>1</v>
      </c>
      <c r="T885" t="str">
        <f t="shared" si="99"/>
        <v>e</v>
      </c>
      <c r="U885" t="s">
        <v>7</v>
      </c>
      <c r="V885" t="s">
        <v>222</v>
      </c>
      <c r="W885" t="s">
        <v>53</v>
      </c>
      <c r="X885" t="s">
        <v>706</v>
      </c>
      <c r="AF885" t="s">
        <v>401</v>
      </c>
      <c r="AM885" t="str">
        <f t="shared" si="102"/>
        <v>Shot</v>
      </c>
      <c r="AN885" t="str">
        <f t="shared" si="103"/>
        <v>Shot_OnNetSaved</v>
      </c>
      <c r="AP885" t="str">
        <f t="shared" si="104"/>
        <v>Offensive</v>
      </c>
      <c r="BB885" s="23"/>
      <c r="BD885" s="21"/>
      <c r="BE885" s="21"/>
      <c r="BF885" s="21"/>
      <c r="BG885" s="21"/>
      <c r="BH885" s="21"/>
      <c r="BI885" s="21"/>
    </row>
    <row r="886" spans="1:61" x14ac:dyDescent="0.2">
      <c r="A886">
        <v>453</v>
      </c>
      <c r="B886">
        <v>80</v>
      </c>
      <c r="C886">
        <f t="shared" si="100"/>
        <v>9080</v>
      </c>
      <c r="D886">
        <f t="shared" si="105"/>
        <v>9080</v>
      </c>
      <c r="H886">
        <f t="shared" si="101"/>
        <v>1</v>
      </c>
      <c r="R886">
        <v>13</v>
      </c>
      <c r="S886">
        <v>1</v>
      </c>
      <c r="T886" t="str">
        <f t="shared" si="99"/>
        <v>e</v>
      </c>
      <c r="Y886" t="s">
        <v>770</v>
      </c>
      <c r="AJ886">
        <v>1</v>
      </c>
      <c r="AM886" t="str">
        <f t="shared" si="102"/>
        <v>Shot</v>
      </c>
      <c r="AN886" t="str">
        <f t="shared" si="103"/>
        <v>Shot_OnNetSaved</v>
      </c>
      <c r="AP886" t="str">
        <f t="shared" si="104"/>
        <v>Offensive</v>
      </c>
      <c r="BB886" s="23"/>
      <c r="BD886" s="21"/>
      <c r="BE886" s="21"/>
      <c r="BF886" s="21"/>
      <c r="BG886" s="21"/>
      <c r="BH886" s="21"/>
      <c r="BI886" s="21"/>
    </row>
    <row r="887" spans="1:61" x14ac:dyDescent="0.2">
      <c r="A887">
        <v>453</v>
      </c>
      <c r="B887">
        <v>80</v>
      </c>
      <c r="C887">
        <f t="shared" si="100"/>
        <v>9080</v>
      </c>
      <c r="D887">
        <f t="shared" si="105"/>
        <v>9080</v>
      </c>
      <c r="H887">
        <f t="shared" si="101"/>
        <v>1</v>
      </c>
      <c r="R887">
        <v>39</v>
      </c>
      <c r="T887" t="str">
        <f t="shared" si="99"/>
        <v>o</v>
      </c>
      <c r="AM887" t="str">
        <f t="shared" si="102"/>
        <v>Shot</v>
      </c>
      <c r="AN887" t="str">
        <f t="shared" si="103"/>
        <v>Shot_OnNetSaved</v>
      </c>
      <c r="AP887" t="str">
        <f t="shared" si="104"/>
        <v>Defensive</v>
      </c>
      <c r="BB887" s="23"/>
      <c r="BD887" s="21"/>
      <c r="BE887" s="21"/>
      <c r="BF887" s="21"/>
      <c r="BG887" s="21"/>
      <c r="BH887" s="21"/>
      <c r="BI887" s="21"/>
    </row>
    <row r="888" spans="1:61" x14ac:dyDescent="0.2">
      <c r="A888">
        <v>453</v>
      </c>
      <c r="B888">
        <v>80</v>
      </c>
      <c r="C888">
        <f t="shared" si="100"/>
        <v>9080</v>
      </c>
      <c r="D888">
        <f t="shared" si="105"/>
        <v>9080</v>
      </c>
      <c r="H888">
        <f t="shared" si="101"/>
        <v>1</v>
      </c>
      <c r="R888">
        <v>84</v>
      </c>
      <c r="T888" t="str">
        <f t="shared" si="99"/>
        <v>o</v>
      </c>
      <c r="Y888" t="s">
        <v>806</v>
      </c>
      <c r="AJ888">
        <v>1</v>
      </c>
      <c r="AM888" t="str">
        <f t="shared" si="102"/>
        <v>Shot</v>
      </c>
      <c r="AN888" t="str">
        <f t="shared" si="103"/>
        <v>Shot_OnNetSaved</v>
      </c>
      <c r="AP888" t="str">
        <f t="shared" si="104"/>
        <v>Defensive</v>
      </c>
      <c r="BB888" s="23"/>
      <c r="BD888" s="21"/>
      <c r="BE888" s="21"/>
      <c r="BF888" s="21"/>
      <c r="BG888" s="21"/>
      <c r="BH888" s="21"/>
      <c r="BI888" s="21"/>
    </row>
    <row r="889" spans="1:61" x14ac:dyDescent="0.2">
      <c r="A889">
        <v>454</v>
      </c>
      <c r="B889">
        <v>80</v>
      </c>
      <c r="C889">
        <f t="shared" si="100"/>
        <v>9080</v>
      </c>
      <c r="D889">
        <f t="shared" si="105"/>
        <v>9080</v>
      </c>
      <c r="H889">
        <f t="shared" si="101"/>
        <v>1</v>
      </c>
      <c r="I889" s="5" t="s">
        <v>899</v>
      </c>
      <c r="J889" s="5" t="s">
        <v>672</v>
      </c>
      <c r="Q889" t="s">
        <v>620</v>
      </c>
      <c r="R889">
        <v>39</v>
      </c>
      <c r="S889">
        <v>1</v>
      </c>
      <c r="T889" t="str">
        <f t="shared" si="99"/>
        <v>e</v>
      </c>
      <c r="U889" t="s">
        <v>17</v>
      </c>
      <c r="V889" t="s">
        <v>206</v>
      </c>
      <c r="W889" t="s">
        <v>103</v>
      </c>
      <c r="AF889" t="s">
        <v>623</v>
      </c>
      <c r="AM889" t="str">
        <f t="shared" si="102"/>
        <v>Save</v>
      </c>
      <c r="AN889" t="str">
        <f>IF(V890&lt;&gt;"",V890,IF($A889=$A888,AN888,""))</f>
        <v/>
      </c>
      <c r="AP889" t="str">
        <f t="shared" si="104"/>
        <v>Defensive</v>
      </c>
      <c r="BB889" s="23"/>
      <c r="BD889" s="21"/>
      <c r="BE889" s="21"/>
      <c r="BF889" s="21"/>
      <c r="BG889" s="21"/>
      <c r="BH889" s="21"/>
      <c r="BI889" s="21"/>
    </row>
    <row r="890" spans="1:61" x14ac:dyDescent="0.2">
      <c r="A890">
        <v>454</v>
      </c>
      <c r="B890">
        <v>80</v>
      </c>
      <c r="C890">
        <f t="shared" si="100"/>
        <v>9080</v>
      </c>
      <c r="D890">
        <f t="shared" si="105"/>
        <v>9080</v>
      </c>
      <c r="H890">
        <f t="shared" si="101"/>
        <v>1</v>
      </c>
      <c r="R890">
        <v>84</v>
      </c>
      <c r="S890">
        <v>1</v>
      </c>
      <c r="T890" t="str">
        <f t="shared" si="99"/>
        <v>e</v>
      </c>
      <c r="Y890" t="s">
        <v>806</v>
      </c>
      <c r="AJ890">
        <v>1</v>
      </c>
      <c r="AM890" t="str">
        <f t="shared" si="102"/>
        <v>Save</v>
      </c>
      <c r="AN890" t="e">
        <f>IF(#REF!&lt;&gt;"",#REF!,IF($A890=$A889,AN889,""))</f>
        <v>#REF!</v>
      </c>
      <c r="AP890" t="e">
        <f t="shared" si="104"/>
        <v>#REF!</v>
      </c>
      <c r="BB890" s="23"/>
      <c r="BD890" s="21"/>
      <c r="BE890" s="21"/>
      <c r="BF890" s="21"/>
      <c r="BG890" s="21"/>
      <c r="BH890" s="21"/>
      <c r="BI890" s="21"/>
    </row>
    <row r="891" spans="1:61" x14ac:dyDescent="0.2">
      <c r="A891">
        <v>454</v>
      </c>
      <c r="B891">
        <v>80</v>
      </c>
      <c r="C891">
        <f t="shared" si="100"/>
        <v>9080</v>
      </c>
      <c r="D891">
        <f t="shared" si="105"/>
        <v>9080</v>
      </c>
      <c r="H891">
        <f t="shared" si="101"/>
        <v>1</v>
      </c>
      <c r="R891">
        <v>77</v>
      </c>
      <c r="T891" t="str">
        <f t="shared" si="99"/>
        <v>o</v>
      </c>
      <c r="AM891" t="str">
        <f t="shared" si="102"/>
        <v>Save</v>
      </c>
      <c r="AN891" t="e">
        <f t="shared" si="103"/>
        <v>#REF!</v>
      </c>
      <c r="AP891" t="e">
        <f t="shared" si="104"/>
        <v>#REF!</v>
      </c>
      <c r="BB891" s="23"/>
      <c r="BD891" s="21"/>
      <c r="BE891" s="21"/>
      <c r="BF891" s="21"/>
      <c r="BG891" s="21"/>
      <c r="BH891" s="21"/>
      <c r="BI891" s="21"/>
    </row>
    <row r="892" spans="1:61" x14ac:dyDescent="0.2">
      <c r="A892">
        <v>454</v>
      </c>
      <c r="B892">
        <v>80</v>
      </c>
      <c r="C892">
        <f t="shared" si="100"/>
        <v>9080</v>
      </c>
      <c r="D892">
        <f t="shared" si="105"/>
        <v>9080</v>
      </c>
      <c r="H892">
        <f t="shared" si="101"/>
        <v>1</v>
      </c>
      <c r="R892">
        <v>13</v>
      </c>
      <c r="T892" t="str">
        <f t="shared" si="99"/>
        <v>o</v>
      </c>
      <c r="Y892" t="s">
        <v>770</v>
      </c>
      <c r="AJ892">
        <v>1</v>
      </c>
      <c r="AM892" t="str">
        <f t="shared" si="102"/>
        <v>Save</v>
      </c>
      <c r="AN892" t="e">
        <f t="shared" si="103"/>
        <v>#REF!</v>
      </c>
      <c r="AP892" t="e">
        <f t="shared" si="104"/>
        <v>#REF!</v>
      </c>
      <c r="BB892" s="23"/>
      <c r="BD892" s="21"/>
      <c r="BE892" s="21"/>
      <c r="BF892" s="21"/>
      <c r="BG892" s="21"/>
      <c r="BH892" s="21"/>
      <c r="BI892" s="21"/>
    </row>
    <row r="893" spans="1:61" x14ac:dyDescent="0.2">
      <c r="A893">
        <v>455</v>
      </c>
      <c r="B893">
        <v>80</v>
      </c>
      <c r="C893">
        <f t="shared" si="100"/>
        <v>9080</v>
      </c>
      <c r="D893">
        <f t="shared" si="105"/>
        <v>9080</v>
      </c>
      <c r="H893">
        <f t="shared" si="101"/>
        <v>1</v>
      </c>
      <c r="I893" s="5" t="s">
        <v>899</v>
      </c>
      <c r="J893" s="5" t="s">
        <v>672</v>
      </c>
      <c r="Q893" t="s">
        <v>620</v>
      </c>
      <c r="R893">
        <v>39</v>
      </c>
      <c r="S893">
        <v>1</v>
      </c>
      <c r="T893" t="str">
        <f t="shared" si="99"/>
        <v>e</v>
      </c>
      <c r="U893" t="s">
        <v>13</v>
      </c>
      <c r="V893" t="s">
        <v>204</v>
      </c>
      <c r="W893" t="s">
        <v>110</v>
      </c>
      <c r="AF893" t="s">
        <v>623</v>
      </c>
      <c r="AM893" t="str">
        <f t="shared" si="102"/>
        <v>Stoppage</v>
      </c>
      <c r="AN893" t="str">
        <f t="shared" si="103"/>
        <v>Stoppage_Play</v>
      </c>
      <c r="AP893" t="str">
        <f t="shared" si="104"/>
        <v/>
      </c>
      <c r="BB893" s="23"/>
      <c r="BD893" s="21"/>
      <c r="BE893" s="21"/>
      <c r="BF893" s="21"/>
      <c r="BG893" s="21"/>
      <c r="BH893" s="21"/>
      <c r="BI893" s="21"/>
    </row>
    <row r="894" spans="1:61" x14ac:dyDescent="0.2">
      <c r="A894">
        <v>456</v>
      </c>
      <c r="B894">
        <v>80</v>
      </c>
      <c r="C894">
        <f t="shared" si="100"/>
        <v>9080</v>
      </c>
      <c r="D894">
        <f t="shared" si="105"/>
        <v>9080</v>
      </c>
      <c r="H894">
        <f t="shared" si="101"/>
        <v>1</v>
      </c>
      <c r="I894" s="5" t="s">
        <v>899</v>
      </c>
      <c r="J894" s="5" t="s">
        <v>672</v>
      </c>
      <c r="K894" s="5" t="s">
        <v>899</v>
      </c>
      <c r="L894" s="7" t="s">
        <v>726</v>
      </c>
      <c r="Q894" t="s">
        <v>620</v>
      </c>
      <c r="R894">
        <v>39</v>
      </c>
      <c r="S894">
        <v>1</v>
      </c>
      <c r="T894" t="str">
        <f t="shared" si="99"/>
        <v>e</v>
      </c>
      <c r="U894" t="s">
        <v>262</v>
      </c>
      <c r="AF894" t="s">
        <v>623</v>
      </c>
      <c r="AM894" t="str">
        <f t="shared" si="102"/>
        <v>DeadIce</v>
      </c>
      <c r="AN894" t="str">
        <f t="shared" si="103"/>
        <v/>
      </c>
      <c r="AP894" t="str">
        <f t="shared" si="104"/>
        <v/>
      </c>
      <c r="BB894" s="23"/>
      <c r="BD894" s="21"/>
      <c r="BE894" s="21"/>
      <c r="BF894" s="21"/>
      <c r="BG894" s="21"/>
      <c r="BH894" s="21"/>
      <c r="BI894" s="21"/>
    </row>
    <row r="895" spans="1:61" x14ac:dyDescent="0.2">
      <c r="A895">
        <v>457</v>
      </c>
      <c r="B895" t="s">
        <v>887</v>
      </c>
      <c r="C895" t="str">
        <f t="shared" si="100"/>
        <v/>
      </c>
      <c r="D895" t="str">
        <f t="shared" si="105"/>
        <v/>
      </c>
      <c r="H895">
        <f t="shared" si="101"/>
        <v>1</v>
      </c>
      <c r="I895" s="5" t="s">
        <v>899</v>
      </c>
      <c r="J895" s="5" t="s">
        <v>726</v>
      </c>
      <c r="Q895" t="s">
        <v>619</v>
      </c>
      <c r="R895">
        <v>77</v>
      </c>
      <c r="S895">
        <v>1</v>
      </c>
      <c r="T895" t="str">
        <f t="shared" si="99"/>
        <v>e</v>
      </c>
      <c r="U895" t="s">
        <v>6</v>
      </c>
      <c r="V895" t="s">
        <v>255</v>
      </c>
      <c r="AF895" t="s">
        <v>401</v>
      </c>
      <c r="AM895" t="str">
        <f t="shared" si="102"/>
        <v>Faceoff</v>
      </c>
      <c r="AN895" t="str">
        <f t="shared" si="103"/>
        <v>Faceoff_AfterStoppage</v>
      </c>
      <c r="AP895" t="str">
        <f t="shared" si="104"/>
        <v>Offensive</v>
      </c>
      <c r="BB895" s="23"/>
      <c r="BD895" s="21"/>
      <c r="BE895" s="21"/>
      <c r="BF895" s="21"/>
      <c r="BG895" s="21"/>
      <c r="BH895" s="21"/>
      <c r="BI895" s="21"/>
    </row>
    <row r="896" spans="1:61" x14ac:dyDescent="0.2">
      <c r="A896">
        <v>457</v>
      </c>
      <c r="B896" t="s">
        <v>887</v>
      </c>
      <c r="C896" t="str">
        <f t="shared" si="100"/>
        <v/>
      </c>
      <c r="D896" t="str">
        <f t="shared" si="105"/>
        <v/>
      </c>
      <c r="H896">
        <f t="shared" si="101"/>
        <v>1</v>
      </c>
      <c r="R896">
        <v>42</v>
      </c>
      <c r="T896" t="str">
        <f t="shared" si="99"/>
        <v>o</v>
      </c>
      <c r="AM896" t="str">
        <f t="shared" si="102"/>
        <v>Faceoff</v>
      </c>
      <c r="AN896" t="str">
        <f t="shared" si="103"/>
        <v>Faceoff_AfterStoppage</v>
      </c>
      <c r="AP896" t="str">
        <f t="shared" si="104"/>
        <v>Defensive</v>
      </c>
      <c r="BB896" s="23"/>
      <c r="BD896" s="21"/>
      <c r="BE896" s="21"/>
      <c r="BF896" s="21"/>
      <c r="BG896" s="21"/>
      <c r="BH896" s="21"/>
      <c r="BI896" s="21"/>
    </row>
    <row r="897" spans="1:61" x14ac:dyDescent="0.2">
      <c r="A897">
        <v>458</v>
      </c>
      <c r="B897" t="s">
        <v>887</v>
      </c>
      <c r="C897" t="str">
        <f t="shared" si="100"/>
        <v/>
      </c>
      <c r="D897" t="str">
        <f t="shared" si="105"/>
        <v/>
      </c>
      <c r="H897">
        <f t="shared" si="101"/>
        <v>1</v>
      </c>
      <c r="I897" s="5" t="s">
        <v>899</v>
      </c>
      <c r="J897" s="5" t="s">
        <v>780</v>
      </c>
      <c r="Q897" t="s">
        <v>619</v>
      </c>
      <c r="R897">
        <v>13</v>
      </c>
      <c r="S897">
        <v>1</v>
      </c>
      <c r="T897" t="str">
        <f t="shared" si="99"/>
        <v>e</v>
      </c>
      <c r="U897" t="s">
        <v>8</v>
      </c>
      <c r="V897" t="s">
        <v>189</v>
      </c>
      <c r="W897" t="s">
        <v>69</v>
      </c>
      <c r="X897" t="s">
        <v>706</v>
      </c>
      <c r="Y897" t="s">
        <v>814</v>
      </c>
      <c r="AA897" t="s">
        <v>706</v>
      </c>
      <c r="AF897" t="s">
        <v>401</v>
      </c>
      <c r="AM897" t="str">
        <f t="shared" si="102"/>
        <v>Pass</v>
      </c>
      <c r="AN897" t="str">
        <f t="shared" si="103"/>
        <v>Pass_Completed</v>
      </c>
      <c r="AP897" t="str">
        <f t="shared" si="104"/>
        <v>Offensive</v>
      </c>
      <c r="BB897" s="23"/>
      <c r="BD897" s="21"/>
      <c r="BE897" s="21"/>
      <c r="BF897" s="21"/>
      <c r="BG897" s="21"/>
      <c r="BH897" s="21"/>
      <c r="BI897" s="21"/>
    </row>
    <row r="898" spans="1:61" x14ac:dyDescent="0.2">
      <c r="A898">
        <v>458</v>
      </c>
      <c r="B898" t="s">
        <v>887</v>
      </c>
      <c r="C898" t="str">
        <f t="shared" si="100"/>
        <v/>
      </c>
      <c r="D898" t="str">
        <f t="shared" si="105"/>
        <v/>
      </c>
      <c r="H898">
        <f t="shared" si="101"/>
        <v>1</v>
      </c>
      <c r="R898">
        <v>44</v>
      </c>
      <c r="S898">
        <v>1</v>
      </c>
      <c r="T898" t="str">
        <f t="shared" si="99"/>
        <v>e</v>
      </c>
      <c r="AM898" t="str">
        <f t="shared" si="102"/>
        <v>Pass</v>
      </c>
      <c r="AN898" t="str">
        <f t="shared" si="103"/>
        <v>Pass_Completed</v>
      </c>
      <c r="AP898" t="str">
        <f t="shared" si="104"/>
        <v>Offensive</v>
      </c>
      <c r="BB898" s="23"/>
      <c r="BD898" s="21"/>
      <c r="BE898" s="21"/>
      <c r="BF898" s="21"/>
      <c r="BG898" s="21"/>
      <c r="BH898" s="21"/>
      <c r="BI898" s="21"/>
    </row>
    <row r="899" spans="1:61" x14ac:dyDescent="0.2">
      <c r="A899">
        <v>459</v>
      </c>
      <c r="B899" t="s">
        <v>887</v>
      </c>
      <c r="C899" t="str">
        <f t="shared" si="100"/>
        <v/>
      </c>
      <c r="D899" t="str">
        <f t="shared" si="105"/>
        <v/>
      </c>
      <c r="H899">
        <f t="shared" si="101"/>
        <v>1</v>
      </c>
      <c r="I899" s="5" t="s">
        <v>899</v>
      </c>
      <c r="J899" s="5" t="s">
        <v>759</v>
      </c>
      <c r="Q899" t="s">
        <v>619</v>
      </c>
      <c r="R899">
        <v>44</v>
      </c>
      <c r="S899">
        <v>1</v>
      </c>
      <c r="T899" t="str">
        <f t="shared" ref="T899:T962" si="106">IF(S899="x","",IF(S899=1,"e","o"))</f>
        <v>e</v>
      </c>
      <c r="U899" t="s">
        <v>8</v>
      </c>
      <c r="V899" t="s">
        <v>189</v>
      </c>
      <c r="W899" t="s">
        <v>69</v>
      </c>
      <c r="X899" t="s">
        <v>706</v>
      </c>
      <c r="Y899" t="s">
        <v>814</v>
      </c>
      <c r="AA899" t="s">
        <v>706</v>
      </c>
      <c r="AF899" t="s">
        <v>401</v>
      </c>
      <c r="AJ899">
        <v>1</v>
      </c>
      <c r="AM899" t="str">
        <f t="shared" si="102"/>
        <v>Pass</v>
      </c>
      <c r="AN899" t="str">
        <f t="shared" si="103"/>
        <v>Pass_Completed</v>
      </c>
      <c r="AP899" t="str">
        <f t="shared" si="104"/>
        <v>Offensive</v>
      </c>
      <c r="BB899" s="23"/>
      <c r="BD899" s="21"/>
      <c r="BE899" s="21"/>
      <c r="BF899" s="21"/>
      <c r="BG899" s="21"/>
      <c r="BH899" s="21"/>
      <c r="BI899" s="21"/>
    </row>
    <row r="900" spans="1:61" x14ac:dyDescent="0.2">
      <c r="A900">
        <v>459</v>
      </c>
      <c r="B900" t="s">
        <v>887</v>
      </c>
      <c r="C900" t="str">
        <f t="shared" ref="C900:C963" si="107">IF(B900&lt;&gt;"",9000+B900,"")</f>
        <v/>
      </c>
      <c r="D900" t="str">
        <f t="shared" si="105"/>
        <v/>
      </c>
      <c r="H900">
        <f t="shared" si="101"/>
        <v>1</v>
      </c>
      <c r="R900">
        <v>13</v>
      </c>
      <c r="S900">
        <v>1</v>
      </c>
      <c r="T900" t="str">
        <f t="shared" si="106"/>
        <v>e</v>
      </c>
      <c r="AM900" t="str">
        <f t="shared" si="102"/>
        <v>Pass</v>
      </c>
      <c r="AN900" t="str">
        <f t="shared" si="103"/>
        <v>Pass_Completed</v>
      </c>
      <c r="AP900" t="str">
        <f t="shared" si="104"/>
        <v>Offensive</v>
      </c>
      <c r="BB900" s="23"/>
      <c r="BD900" s="21"/>
      <c r="BE900" s="21"/>
      <c r="BF900" s="21"/>
      <c r="BG900" s="21"/>
      <c r="BH900" s="21"/>
      <c r="BI900" s="21"/>
    </row>
    <row r="901" spans="1:61" x14ac:dyDescent="0.2">
      <c r="A901">
        <v>459</v>
      </c>
      <c r="B901" t="s">
        <v>887</v>
      </c>
      <c r="C901" t="str">
        <f t="shared" si="107"/>
        <v/>
      </c>
      <c r="D901" t="str">
        <f t="shared" si="105"/>
        <v/>
      </c>
      <c r="H901">
        <f t="shared" ref="H901:H964" si="108">IF(U901="Intermission",H900+1,H900)</f>
        <v>1</v>
      </c>
      <c r="R901">
        <v>42</v>
      </c>
      <c r="T901" t="str">
        <f t="shared" si="106"/>
        <v>o</v>
      </c>
      <c r="Y901" t="s">
        <v>765</v>
      </c>
      <c r="AJ901">
        <v>1</v>
      </c>
      <c r="AM901" t="str">
        <f t="shared" ref="AM901:AM964" si="109">IF(U901&lt;&gt;"",U901,IF($A901=$A900,AM900,""))</f>
        <v>Pass</v>
      </c>
      <c r="AN901" t="str">
        <f t="shared" ref="AN901:AN964" si="110">IF(V901&lt;&gt;"",V901,IF($A901=$A900,AN900,""))</f>
        <v>Pass_Completed</v>
      </c>
      <c r="AP901" t="str">
        <f t="shared" si="104"/>
        <v>Defensive</v>
      </c>
      <c r="BB901" s="23"/>
      <c r="BD901" s="21"/>
      <c r="BE901" s="21"/>
      <c r="BF901" s="21"/>
      <c r="BG901" s="21"/>
      <c r="BH901" s="21"/>
      <c r="BI901" s="21"/>
    </row>
    <row r="902" spans="1:61" x14ac:dyDescent="0.2">
      <c r="A902">
        <v>460</v>
      </c>
      <c r="B902" t="s">
        <v>887</v>
      </c>
      <c r="C902" t="str">
        <f t="shared" si="107"/>
        <v/>
      </c>
      <c r="D902" t="str">
        <f t="shared" si="105"/>
        <v/>
      </c>
      <c r="H902">
        <f t="shared" si="108"/>
        <v>1</v>
      </c>
      <c r="I902" s="5" t="s">
        <v>899</v>
      </c>
      <c r="J902" s="5" t="s">
        <v>727</v>
      </c>
      <c r="K902" s="5" t="s">
        <v>899</v>
      </c>
      <c r="L902" s="7" t="s">
        <v>731</v>
      </c>
      <c r="Q902" t="s">
        <v>619</v>
      </c>
      <c r="R902">
        <v>13</v>
      </c>
      <c r="S902">
        <v>1</v>
      </c>
      <c r="T902" t="str">
        <f t="shared" si="106"/>
        <v>e</v>
      </c>
      <c r="U902" t="s">
        <v>15</v>
      </c>
      <c r="Y902" t="s">
        <v>777</v>
      </c>
      <c r="Z902" t="s">
        <v>767</v>
      </c>
      <c r="AA902" t="s">
        <v>706</v>
      </c>
      <c r="AF902" t="s">
        <v>401</v>
      </c>
      <c r="AJ902">
        <v>1</v>
      </c>
      <c r="AM902" t="str">
        <f t="shared" si="109"/>
        <v>Possession</v>
      </c>
      <c r="AN902" t="str">
        <f t="shared" si="110"/>
        <v/>
      </c>
      <c r="AP902" t="str">
        <f t="shared" ref="AP902:AP965" si="111">IF(AND(T902="e",OR(AM902="Save",AN902="Turnover_Takeaway",AN902="Play_Defensive")),"Defensive",IF(AND(T902="o",OR(AM902="Save",AN902="Turnover_Takeaway",AN902="Play_Defensive")),"Offensive",IF(OR(AM902="Deadice",AM902="Stoppage",AM902="Intermission"),"",IF(T902="e","Offensive",IF(T902="o","Defensive","")))))</f>
        <v>Offensive</v>
      </c>
      <c r="BB902" s="23"/>
      <c r="BD902" s="21"/>
      <c r="BE902" s="21"/>
      <c r="BF902" s="21"/>
      <c r="BG902" s="21"/>
      <c r="BH902" s="21"/>
      <c r="BI902" s="21"/>
    </row>
    <row r="903" spans="1:61" x14ac:dyDescent="0.2">
      <c r="A903">
        <v>460</v>
      </c>
      <c r="B903" t="s">
        <v>887</v>
      </c>
      <c r="C903" t="str">
        <f t="shared" si="107"/>
        <v/>
      </c>
      <c r="D903" t="str">
        <f t="shared" si="105"/>
        <v/>
      </c>
      <c r="H903">
        <f t="shared" si="108"/>
        <v>1</v>
      </c>
      <c r="R903">
        <v>84</v>
      </c>
      <c r="T903" t="str">
        <f t="shared" si="106"/>
        <v>o</v>
      </c>
      <c r="Y903" t="s">
        <v>827</v>
      </c>
      <c r="AA903" t="s">
        <v>706</v>
      </c>
      <c r="AF903" t="s">
        <v>401</v>
      </c>
      <c r="AJ903">
        <v>1</v>
      </c>
      <c r="AM903" t="str">
        <f t="shared" si="109"/>
        <v>Possession</v>
      </c>
      <c r="AN903" t="str">
        <f t="shared" si="110"/>
        <v/>
      </c>
      <c r="AP903" t="str">
        <f t="shared" si="111"/>
        <v>Defensive</v>
      </c>
      <c r="BB903" s="23"/>
      <c r="BD903" s="21"/>
      <c r="BE903" s="21"/>
      <c r="BF903" s="21"/>
      <c r="BG903" s="21"/>
      <c r="BH903" s="21"/>
      <c r="BI903" s="21"/>
    </row>
    <row r="904" spans="1:61" x14ac:dyDescent="0.2">
      <c r="A904">
        <v>461</v>
      </c>
      <c r="B904" t="s">
        <v>887</v>
      </c>
      <c r="C904" t="str">
        <f t="shared" si="107"/>
        <v/>
      </c>
      <c r="D904" t="str">
        <f t="shared" si="105"/>
        <v/>
      </c>
      <c r="H904">
        <f t="shared" si="108"/>
        <v>1</v>
      </c>
      <c r="I904" s="5" t="s">
        <v>899</v>
      </c>
      <c r="J904" s="5" t="s">
        <v>731</v>
      </c>
      <c r="Q904" t="s">
        <v>619</v>
      </c>
      <c r="R904">
        <v>13</v>
      </c>
      <c r="S904">
        <v>1</v>
      </c>
      <c r="T904" t="str">
        <f t="shared" si="106"/>
        <v>e</v>
      </c>
      <c r="U904" t="s">
        <v>8</v>
      </c>
      <c r="V904" t="s">
        <v>189</v>
      </c>
      <c r="W904" t="s">
        <v>71</v>
      </c>
      <c r="X904" t="s">
        <v>706</v>
      </c>
      <c r="AF904" t="s">
        <v>401</v>
      </c>
      <c r="AJ904">
        <v>1</v>
      </c>
      <c r="AM904" t="str">
        <f t="shared" si="109"/>
        <v>Pass</v>
      </c>
      <c r="AN904" t="str">
        <f t="shared" si="110"/>
        <v>Pass_Completed</v>
      </c>
      <c r="AP904" t="str">
        <f t="shared" si="111"/>
        <v>Offensive</v>
      </c>
      <c r="BB904" s="23"/>
      <c r="BD904" s="21"/>
      <c r="BE904" s="21"/>
      <c r="BF904" s="21"/>
      <c r="BG904" s="21"/>
      <c r="BH904" s="21"/>
      <c r="BI904" s="21"/>
    </row>
    <row r="905" spans="1:61" x14ac:dyDescent="0.2">
      <c r="A905">
        <v>461</v>
      </c>
      <c r="B905" t="s">
        <v>887</v>
      </c>
      <c r="C905" t="str">
        <f t="shared" si="107"/>
        <v/>
      </c>
      <c r="D905" t="str">
        <f t="shared" ref="D905:D968" si="112">IF(C905&lt;&gt;"",C905,B905)</f>
        <v/>
      </c>
      <c r="H905">
        <f t="shared" si="108"/>
        <v>1</v>
      </c>
      <c r="R905">
        <v>44</v>
      </c>
      <c r="S905">
        <v>1</v>
      </c>
      <c r="T905" t="str">
        <f t="shared" si="106"/>
        <v>e</v>
      </c>
      <c r="AJ905">
        <v>1</v>
      </c>
      <c r="AM905" t="str">
        <f t="shared" si="109"/>
        <v>Pass</v>
      </c>
      <c r="AN905" t="str">
        <f t="shared" si="110"/>
        <v>Pass_Completed</v>
      </c>
      <c r="AP905" t="str">
        <f t="shared" si="111"/>
        <v>Offensive</v>
      </c>
      <c r="BB905" s="23"/>
      <c r="BD905" s="21"/>
      <c r="BE905" s="21"/>
      <c r="BF905" s="21"/>
      <c r="BG905" s="21"/>
      <c r="BH905" s="21"/>
      <c r="BI905" s="21"/>
    </row>
    <row r="906" spans="1:61" x14ac:dyDescent="0.2">
      <c r="A906">
        <v>461</v>
      </c>
      <c r="B906" t="s">
        <v>887</v>
      </c>
      <c r="C906" t="str">
        <f t="shared" si="107"/>
        <v/>
      </c>
      <c r="D906" t="str">
        <f t="shared" si="112"/>
        <v/>
      </c>
      <c r="H906">
        <f t="shared" si="108"/>
        <v>1</v>
      </c>
      <c r="R906">
        <v>84</v>
      </c>
      <c r="T906" t="str">
        <f t="shared" si="106"/>
        <v>o</v>
      </c>
      <c r="AM906" t="str">
        <f t="shared" si="109"/>
        <v>Pass</v>
      </c>
      <c r="AN906" t="str">
        <f t="shared" si="110"/>
        <v>Pass_Completed</v>
      </c>
      <c r="AP906" t="str">
        <f t="shared" si="111"/>
        <v>Defensive</v>
      </c>
      <c r="BB906" s="23"/>
      <c r="BD906" s="21"/>
      <c r="BE906" s="21"/>
      <c r="BF906" s="21"/>
      <c r="BG906" s="21"/>
      <c r="BH906" s="21"/>
      <c r="BI906" s="21"/>
    </row>
    <row r="907" spans="1:61" x14ac:dyDescent="0.2">
      <c r="A907">
        <v>462</v>
      </c>
      <c r="B907" t="s">
        <v>887</v>
      </c>
      <c r="C907" t="str">
        <f t="shared" si="107"/>
        <v/>
      </c>
      <c r="D907" t="str">
        <f t="shared" si="112"/>
        <v/>
      </c>
      <c r="H907">
        <f t="shared" si="108"/>
        <v>1</v>
      </c>
      <c r="I907" s="5" t="s">
        <v>899</v>
      </c>
      <c r="J907" s="5" t="s">
        <v>731</v>
      </c>
      <c r="K907" s="5" t="s">
        <v>899</v>
      </c>
      <c r="L907" s="7" t="s">
        <v>621</v>
      </c>
      <c r="Q907" t="s">
        <v>619</v>
      </c>
      <c r="R907">
        <v>44</v>
      </c>
      <c r="S907">
        <v>1</v>
      </c>
      <c r="T907" t="str">
        <f t="shared" si="106"/>
        <v>e</v>
      </c>
      <c r="U907" t="s">
        <v>15</v>
      </c>
      <c r="AF907" t="s">
        <v>401</v>
      </c>
      <c r="AM907" t="str">
        <f t="shared" si="109"/>
        <v>Possession</v>
      </c>
      <c r="AN907" t="str">
        <f t="shared" si="110"/>
        <v/>
      </c>
      <c r="AP907" t="str">
        <f t="shared" si="111"/>
        <v>Offensive</v>
      </c>
      <c r="BB907" s="23"/>
      <c r="BD907" s="21"/>
      <c r="BE907" s="21"/>
      <c r="BF907" s="21"/>
      <c r="BG907" s="21"/>
      <c r="BH907" s="21"/>
      <c r="BI907" s="21"/>
    </row>
    <row r="908" spans="1:61" x14ac:dyDescent="0.2">
      <c r="A908">
        <v>463</v>
      </c>
      <c r="B908">
        <v>81</v>
      </c>
      <c r="C908">
        <f t="shared" si="107"/>
        <v>9081</v>
      </c>
      <c r="D908">
        <f t="shared" si="112"/>
        <v>9081</v>
      </c>
      <c r="H908">
        <f t="shared" si="108"/>
        <v>1</v>
      </c>
      <c r="I908" s="5" t="s">
        <v>899</v>
      </c>
      <c r="J908" s="5" t="s">
        <v>621</v>
      </c>
      <c r="Q908" t="s">
        <v>619</v>
      </c>
      <c r="R908">
        <v>44</v>
      </c>
      <c r="S908">
        <v>1</v>
      </c>
      <c r="T908" t="str">
        <f t="shared" si="106"/>
        <v>e</v>
      </c>
      <c r="U908" t="s">
        <v>7</v>
      </c>
      <c r="V908" t="s">
        <v>215</v>
      </c>
      <c r="W908" t="s">
        <v>53</v>
      </c>
      <c r="X908" t="s">
        <v>705</v>
      </c>
      <c r="AF908" t="s">
        <v>401</v>
      </c>
      <c r="AM908" t="str">
        <f t="shared" si="109"/>
        <v>Shot</v>
      </c>
      <c r="AN908" t="str">
        <f t="shared" si="110"/>
        <v>Shot_BlockedSameTeam</v>
      </c>
      <c r="AP908" t="str">
        <f t="shared" si="111"/>
        <v>Offensive</v>
      </c>
      <c r="BB908" s="23"/>
      <c r="BD908" s="21"/>
      <c r="BE908" s="21"/>
      <c r="BF908" s="21"/>
      <c r="BG908" s="21"/>
      <c r="BH908" s="21"/>
      <c r="BI908" s="21"/>
    </row>
    <row r="909" spans="1:61" x14ac:dyDescent="0.2">
      <c r="A909">
        <v>463</v>
      </c>
      <c r="B909">
        <v>81</v>
      </c>
      <c r="C909">
        <f t="shared" si="107"/>
        <v>9081</v>
      </c>
      <c r="D909">
        <f t="shared" si="112"/>
        <v>9081</v>
      </c>
      <c r="H909">
        <f t="shared" si="108"/>
        <v>1</v>
      </c>
      <c r="R909">
        <v>77</v>
      </c>
      <c r="S909">
        <v>1</v>
      </c>
      <c r="T909" t="str">
        <f t="shared" si="106"/>
        <v>e</v>
      </c>
      <c r="AM909" t="str">
        <f t="shared" si="109"/>
        <v>Shot</v>
      </c>
      <c r="AN909" t="str">
        <f t="shared" si="110"/>
        <v>Shot_BlockedSameTeam</v>
      </c>
      <c r="AP909" t="str">
        <f t="shared" si="111"/>
        <v>Offensive</v>
      </c>
      <c r="BB909" s="23"/>
      <c r="BD909" s="21"/>
      <c r="BE909" s="21"/>
      <c r="BF909" s="21"/>
      <c r="BG909" s="21"/>
      <c r="BH909" s="21"/>
      <c r="BI909" s="21"/>
    </row>
    <row r="910" spans="1:61" x14ac:dyDescent="0.2">
      <c r="A910">
        <v>464</v>
      </c>
      <c r="B910">
        <v>81</v>
      </c>
      <c r="C910">
        <f t="shared" si="107"/>
        <v>9081</v>
      </c>
      <c r="D910">
        <f t="shared" si="112"/>
        <v>9081</v>
      </c>
      <c r="H910">
        <f t="shared" si="108"/>
        <v>1</v>
      </c>
      <c r="I910" s="5" t="s">
        <v>899</v>
      </c>
      <c r="J910" s="5" t="s">
        <v>621</v>
      </c>
      <c r="Q910" t="s">
        <v>619</v>
      </c>
      <c r="R910">
        <v>44</v>
      </c>
      <c r="S910">
        <v>1</v>
      </c>
      <c r="T910" t="str">
        <f t="shared" si="106"/>
        <v>e</v>
      </c>
      <c r="U910" t="s">
        <v>10</v>
      </c>
      <c r="V910" t="s">
        <v>190</v>
      </c>
      <c r="W910" t="s">
        <v>78</v>
      </c>
      <c r="AF910" t="s">
        <v>401</v>
      </c>
      <c r="AM910" t="str">
        <f t="shared" si="109"/>
        <v>Turnover</v>
      </c>
      <c r="AN910" t="str">
        <f t="shared" si="110"/>
        <v>Turnover_Giveaway</v>
      </c>
      <c r="AP910" t="str">
        <f t="shared" si="111"/>
        <v>Offensive</v>
      </c>
      <c r="BB910" s="23"/>
      <c r="BD910" s="21"/>
      <c r="BE910" s="21"/>
      <c r="BF910" s="21"/>
      <c r="BG910" s="21"/>
      <c r="BH910" s="21"/>
      <c r="BI910" s="21"/>
    </row>
    <row r="911" spans="1:61" x14ac:dyDescent="0.2">
      <c r="A911">
        <v>464</v>
      </c>
      <c r="B911">
        <v>81</v>
      </c>
      <c r="C911">
        <f t="shared" si="107"/>
        <v>9081</v>
      </c>
      <c r="D911">
        <f t="shared" si="112"/>
        <v>9081</v>
      </c>
      <c r="H911">
        <f t="shared" si="108"/>
        <v>1</v>
      </c>
      <c r="R911">
        <v>77</v>
      </c>
      <c r="S911">
        <v>1</v>
      </c>
      <c r="T911" t="str">
        <f t="shared" si="106"/>
        <v>e</v>
      </c>
      <c r="AM911" t="str">
        <f t="shared" si="109"/>
        <v>Turnover</v>
      </c>
      <c r="AN911" t="str">
        <f t="shared" si="110"/>
        <v>Turnover_Giveaway</v>
      </c>
      <c r="AP911" t="str">
        <f t="shared" si="111"/>
        <v>Offensive</v>
      </c>
      <c r="BB911" s="23"/>
      <c r="BD911" s="21"/>
      <c r="BE911" s="21"/>
      <c r="BF911" s="21"/>
      <c r="BG911" s="21"/>
      <c r="BH911" s="21"/>
      <c r="BI911" s="21"/>
    </row>
    <row r="912" spans="1:61" x14ac:dyDescent="0.2">
      <c r="A912">
        <v>465</v>
      </c>
      <c r="B912" t="s">
        <v>887</v>
      </c>
      <c r="C912" t="str">
        <f t="shared" si="107"/>
        <v/>
      </c>
      <c r="D912" t="str">
        <f t="shared" si="112"/>
        <v/>
      </c>
      <c r="H912">
        <f t="shared" si="108"/>
        <v>1</v>
      </c>
      <c r="I912" s="5" t="s">
        <v>899</v>
      </c>
      <c r="J912" s="5" t="s">
        <v>732</v>
      </c>
      <c r="Q912" t="s">
        <v>620</v>
      </c>
      <c r="R912">
        <v>84</v>
      </c>
      <c r="S912">
        <v>1</v>
      </c>
      <c r="T912" t="str">
        <f t="shared" si="106"/>
        <v>e</v>
      </c>
      <c r="U912" t="s">
        <v>15</v>
      </c>
      <c r="V912" t="s">
        <v>697</v>
      </c>
      <c r="X912" t="s">
        <v>706</v>
      </c>
      <c r="Y912" t="s">
        <v>712</v>
      </c>
      <c r="AF912" t="s">
        <v>623</v>
      </c>
      <c r="AM912" t="str">
        <f t="shared" si="109"/>
        <v>Possession</v>
      </c>
      <c r="AN912" t="str">
        <f t="shared" si="110"/>
        <v>PuckRetrieval</v>
      </c>
      <c r="AP912" t="str">
        <f t="shared" si="111"/>
        <v>Offensive</v>
      </c>
      <c r="BB912" s="23"/>
      <c r="BD912" s="21"/>
      <c r="BE912" s="21"/>
      <c r="BF912" s="21"/>
      <c r="BG912" s="21"/>
      <c r="BH912" s="21"/>
      <c r="BI912" s="21"/>
    </row>
    <row r="913" spans="1:61" x14ac:dyDescent="0.2">
      <c r="A913">
        <v>466</v>
      </c>
      <c r="B913" t="s">
        <v>887</v>
      </c>
      <c r="C913" t="str">
        <f t="shared" si="107"/>
        <v/>
      </c>
      <c r="D913" t="str">
        <f t="shared" si="112"/>
        <v/>
      </c>
      <c r="H913">
        <f t="shared" si="108"/>
        <v>1</v>
      </c>
      <c r="I913" s="5" t="s">
        <v>899</v>
      </c>
      <c r="J913" s="5" t="s">
        <v>732</v>
      </c>
      <c r="K913" s="5" t="s">
        <v>899</v>
      </c>
      <c r="L913" s="7" t="s">
        <v>738</v>
      </c>
      <c r="Q913" t="s">
        <v>620</v>
      </c>
      <c r="R913">
        <v>84</v>
      </c>
      <c r="S913">
        <v>1</v>
      </c>
      <c r="T913" t="str">
        <f t="shared" si="106"/>
        <v>e</v>
      </c>
      <c r="U913" t="s">
        <v>15</v>
      </c>
      <c r="Y913" t="s">
        <v>679</v>
      </c>
      <c r="AF913" t="s">
        <v>623</v>
      </c>
      <c r="AJ913">
        <v>1</v>
      </c>
      <c r="AM913" t="str">
        <f t="shared" si="109"/>
        <v>Possession</v>
      </c>
      <c r="AN913" t="str">
        <f t="shared" si="110"/>
        <v/>
      </c>
      <c r="AP913" t="str">
        <f t="shared" si="111"/>
        <v>Offensive</v>
      </c>
      <c r="BB913" s="23"/>
      <c r="BD913" s="21"/>
      <c r="BE913" s="21"/>
      <c r="BF913" s="21"/>
      <c r="BG913" s="21"/>
      <c r="BH913" s="21"/>
      <c r="BI913" s="21"/>
    </row>
    <row r="914" spans="1:61" x14ac:dyDescent="0.2">
      <c r="A914">
        <v>466</v>
      </c>
      <c r="B914" t="s">
        <v>887</v>
      </c>
      <c r="C914" t="str">
        <f t="shared" si="107"/>
        <v/>
      </c>
      <c r="D914" t="str">
        <f t="shared" si="112"/>
        <v/>
      </c>
      <c r="H914">
        <f t="shared" si="108"/>
        <v>1</v>
      </c>
      <c r="R914">
        <v>77</v>
      </c>
      <c r="T914" t="str">
        <f t="shared" si="106"/>
        <v>o</v>
      </c>
      <c r="Y914" t="s">
        <v>827</v>
      </c>
      <c r="AA914" t="s">
        <v>706</v>
      </c>
      <c r="AJ914">
        <v>1</v>
      </c>
      <c r="AM914" t="str">
        <f t="shared" si="109"/>
        <v>Possession</v>
      </c>
      <c r="AN914" t="str">
        <f t="shared" si="110"/>
        <v/>
      </c>
      <c r="AP914" t="str">
        <f t="shared" si="111"/>
        <v>Defensive</v>
      </c>
      <c r="BB914" s="23"/>
      <c r="BD914" s="21"/>
      <c r="BE914" s="21"/>
      <c r="BF914" s="21"/>
      <c r="BG914" s="21"/>
      <c r="BH914" s="21"/>
      <c r="BI914" s="21"/>
    </row>
    <row r="915" spans="1:61" x14ac:dyDescent="0.2">
      <c r="A915">
        <v>467</v>
      </c>
      <c r="B915" t="s">
        <v>887</v>
      </c>
      <c r="C915" t="str">
        <f t="shared" si="107"/>
        <v/>
      </c>
      <c r="D915" t="str">
        <f t="shared" si="112"/>
        <v/>
      </c>
      <c r="H915">
        <f t="shared" si="108"/>
        <v>1</v>
      </c>
      <c r="I915" s="5" t="s">
        <v>899</v>
      </c>
      <c r="J915" s="5" t="s">
        <v>738</v>
      </c>
      <c r="Q915" t="s">
        <v>619</v>
      </c>
      <c r="R915">
        <v>77</v>
      </c>
      <c r="S915">
        <v>1</v>
      </c>
      <c r="T915" t="str">
        <f t="shared" si="106"/>
        <v>e</v>
      </c>
      <c r="U915" t="s">
        <v>10</v>
      </c>
      <c r="V915" t="s">
        <v>200</v>
      </c>
      <c r="W915" t="s">
        <v>81</v>
      </c>
      <c r="Y915" t="s">
        <v>774</v>
      </c>
      <c r="AA915" t="s">
        <v>706</v>
      </c>
      <c r="AF915" t="s">
        <v>401</v>
      </c>
      <c r="AJ915">
        <v>1</v>
      </c>
      <c r="AM915" t="str">
        <f t="shared" si="109"/>
        <v>Turnover</v>
      </c>
      <c r="AN915" t="str">
        <f t="shared" si="110"/>
        <v>Turnover_Takeaway</v>
      </c>
      <c r="AP915" t="str">
        <f t="shared" si="111"/>
        <v>Defensive</v>
      </c>
      <c r="BB915" s="23"/>
      <c r="BD915" s="21"/>
      <c r="BE915" s="21"/>
      <c r="BF915" s="21"/>
      <c r="BG915" s="21"/>
      <c r="BH915" s="21"/>
      <c r="BI915" s="21"/>
    </row>
    <row r="916" spans="1:61" x14ac:dyDescent="0.2">
      <c r="A916">
        <v>467</v>
      </c>
      <c r="B916" t="s">
        <v>887</v>
      </c>
      <c r="C916" t="str">
        <f t="shared" si="107"/>
        <v/>
      </c>
      <c r="D916" t="str">
        <f t="shared" si="112"/>
        <v/>
      </c>
      <c r="H916">
        <f t="shared" si="108"/>
        <v>1</v>
      </c>
      <c r="R916">
        <v>13</v>
      </c>
      <c r="S916">
        <v>1</v>
      </c>
      <c r="T916" t="str">
        <f t="shared" si="106"/>
        <v>e</v>
      </c>
      <c r="AM916" t="str">
        <f t="shared" si="109"/>
        <v>Turnover</v>
      </c>
      <c r="AN916" t="str">
        <f t="shared" si="110"/>
        <v>Turnover_Takeaway</v>
      </c>
      <c r="AP916" t="str">
        <f t="shared" si="111"/>
        <v>Defensive</v>
      </c>
      <c r="BB916" s="23"/>
      <c r="BD916" s="21"/>
      <c r="BE916" s="21"/>
      <c r="BF916" s="21"/>
      <c r="BG916" s="21"/>
      <c r="BH916" s="21"/>
      <c r="BI916" s="21"/>
    </row>
    <row r="917" spans="1:61" x14ac:dyDescent="0.2">
      <c r="A917">
        <v>467</v>
      </c>
      <c r="B917" t="s">
        <v>887</v>
      </c>
      <c r="C917" t="str">
        <f t="shared" si="107"/>
        <v/>
      </c>
      <c r="D917" t="str">
        <f t="shared" si="112"/>
        <v/>
      </c>
      <c r="H917">
        <f t="shared" si="108"/>
        <v>1</v>
      </c>
      <c r="R917">
        <v>84</v>
      </c>
      <c r="T917" t="str">
        <f t="shared" si="106"/>
        <v>o</v>
      </c>
      <c r="AJ917">
        <v>1</v>
      </c>
      <c r="AM917" t="str">
        <f t="shared" si="109"/>
        <v>Turnover</v>
      </c>
      <c r="AN917" t="str">
        <f t="shared" si="110"/>
        <v>Turnover_Takeaway</v>
      </c>
      <c r="AP917" t="str">
        <f t="shared" si="111"/>
        <v>Offensive</v>
      </c>
      <c r="BB917" s="23"/>
      <c r="BD917" s="21"/>
      <c r="BE917" s="21"/>
      <c r="BF917" s="21"/>
      <c r="BG917" s="21"/>
      <c r="BH917" s="21"/>
      <c r="BI917" s="21"/>
    </row>
    <row r="918" spans="1:61" x14ac:dyDescent="0.2">
      <c r="A918">
        <v>468</v>
      </c>
      <c r="B918" t="s">
        <v>887</v>
      </c>
      <c r="C918" t="str">
        <f t="shared" si="107"/>
        <v/>
      </c>
      <c r="D918" t="str">
        <f t="shared" si="112"/>
        <v/>
      </c>
      <c r="H918">
        <f t="shared" si="108"/>
        <v>1</v>
      </c>
      <c r="I918" s="5" t="s">
        <v>899</v>
      </c>
      <c r="J918" s="5" t="s">
        <v>738</v>
      </c>
      <c r="K918" s="5" t="s">
        <v>899</v>
      </c>
      <c r="L918" s="7" t="s">
        <v>740</v>
      </c>
      <c r="Q918" t="s">
        <v>619</v>
      </c>
      <c r="R918">
        <v>13</v>
      </c>
      <c r="S918">
        <v>1</v>
      </c>
      <c r="T918" t="str">
        <f t="shared" si="106"/>
        <v>e</v>
      </c>
      <c r="U918" t="s">
        <v>15</v>
      </c>
      <c r="V918" t="s">
        <v>697</v>
      </c>
      <c r="X918" t="s">
        <v>706</v>
      </c>
      <c r="Y918" t="s">
        <v>712</v>
      </c>
      <c r="AA918" t="s">
        <v>706</v>
      </c>
      <c r="AF918" t="s">
        <v>401</v>
      </c>
      <c r="AM918" t="str">
        <f t="shared" si="109"/>
        <v>Possession</v>
      </c>
      <c r="AN918" t="str">
        <f t="shared" si="110"/>
        <v>PuckRetrieval</v>
      </c>
      <c r="AP918" t="str">
        <f t="shared" si="111"/>
        <v>Offensive</v>
      </c>
      <c r="BB918" s="23"/>
      <c r="BD918" s="21"/>
      <c r="BE918" s="21"/>
      <c r="BF918" s="21"/>
      <c r="BG918" s="21"/>
      <c r="BH918" s="21"/>
      <c r="BI918" s="21"/>
    </row>
    <row r="919" spans="1:61" x14ac:dyDescent="0.2">
      <c r="A919">
        <v>469</v>
      </c>
      <c r="B919" t="s">
        <v>887</v>
      </c>
      <c r="C919" t="str">
        <f t="shared" si="107"/>
        <v/>
      </c>
      <c r="D919" t="str">
        <f t="shared" si="112"/>
        <v/>
      </c>
      <c r="H919">
        <f t="shared" si="108"/>
        <v>1</v>
      </c>
      <c r="I919" s="5" t="s">
        <v>899</v>
      </c>
      <c r="J919" s="5" t="s">
        <v>740</v>
      </c>
      <c r="Q919" t="s">
        <v>619</v>
      </c>
      <c r="R919">
        <v>13</v>
      </c>
      <c r="S919">
        <v>1</v>
      </c>
      <c r="T919" t="str">
        <f t="shared" si="106"/>
        <v>e</v>
      </c>
      <c r="U919" t="s">
        <v>8</v>
      </c>
      <c r="V919" t="s">
        <v>189</v>
      </c>
      <c r="W919" t="s">
        <v>70</v>
      </c>
      <c r="X919" t="s">
        <v>706</v>
      </c>
      <c r="AF919" t="s">
        <v>401</v>
      </c>
      <c r="AM919" t="str">
        <f t="shared" si="109"/>
        <v>Pass</v>
      </c>
      <c r="AN919" t="str">
        <f t="shared" si="110"/>
        <v>Pass_Completed</v>
      </c>
      <c r="AP919" t="str">
        <f t="shared" si="111"/>
        <v>Offensive</v>
      </c>
      <c r="BB919" s="23"/>
      <c r="BD919" s="21"/>
      <c r="BE919" s="21"/>
      <c r="BF919" s="21"/>
      <c r="BG919" s="21"/>
      <c r="BH919" s="21"/>
      <c r="BI919" s="21"/>
    </row>
    <row r="920" spans="1:61" x14ac:dyDescent="0.2">
      <c r="A920">
        <v>469</v>
      </c>
      <c r="B920" t="s">
        <v>887</v>
      </c>
      <c r="C920" t="str">
        <f t="shared" si="107"/>
        <v/>
      </c>
      <c r="D920" t="str">
        <f t="shared" si="112"/>
        <v/>
      </c>
      <c r="H920">
        <f t="shared" si="108"/>
        <v>1</v>
      </c>
      <c r="R920">
        <v>18</v>
      </c>
      <c r="S920">
        <v>1</v>
      </c>
      <c r="T920" t="str">
        <f t="shared" si="106"/>
        <v>e</v>
      </c>
      <c r="AM920" t="str">
        <f t="shared" si="109"/>
        <v>Pass</v>
      </c>
      <c r="AN920" t="str">
        <f t="shared" si="110"/>
        <v>Pass_Completed</v>
      </c>
      <c r="AP920" t="str">
        <f t="shared" si="111"/>
        <v>Offensive</v>
      </c>
      <c r="BB920" s="23"/>
      <c r="BD920" s="21"/>
      <c r="BE920" s="21"/>
      <c r="BF920" s="21"/>
      <c r="BG920" s="21"/>
      <c r="BH920" s="21"/>
      <c r="BI920" s="21"/>
    </row>
    <row r="921" spans="1:61" x14ac:dyDescent="0.2">
      <c r="A921">
        <v>470</v>
      </c>
      <c r="B921">
        <v>82</v>
      </c>
      <c r="C921">
        <f t="shared" si="107"/>
        <v>9082</v>
      </c>
      <c r="D921">
        <f t="shared" si="112"/>
        <v>9082</v>
      </c>
      <c r="H921">
        <f t="shared" si="108"/>
        <v>1</v>
      </c>
      <c r="I921" s="5" t="s">
        <v>899</v>
      </c>
      <c r="J921" s="5" t="s">
        <v>740</v>
      </c>
      <c r="Q921" t="s">
        <v>619</v>
      </c>
      <c r="R921">
        <v>18</v>
      </c>
      <c r="S921">
        <v>1</v>
      </c>
      <c r="T921" t="str">
        <f t="shared" si="106"/>
        <v>e</v>
      </c>
      <c r="U921" t="s">
        <v>7</v>
      </c>
      <c r="V921" t="s">
        <v>208</v>
      </c>
      <c r="W921" t="s">
        <v>65</v>
      </c>
      <c r="X921" t="s">
        <v>705</v>
      </c>
      <c r="AF921" t="s">
        <v>401</v>
      </c>
      <c r="AM921" t="str">
        <f t="shared" si="109"/>
        <v>Shot</v>
      </c>
      <c r="AN921" t="str">
        <f t="shared" si="110"/>
        <v>Shot_Blocked</v>
      </c>
      <c r="AP921" t="str">
        <f t="shared" si="111"/>
        <v>Offensive</v>
      </c>
      <c r="BB921" s="23"/>
      <c r="BD921" s="21"/>
      <c r="BE921" s="21"/>
      <c r="BF921" s="21"/>
      <c r="BG921" s="21"/>
      <c r="BH921" s="21"/>
      <c r="BI921" s="21"/>
    </row>
    <row r="922" spans="1:61" x14ac:dyDescent="0.2">
      <c r="A922">
        <v>470</v>
      </c>
      <c r="B922">
        <v>82</v>
      </c>
      <c r="C922">
        <f t="shared" si="107"/>
        <v>9082</v>
      </c>
      <c r="D922">
        <f t="shared" si="112"/>
        <v>9082</v>
      </c>
      <c r="H922">
        <f t="shared" si="108"/>
        <v>1</v>
      </c>
      <c r="R922">
        <v>22</v>
      </c>
      <c r="T922" t="str">
        <f t="shared" si="106"/>
        <v>o</v>
      </c>
      <c r="Y922" t="s">
        <v>681</v>
      </c>
      <c r="AA922" t="s">
        <v>706</v>
      </c>
      <c r="AM922" t="str">
        <f t="shared" si="109"/>
        <v>Shot</v>
      </c>
      <c r="AN922" t="str">
        <f t="shared" si="110"/>
        <v>Shot_Blocked</v>
      </c>
      <c r="AP922" t="str">
        <f t="shared" si="111"/>
        <v>Defensive</v>
      </c>
      <c r="BB922" s="23"/>
      <c r="BD922" s="21"/>
      <c r="BE922" s="21"/>
      <c r="BF922" s="21"/>
      <c r="BG922" s="21"/>
      <c r="BH922" s="21"/>
      <c r="BI922" s="21"/>
    </row>
    <row r="923" spans="1:61" x14ac:dyDescent="0.2">
      <c r="A923">
        <v>470</v>
      </c>
      <c r="B923">
        <v>82</v>
      </c>
      <c r="C923">
        <f t="shared" si="107"/>
        <v>9082</v>
      </c>
      <c r="D923">
        <f t="shared" si="112"/>
        <v>9082</v>
      </c>
      <c r="H923">
        <f t="shared" si="108"/>
        <v>1</v>
      </c>
      <c r="R923">
        <v>24</v>
      </c>
      <c r="T923" t="str">
        <f t="shared" si="106"/>
        <v>o</v>
      </c>
      <c r="Y923" t="s">
        <v>715</v>
      </c>
      <c r="AM923" t="str">
        <f t="shared" si="109"/>
        <v>Shot</v>
      </c>
      <c r="AN923" t="str">
        <f t="shared" si="110"/>
        <v>Shot_Blocked</v>
      </c>
      <c r="AP923" t="str">
        <f t="shared" si="111"/>
        <v>Defensive</v>
      </c>
      <c r="BB923" s="23"/>
      <c r="BD923" s="21"/>
      <c r="BE923" s="21"/>
      <c r="BF923" s="21"/>
      <c r="BG923" s="21"/>
      <c r="BH923" s="21"/>
      <c r="BI923" s="21"/>
    </row>
    <row r="924" spans="1:61" x14ac:dyDescent="0.2">
      <c r="A924">
        <v>471</v>
      </c>
      <c r="B924">
        <v>82</v>
      </c>
      <c r="C924">
        <f t="shared" si="107"/>
        <v>9082</v>
      </c>
      <c r="D924">
        <f t="shared" si="112"/>
        <v>9082</v>
      </c>
      <c r="H924">
        <f t="shared" si="108"/>
        <v>1</v>
      </c>
      <c r="I924" s="5" t="s">
        <v>899</v>
      </c>
      <c r="J924" s="5" t="s">
        <v>740</v>
      </c>
      <c r="Q924" t="s">
        <v>619</v>
      </c>
      <c r="R924">
        <v>18</v>
      </c>
      <c r="S924">
        <v>1</v>
      </c>
      <c r="T924" t="str">
        <f t="shared" si="106"/>
        <v>e</v>
      </c>
      <c r="U924" t="s">
        <v>10</v>
      </c>
      <c r="V924" t="s">
        <v>190</v>
      </c>
      <c r="W924" t="s">
        <v>78</v>
      </c>
      <c r="AF924" t="s">
        <v>401</v>
      </c>
      <c r="AM924" t="str">
        <f t="shared" si="109"/>
        <v>Turnover</v>
      </c>
      <c r="AN924" t="str">
        <f t="shared" si="110"/>
        <v>Turnover_Giveaway</v>
      </c>
      <c r="AP924" t="str">
        <f t="shared" si="111"/>
        <v>Offensive</v>
      </c>
      <c r="BB924" s="23"/>
      <c r="BD924" s="21"/>
      <c r="BE924" s="21"/>
      <c r="BF924" s="21"/>
      <c r="BG924" s="21"/>
      <c r="BH924" s="21"/>
      <c r="BI924" s="21"/>
    </row>
    <row r="925" spans="1:61" x14ac:dyDescent="0.2">
      <c r="A925">
        <v>471</v>
      </c>
      <c r="B925">
        <v>82</v>
      </c>
      <c r="C925">
        <f t="shared" si="107"/>
        <v>9082</v>
      </c>
      <c r="D925">
        <f t="shared" si="112"/>
        <v>9082</v>
      </c>
      <c r="H925">
        <f t="shared" si="108"/>
        <v>1</v>
      </c>
      <c r="R925">
        <v>22</v>
      </c>
      <c r="T925" t="str">
        <f t="shared" si="106"/>
        <v>o</v>
      </c>
      <c r="Y925" t="s">
        <v>681</v>
      </c>
      <c r="AA925" t="s">
        <v>706</v>
      </c>
      <c r="AM925" t="str">
        <f t="shared" si="109"/>
        <v>Turnover</v>
      </c>
      <c r="AN925" t="str">
        <f t="shared" si="110"/>
        <v>Turnover_Giveaway</v>
      </c>
      <c r="AP925" t="str">
        <f t="shared" si="111"/>
        <v>Defensive</v>
      </c>
      <c r="BB925" s="23"/>
      <c r="BD925" s="21"/>
      <c r="BE925" s="21"/>
      <c r="BF925" s="21"/>
      <c r="BG925" s="21"/>
      <c r="BH925" s="21"/>
      <c r="BI925" s="21"/>
    </row>
    <row r="926" spans="1:61" x14ac:dyDescent="0.2">
      <c r="A926">
        <v>471</v>
      </c>
      <c r="B926">
        <v>82</v>
      </c>
      <c r="C926">
        <f t="shared" si="107"/>
        <v>9082</v>
      </c>
      <c r="D926">
        <f t="shared" si="112"/>
        <v>9082</v>
      </c>
      <c r="H926">
        <f t="shared" si="108"/>
        <v>1</v>
      </c>
      <c r="R926">
        <v>24</v>
      </c>
      <c r="T926" t="str">
        <f t="shared" si="106"/>
        <v>o</v>
      </c>
      <c r="Y926" t="s">
        <v>715</v>
      </c>
      <c r="AM926" t="str">
        <f t="shared" si="109"/>
        <v>Turnover</v>
      </c>
      <c r="AN926" t="str">
        <f t="shared" si="110"/>
        <v>Turnover_Giveaway</v>
      </c>
      <c r="AP926" t="str">
        <f t="shared" si="111"/>
        <v>Defensive</v>
      </c>
      <c r="BB926" s="23"/>
      <c r="BD926" s="21"/>
      <c r="BE926" s="21"/>
      <c r="BF926" s="21"/>
      <c r="BG926" s="21"/>
      <c r="BH926" s="21"/>
      <c r="BI926" s="21"/>
    </row>
    <row r="927" spans="1:61" x14ac:dyDescent="0.2">
      <c r="A927">
        <v>472</v>
      </c>
      <c r="B927" t="s">
        <v>887</v>
      </c>
      <c r="C927" t="str">
        <f t="shared" si="107"/>
        <v/>
      </c>
      <c r="D927" t="str">
        <f t="shared" si="112"/>
        <v/>
      </c>
      <c r="H927">
        <f t="shared" si="108"/>
        <v>1</v>
      </c>
      <c r="I927" s="5" t="s">
        <v>899</v>
      </c>
      <c r="J927" s="5" t="s">
        <v>446</v>
      </c>
      <c r="Q927" t="s">
        <v>620</v>
      </c>
      <c r="R927">
        <v>42</v>
      </c>
      <c r="S927">
        <v>1</v>
      </c>
      <c r="T927" t="str">
        <f t="shared" si="106"/>
        <v>e</v>
      </c>
      <c r="U927" t="s">
        <v>15</v>
      </c>
      <c r="V927" t="s">
        <v>697</v>
      </c>
      <c r="X927" t="s">
        <v>706</v>
      </c>
      <c r="Y927" t="s">
        <v>683</v>
      </c>
      <c r="AA927" t="s">
        <v>706</v>
      </c>
      <c r="AF927" t="s">
        <v>623</v>
      </c>
      <c r="AJ927">
        <v>1</v>
      </c>
      <c r="AM927" t="str">
        <f t="shared" si="109"/>
        <v>Possession</v>
      </c>
      <c r="AN927" t="str">
        <f t="shared" si="110"/>
        <v>PuckRetrieval</v>
      </c>
      <c r="AP927" t="str">
        <f t="shared" si="111"/>
        <v>Offensive</v>
      </c>
      <c r="BB927" s="23"/>
      <c r="BD927" s="21"/>
      <c r="BE927" s="21"/>
      <c r="BF927" s="21"/>
      <c r="BG927" s="21"/>
      <c r="BH927" s="21"/>
      <c r="BI927" s="21"/>
    </row>
    <row r="928" spans="1:61" x14ac:dyDescent="0.2">
      <c r="A928">
        <v>472</v>
      </c>
      <c r="B928" t="s">
        <v>887</v>
      </c>
      <c r="C928" t="str">
        <f t="shared" si="107"/>
        <v/>
      </c>
      <c r="D928" t="str">
        <f t="shared" si="112"/>
        <v/>
      </c>
      <c r="H928">
        <f t="shared" si="108"/>
        <v>1</v>
      </c>
      <c r="R928">
        <v>77</v>
      </c>
      <c r="T928" t="str">
        <f t="shared" si="106"/>
        <v>o</v>
      </c>
      <c r="Y928" t="s">
        <v>851</v>
      </c>
      <c r="AA928" t="s">
        <v>705</v>
      </c>
      <c r="AJ928">
        <v>1</v>
      </c>
      <c r="AM928" t="str">
        <f t="shared" si="109"/>
        <v>Possession</v>
      </c>
      <c r="AN928" t="str">
        <f t="shared" si="110"/>
        <v>PuckRetrieval</v>
      </c>
      <c r="AP928" t="str">
        <f t="shared" si="111"/>
        <v>Defensive</v>
      </c>
      <c r="BB928" s="23"/>
      <c r="BD928" s="21"/>
      <c r="BE928" s="21"/>
      <c r="BF928" s="21"/>
      <c r="BG928" s="21"/>
      <c r="BH928" s="21"/>
      <c r="BI928" s="21"/>
    </row>
    <row r="929" spans="1:61" x14ac:dyDescent="0.2">
      <c r="A929">
        <v>473</v>
      </c>
      <c r="B929" t="s">
        <v>887</v>
      </c>
      <c r="C929" t="str">
        <f t="shared" si="107"/>
        <v/>
      </c>
      <c r="D929" t="str">
        <f t="shared" si="112"/>
        <v/>
      </c>
      <c r="H929">
        <f t="shared" si="108"/>
        <v>1</v>
      </c>
      <c r="I929" s="5" t="s">
        <v>898</v>
      </c>
      <c r="J929" s="5" t="s">
        <v>622</v>
      </c>
      <c r="K929" s="5" t="s">
        <v>898</v>
      </c>
      <c r="L929" s="7" t="s">
        <v>896</v>
      </c>
      <c r="Q929" t="s">
        <v>620</v>
      </c>
      <c r="R929">
        <v>42</v>
      </c>
      <c r="S929">
        <v>1</v>
      </c>
      <c r="T929" t="str">
        <f t="shared" si="106"/>
        <v>e</v>
      </c>
      <c r="U929" t="s">
        <v>257</v>
      </c>
      <c r="V929" t="s">
        <v>201</v>
      </c>
      <c r="W929" t="s">
        <v>90</v>
      </c>
      <c r="X929" t="s">
        <v>706</v>
      </c>
      <c r="AF929" t="s">
        <v>623</v>
      </c>
      <c r="AM929" t="str">
        <f t="shared" si="109"/>
        <v>Zone_Entry_Exit</v>
      </c>
      <c r="AN929" t="str">
        <f t="shared" si="110"/>
        <v>Zone_Exit</v>
      </c>
      <c r="AP929" t="str">
        <f t="shared" si="111"/>
        <v>Offensive</v>
      </c>
      <c r="BB929" s="23"/>
      <c r="BD929" s="21"/>
      <c r="BE929" s="21"/>
      <c r="BF929" s="21"/>
      <c r="BG929" s="21"/>
      <c r="BH929" s="21"/>
      <c r="BI929" s="21"/>
    </row>
    <row r="930" spans="1:61" x14ac:dyDescent="0.2">
      <c r="A930">
        <v>474</v>
      </c>
      <c r="B930" t="s">
        <v>887</v>
      </c>
      <c r="C930" t="str">
        <f t="shared" si="107"/>
        <v/>
      </c>
      <c r="D930" t="str">
        <f t="shared" si="112"/>
        <v/>
      </c>
      <c r="H930">
        <f t="shared" si="108"/>
        <v>1</v>
      </c>
      <c r="I930" s="5" t="s">
        <v>898</v>
      </c>
      <c r="J930" s="5" t="s">
        <v>896</v>
      </c>
      <c r="K930" s="5" t="s">
        <v>898</v>
      </c>
      <c r="L930" s="7" t="s">
        <v>637</v>
      </c>
      <c r="Q930" t="s">
        <v>620</v>
      </c>
      <c r="R930">
        <v>42</v>
      </c>
      <c r="S930">
        <v>1</v>
      </c>
      <c r="T930" t="str">
        <f t="shared" si="106"/>
        <v>e</v>
      </c>
      <c r="U930" t="s">
        <v>15</v>
      </c>
      <c r="AF930" t="s">
        <v>635</v>
      </c>
      <c r="AM930" t="str">
        <f t="shared" si="109"/>
        <v>Possession</v>
      </c>
      <c r="AN930" t="str">
        <f t="shared" si="110"/>
        <v/>
      </c>
      <c r="AP930" t="str">
        <f t="shared" si="111"/>
        <v>Offensive</v>
      </c>
      <c r="BB930" s="23"/>
      <c r="BD930" s="21"/>
      <c r="BE930" s="21"/>
      <c r="BF930" s="21"/>
      <c r="BG930" s="21"/>
      <c r="BH930" s="21"/>
      <c r="BI930" s="21"/>
    </row>
    <row r="931" spans="1:61" x14ac:dyDescent="0.2">
      <c r="A931">
        <v>475</v>
      </c>
      <c r="B931" t="s">
        <v>887</v>
      </c>
      <c r="C931" t="str">
        <f t="shared" si="107"/>
        <v/>
      </c>
      <c r="D931" t="str">
        <f t="shared" si="112"/>
        <v/>
      </c>
      <c r="H931">
        <f t="shared" si="108"/>
        <v>1</v>
      </c>
      <c r="I931" s="5" t="s">
        <v>898</v>
      </c>
      <c r="J931" s="5" t="s">
        <v>637</v>
      </c>
      <c r="K931" s="5" t="s">
        <v>898</v>
      </c>
      <c r="L931" s="7" t="s">
        <v>762</v>
      </c>
      <c r="Q931" t="s">
        <v>620</v>
      </c>
      <c r="R931">
        <v>42</v>
      </c>
      <c r="S931">
        <v>1</v>
      </c>
      <c r="T931" t="str">
        <f t="shared" si="106"/>
        <v>e</v>
      </c>
      <c r="U931" t="s">
        <v>257</v>
      </c>
      <c r="V931" t="s">
        <v>191</v>
      </c>
      <c r="W931" t="s">
        <v>87</v>
      </c>
      <c r="X931" t="s">
        <v>706</v>
      </c>
      <c r="Y931" t="s">
        <v>728</v>
      </c>
      <c r="AF931" t="s">
        <v>401</v>
      </c>
      <c r="AJ931">
        <v>1</v>
      </c>
      <c r="AM931" t="str">
        <f t="shared" si="109"/>
        <v>Zone_Entry_Exit</v>
      </c>
      <c r="AN931" t="str">
        <f t="shared" si="110"/>
        <v>Zone_Entry</v>
      </c>
      <c r="AP931" t="str">
        <f t="shared" si="111"/>
        <v>Offensive</v>
      </c>
      <c r="BB931" s="23"/>
      <c r="BD931" s="21"/>
      <c r="BE931" s="21"/>
      <c r="BF931" s="21"/>
      <c r="BG931" s="21"/>
      <c r="BH931" s="21"/>
      <c r="BI931" s="21"/>
    </row>
    <row r="932" spans="1:61" x14ac:dyDescent="0.2">
      <c r="A932">
        <v>475</v>
      </c>
      <c r="B932" t="s">
        <v>887</v>
      </c>
      <c r="C932" t="str">
        <f t="shared" si="107"/>
        <v/>
      </c>
      <c r="D932" t="str">
        <f t="shared" si="112"/>
        <v/>
      </c>
      <c r="H932">
        <f t="shared" si="108"/>
        <v>1</v>
      </c>
      <c r="R932">
        <v>44</v>
      </c>
      <c r="T932" t="str">
        <f t="shared" si="106"/>
        <v>o</v>
      </c>
      <c r="AJ932">
        <v>1</v>
      </c>
      <c r="AM932" t="str">
        <f t="shared" si="109"/>
        <v>Zone_Entry_Exit</v>
      </c>
      <c r="AN932" t="str">
        <f t="shared" si="110"/>
        <v>Zone_Entry</v>
      </c>
      <c r="AP932" t="str">
        <f t="shared" si="111"/>
        <v>Defensive</v>
      </c>
      <c r="BB932" s="23"/>
      <c r="BD932" s="21"/>
      <c r="BE932" s="21"/>
      <c r="BF932" s="21"/>
      <c r="BG932" s="21"/>
      <c r="BH932" s="21"/>
      <c r="BI932" s="21"/>
    </row>
    <row r="933" spans="1:61" x14ac:dyDescent="0.2">
      <c r="A933">
        <v>476</v>
      </c>
      <c r="B933" t="s">
        <v>887</v>
      </c>
      <c r="C933" t="str">
        <f t="shared" si="107"/>
        <v/>
      </c>
      <c r="D933" t="str">
        <f t="shared" si="112"/>
        <v/>
      </c>
      <c r="H933">
        <f t="shared" si="108"/>
        <v>1</v>
      </c>
      <c r="I933" s="5" t="s">
        <v>898</v>
      </c>
      <c r="J933" s="5" t="s">
        <v>762</v>
      </c>
      <c r="K933" s="5" t="s">
        <v>898</v>
      </c>
      <c r="L933" s="7" t="s">
        <v>751</v>
      </c>
      <c r="Q933" t="s">
        <v>620</v>
      </c>
      <c r="R933">
        <v>42</v>
      </c>
      <c r="S933">
        <v>1</v>
      </c>
      <c r="T933" t="str">
        <f t="shared" si="106"/>
        <v>e</v>
      </c>
      <c r="U933" t="s">
        <v>15</v>
      </c>
      <c r="Y933" t="s">
        <v>767</v>
      </c>
      <c r="Z933" t="s">
        <v>677</v>
      </c>
      <c r="AA933" t="s">
        <v>706</v>
      </c>
      <c r="AF933" t="s">
        <v>401</v>
      </c>
      <c r="AJ933">
        <v>1</v>
      </c>
      <c r="AM933" t="str">
        <f t="shared" si="109"/>
        <v>Possession</v>
      </c>
      <c r="AN933" t="str">
        <f t="shared" si="110"/>
        <v/>
      </c>
      <c r="AP933" t="str">
        <f t="shared" si="111"/>
        <v>Offensive</v>
      </c>
      <c r="BB933" s="23"/>
      <c r="BD933" s="21"/>
      <c r="BE933" s="21"/>
      <c r="BF933" s="21"/>
      <c r="BG933" s="21"/>
      <c r="BH933" s="21"/>
      <c r="BI933" s="21"/>
    </row>
    <row r="934" spans="1:61" x14ac:dyDescent="0.2">
      <c r="A934">
        <v>476</v>
      </c>
      <c r="B934" t="s">
        <v>887</v>
      </c>
      <c r="C934" t="str">
        <f t="shared" si="107"/>
        <v/>
      </c>
      <c r="D934" t="str">
        <f t="shared" si="112"/>
        <v/>
      </c>
      <c r="H934">
        <f t="shared" si="108"/>
        <v>1</v>
      </c>
      <c r="R934">
        <v>42</v>
      </c>
      <c r="T934" t="str">
        <f t="shared" si="106"/>
        <v>o</v>
      </c>
      <c r="Y934" t="s">
        <v>764</v>
      </c>
      <c r="AA934" t="s">
        <v>705</v>
      </c>
      <c r="AM934" t="str">
        <f t="shared" si="109"/>
        <v>Possession</v>
      </c>
      <c r="AN934" t="str">
        <f t="shared" si="110"/>
        <v/>
      </c>
      <c r="AP934" t="str">
        <f t="shared" si="111"/>
        <v>Defensive</v>
      </c>
      <c r="BB934" s="23"/>
      <c r="BD934" s="21"/>
      <c r="BE934" s="21"/>
      <c r="BF934" s="21"/>
      <c r="BG934" s="21"/>
      <c r="BH934" s="21"/>
      <c r="BI934" s="21"/>
    </row>
    <row r="935" spans="1:61" x14ac:dyDescent="0.2">
      <c r="A935">
        <v>477</v>
      </c>
      <c r="B935" t="s">
        <v>887</v>
      </c>
      <c r="C935" t="str">
        <f t="shared" si="107"/>
        <v/>
      </c>
      <c r="D935" t="str">
        <f t="shared" si="112"/>
        <v/>
      </c>
      <c r="H935">
        <f t="shared" si="108"/>
        <v>1</v>
      </c>
      <c r="I935" s="5" t="s">
        <v>898</v>
      </c>
      <c r="J935" s="5" t="s">
        <v>751</v>
      </c>
      <c r="K935" s="5" t="s">
        <v>898</v>
      </c>
      <c r="L935" s="7" t="s">
        <v>773</v>
      </c>
      <c r="Q935" t="s">
        <v>620</v>
      </c>
      <c r="R935">
        <v>42</v>
      </c>
      <c r="S935">
        <v>1</v>
      </c>
      <c r="T935" t="str">
        <f t="shared" si="106"/>
        <v>e</v>
      </c>
      <c r="U935" t="s">
        <v>15</v>
      </c>
      <c r="Y935" t="s">
        <v>728</v>
      </c>
      <c r="AA935" t="s">
        <v>706</v>
      </c>
      <c r="AF935" t="s">
        <v>401</v>
      </c>
      <c r="AJ935">
        <v>1</v>
      </c>
      <c r="AM935" t="str">
        <f t="shared" si="109"/>
        <v>Possession</v>
      </c>
      <c r="AN935" t="str">
        <f t="shared" si="110"/>
        <v/>
      </c>
      <c r="AP935" t="str">
        <f t="shared" si="111"/>
        <v>Offensive</v>
      </c>
      <c r="BB935" s="23"/>
      <c r="BD935" s="21"/>
      <c r="BE935" s="21"/>
      <c r="BF935" s="21"/>
      <c r="BG935" s="21"/>
      <c r="BH935" s="21"/>
      <c r="BI935" s="21"/>
    </row>
    <row r="936" spans="1:61" x14ac:dyDescent="0.2">
      <c r="A936">
        <v>477</v>
      </c>
      <c r="B936" t="s">
        <v>887</v>
      </c>
      <c r="C936" t="str">
        <f t="shared" si="107"/>
        <v/>
      </c>
      <c r="D936" t="str">
        <f t="shared" si="112"/>
        <v/>
      </c>
      <c r="H936">
        <f t="shared" si="108"/>
        <v>1</v>
      </c>
      <c r="R936">
        <v>13</v>
      </c>
      <c r="T936" t="str">
        <f t="shared" si="106"/>
        <v>o</v>
      </c>
      <c r="Y936" t="s">
        <v>715</v>
      </c>
      <c r="AJ936">
        <v>1</v>
      </c>
      <c r="AM936" t="str">
        <f t="shared" si="109"/>
        <v>Possession</v>
      </c>
      <c r="AN936" t="str">
        <f t="shared" si="110"/>
        <v/>
      </c>
      <c r="AP936" t="str">
        <f t="shared" si="111"/>
        <v>Defensive</v>
      </c>
      <c r="BB936" s="23"/>
      <c r="BD936" s="21"/>
      <c r="BE936" s="21"/>
      <c r="BF936" s="21"/>
      <c r="BG936" s="21"/>
      <c r="BH936" s="21"/>
      <c r="BI936" s="21"/>
    </row>
    <row r="937" spans="1:61" x14ac:dyDescent="0.2">
      <c r="A937">
        <v>478</v>
      </c>
      <c r="B937" t="s">
        <v>887</v>
      </c>
      <c r="C937" t="str">
        <f t="shared" si="107"/>
        <v/>
      </c>
      <c r="D937" t="str">
        <f t="shared" si="112"/>
        <v/>
      </c>
      <c r="H937">
        <f t="shared" si="108"/>
        <v>1</v>
      </c>
      <c r="I937" s="5" t="s">
        <v>898</v>
      </c>
      <c r="J937" s="5" t="s">
        <v>773</v>
      </c>
      <c r="K937" s="5" t="s">
        <v>898</v>
      </c>
      <c r="L937" s="7" t="s">
        <v>753</v>
      </c>
      <c r="Q937" t="s">
        <v>620</v>
      </c>
      <c r="R937">
        <v>42</v>
      </c>
      <c r="S937">
        <v>1</v>
      </c>
      <c r="T937" t="str">
        <f t="shared" si="106"/>
        <v>e</v>
      </c>
      <c r="U937" t="s">
        <v>15</v>
      </c>
      <c r="Y937" t="s">
        <v>777</v>
      </c>
      <c r="Z937" t="s">
        <v>679</v>
      </c>
      <c r="AA937" t="s">
        <v>706</v>
      </c>
      <c r="AF937" t="s">
        <v>401</v>
      </c>
      <c r="AJ937">
        <v>1</v>
      </c>
      <c r="AM937" t="str">
        <f t="shared" si="109"/>
        <v>Possession</v>
      </c>
      <c r="AN937" t="str">
        <f t="shared" si="110"/>
        <v/>
      </c>
      <c r="AP937" t="str">
        <f t="shared" si="111"/>
        <v>Offensive</v>
      </c>
      <c r="BB937" s="23"/>
      <c r="BD937" s="21"/>
      <c r="BE937" s="21"/>
      <c r="BF937" s="21"/>
      <c r="BG937" s="21"/>
      <c r="BH937" s="21"/>
      <c r="BI937" s="21"/>
    </row>
    <row r="938" spans="1:61" x14ac:dyDescent="0.2">
      <c r="A938">
        <v>478</v>
      </c>
      <c r="B938" t="s">
        <v>887</v>
      </c>
      <c r="C938" t="str">
        <f t="shared" si="107"/>
        <v/>
      </c>
      <c r="D938" t="str">
        <f t="shared" si="112"/>
        <v/>
      </c>
      <c r="H938">
        <f t="shared" si="108"/>
        <v>1</v>
      </c>
      <c r="R938">
        <v>18</v>
      </c>
      <c r="T938" t="str">
        <f t="shared" si="106"/>
        <v>o</v>
      </c>
      <c r="AJ938">
        <v>1</v>
      </c>
      <c r="AM938" t="str">
        <f t="shared" si="109"/>
        <v>Possession</v>
      </c>
      <c r="AN938" t="str">
        <f t="shared" si="110"/>
        <v/>
      </c>
      <c r="AP938" t="str">
        <f t="shared" si="111"/>
        <v>Defensive</v>
      </c>
      <c r="BB938" s="23"/>
      <c r="BD938" s="21"/>
      <c r="BE938" s="21"/>
      <c r="BF938" s="21"/>
      <c r="BG938" s="21"/>
      <c r="BH938" s="21"/>
      <c r="BI938" s="21"/>
    </row>
    <row r="939" spans="1:61" x14ac:dyDescent="0.2">
      <c r="A939">
        <v>479</v>
      </c>
      <c r="B939" t="s">
        <v>887</v>
      </c>
      <c r="C939" t="str">
        <f t="shared" si="107"/>
        <v/>
      </c>
      <c r="D939" t="str">
        <f t="shared" si="112"/>
        <v/>
      </c>
      <c r="H939">
        <f t="shared" si="108"/>
        <v>1</v>
      </c>
      <c r="I939" s="5" t="s">
        <v>898</v>
      </c>
      <c r="J939" s="5" t="s">
        <v>753</v>
      </c>
      <c r="K939" s="5" t="s">
        <v>898</v>
      </c>
      <c r="L939" s="7" t="s">
        <v>672</v>
      </c>
      <c r="Q939" t="s">
        <v>620</v>
      </c>
      <c r="R939">
        <v>42</v>
      </c>
      <c r="S939">
        <v>1</v>
      </c>
      <c r="T939" t="str">
        <f t="shared" si="106"/>
        <v>e</v>
      </c>
      <c r="U939" t="s">
        <v>15</v>
      </c>
      <c r="Y939" t="s">
        <v>767</v>
      </c>
      <c r="AA939" t="s">
        <v>705</v>
      </c>
      <c r="AF939" t="s">
        <v>401</v>
      </c>
      <c r="AJ939">
        <v>1</v>
      </c>
      <c r="AM939" t="str">
        <f t="shared" si="109"/>
        <v>Possession</v>
      </c>
      <c r="AN939" t="str">
        <f t="shared" si="110"/>
        <v/>
      </c>
      <c r="AP939" t="str">
        <f t="shared" si="111"/>
        <v>Offensive</v>
      </c>
      <c r="BB939" s="23"/>
      <c r="BD939" s="21"/>
      <c r="BE939" s="21"/>
      <c r="BF939" s="21"/>
      <c r="BG939" s="21"/>
      <c r="BH939" s="21"/>
      <c r="BI939" s="21"/>
    </row>
    <row r="940" spans="1:61" x14ac:dyDescent="0.2">
      <c r="A940">
        <v>479</v>
      </c>
      <c r="B940" t="s">
        <v>887</v>
      </c>
      <c r="C940" t="str">
        <f t="shared" si="107"/>
        <v/>
      </c>
      <c r="D940" t="str">
        <f t="shared" si="112"/>
        <v/>
      </c>
      <c r="H940">
        <f t="shared" si="108"/>
        <v>1</v>
      </c>
      <c r="R940">
        <v>18</v>
      </c>
      <c r="T940" t="str">
        <f t="shared" si="106"/>
        <v>o</v>
      </c>
      <c r="Y940" t="s">
        <v>764</v>
      </c>
      <c r="AA940" t="s">
        <v>705</v>
      </c>
      <c r="AJ940">
        <v>1</v>
      </c>
      <c r="AM940" t="str">
        <f t="shared" si="109"/>
        <v>Possession</v>
      </c>
      <c r="AN940" t="str">
        <f t="shared" si="110"/>
        <v/>
      </c>
      <c r="AP940" t="str">
        <f t="shared" si="111"/>
        <v>Defensive</v>
      </c>
      <c r="BB940" s="23"/>
      <c r="BD940" s="21"/>
      <c r="BE940" s="21"/>
      <c r="BF940" s="21"/>
      <c r="BG940" s="21"/>
      <c r="BH940" s="21"/>
      <c r="BI940" s="21"/>
    </row>
    <row r="941" spans="1:61" x14ac:dyDescent="0.2">
      <c r="A941">
        <v>479</v>
      </c>
      <c r="B941" t="s">
        <v>887</v>
      </c>
      <c r="C941" t="str">
        <f t="shared" si="107"/>
        <v/>
      </c>
      <c r="D941" t="str">
        <f t="shared" si="112"/>
        <v/>
      </c>
      <c r="H941">
        <f t="shared" si="108"/>
        <v>1</v>
      </c>
      <c r="R941">
        <v>13</v>
      </c>
      <c r="T941" t="str">
        <f t="shared" si="106"/>
        <v>o</v>
      </c>
      <c r="Y941" t="s">
        <v>715</v>
      </c>
      <c r="AJ941">
        <v>1</v>
      </c>
      <c r="AM941" t="str">
        <f t="shared" si="109"/>
        <v>Possession</v>
      </c>
      <c r="AN941" t="str">
        <f t="shared" si="110"/>
        <v/>
      </c>
      <c r="AP941" t="str">
        <f t="shared" si="111"/>
        <v>Defensive</v>
      </c>
      <c r="BB941" s="23"/>
      <c r="BD941" s="21"/>
      <c r="BE941" s="21"/>
      <c r="BF941" s="21"/>
      <c r="BG941" s="21"/>
      <c r="BH941" s="21"/>
      <c r="BI941" s="21"/>
    </row>
    <row r="942" spans="1:61" x14ac:dyDescent="0.2">
      <c r="A942">
        <v>480</v>
      </c>
      <c r="B942" t="s">
        <v>887</v>
      </c>
      <c r="C942" t="str">
        <f t="shared" si="107"/>
        <v/>
      </c>
      <c r="D942" t="str">
        <f t="shared" si="112"/>
        <v/>
      </c>
      <c r="H942">
        <f t="shared" si="108"/>
        <v>1</v>
      </c>
      <c r="I942" s="5" t="s">
        <v>898</v>
      </c>
      <c r="J942" s="5" t="s">
        <v>672</v>
      </c>
      <c r="Q942" t="s">
        <v>619</v>
      </c>
      <c r="R942">
        <v>44</v>
      </c>
      <c r="S942">
        <v>1</v>
      </c>
      <c r="T942" t="str">
        <f t="shared" si="106"/>
        <v>e</v>
      </c>
      <c r="U942" t="s">
        <v>247</v>
      </c>
      <c r="V942" t="s">
        <v>422</v>
      </c>
      <c r="W942" t="s">
        <v>467</v>
      </c>
      <c r="X942" t="s">
        <v>706</v>
      </c>
      <c r="Y942" t="s">
        <v>714</v>
      </c>
      <c r="AA942" t="s">
        <v>706</v>
      </c>
      <c r="AF942" t="s">
        <v>623</v>
      </c>
      <c r="AJ942">
        <v>1</v>
      </c>
      <c r="AM942" t="str">
        <f t="shared" si="109"/>
        <v>Play</v>
      </c>
      <c r="AN942" t="str">
        <f t="shared" si="110"/>
        <v>Play_Defensive</v>
      </c>
      <c r="AP942" t="str">
        <f t="shared" si="111"/>
        <v>Defensive</v>
      </c>
      <c r="BB942" s="23"/>
      <c r="BD942" s="21"/>
      <c r="BE942" s="21"/>
      <c r="BF942" s="21"/>
      <c r="BG942" s="21"/>
      <c r="BH942" s="21"/>
      <c r="BI942" s="21"/>
    </row>
    <row r="943" spans="1:61" x14ac:dyDescent="0.2">
      <c r="A943">
        <v>480</v>
      </c>
      <c r="B943" t="s">
        <v>887</v>
      </c>
      <c r="C943" t="str">
        <f t="shared" si="107"/>
        <v/>
      </c>
      <c r="D943" t="str">
        <f t="shared" si="112"/>
        <v/>
      </c>
      <c r="H943">
        <f t="shared" si="108"/>
        <v>1</v>
      </c>
      <c r="R943">
        <v>42</v>
      </c>
      <c r="T943" t="str">
        <f t="shared" si="106"/>
        <v>o</v>
      </c>
      <c r="AJ943">
        <v>1</v>
      </c>
      <c r="AM943" t="str">
        <f t="shared" si="109"/>
        <v>Play</v>
      </c>
      <c r="AN943" t="str">
        <f t="shared" si="110"/>
        <v>Play_Defensive</v>
      </c>
      <c r="AP943" t="str">
        <f t="shared" si="111"/>
        <v>Offensive</v>
      </c>
      <c r="BB943" s="23"/>
      <c r="BD943" s="21"/>
      <c r="BE943" s="21"/>
      <c r="BF943" s="21"/>
      <c r="BG943" s="21"/>
      <c r="BH943" s="21"/>
      <c r="BI943" s="21"/>
    </row>
    <row r="944" spans="1:61" x14ac:dyDescent="0.2">
      <c r="A944">
        <v>490</v>
      </c>
      <c r="B944" t="s">
        <v>887</v>
      </c>
      <c r="C944" t="str">
        <f t="shared" si="107"/>
        <v/>
      </c>
      <c r="D944" t="str">
        <f t="shared" si="112"/>
        <v/>
      </c>
      <c r="H944">
        <f t="shared" si="108"/>
        <v>1</v>
      </c>
      <c r="I944" s="5" t="s">
        <v>898</v>
      </c>
      <c r="J944" s="5" t="s">
        <v>810</v>
      </c>
      <c r="Q944" t="s">
        <v>620</v>
      </c>
      <c r="R944">
        <v>84</v>
      </c>
      <c r="S944">
        <v>1</v>
      </c>
      <c r="T944" t="str">
        <f t="shared" si="106"/>
        <v>e</v>
      </c>
      <c r="U944" t="s">
        <v>15</v>
      </c>
      <c r="V944" t="s">
        <v>698</v>
      </c>
      <c r="X944" t="s">
        <v>706</v>
      </c>
      <c r="Y944" t="s">
        <v>752</v>
      </c>
      <c r="AA944" t="s">
        <v>706</v>
      </c>
      <c r="AF944" t="s">
        <v>401</v>
      </c>
      <c r="AM944" t="str">
        <f t="shared" si="109"/>
        <v>Possession</v>
      </c>
      <c r="AN944" t="str">
        <f t="shared" si="110"/>
        <v>PuckRecovery</v>
      </c>
      <c r="AP944" t="str">
        <f t="shared" si="111"/>
        <v>Offensive</v>
      </c>
      <c r="BB944" s="23"/>
      <c r="BD944" s="21"/>
      <c r="BE944" s="21"/>
      <c r="BF944" s="21"/>
      <c r="BG944" s="21"/>
      <c r="BH944" s="21"/>
      <c r="BI944" s="21"/>
    </row>
    <row r="945" spans="1:61" x14ac:dyDescent="0.2">
      <c r="A945">
        <v>491</v>
      </c>
      <c r="B945" t="s">
        <v>887</v>
      </c>
      <c r="C945" t="str">
        <f t="shared" si="107"/>
        <v/>
      </c>
      <c r="D945" t="str">
        <f t="shared" si="112"/>
        <v/>
      </c>
      <c r="H945">
        <f t="shared" si="108"/>
        <v>1</v>
      </c>
      <c r="I945" s="5" t="s">
        <v>898</v>
      </c>
      <c r="J945" s="5" t="s">
        <v>810</v>
      </c>
      <c r="Q945" t="s">
        <v>620</v>
      </c>
      <c r="R945">
        <v>84</v>
      </c>
      <c r="S945">
        <v>1</v>
      </c>
      <c r="T945" t="str">
        <f t="shared" si="106"/>
        <v>e</v>
      </c>
      <c r="U945" t="s">
        <v>7</v>
      </c>
      <c r="V945" t="s">
        <v>208</v>
      </c>
      <c r="W945" t="s">
        <v>53</v>
      </c>
      <c r="X945" t="s">
        <v>705</v>
      </c>
      <c r="AF945" t="s">
        <v>401</v>
      </c>
      <c r="AJ945">
        <v>1</v>
      </c>
      <c r="AM945" t="str">
        <f t="shared" si="109"/>
        <v>Shot</v>
      </c>
      <c r="AN945" t="str">
        <f t="shared" si="110"/>
        <v>Shot_Blocked</v>
      </c>
      <c r="AP945" t="str">
        <f t="shared" si="111"/>
        <v>Offensive</v>
      </c>
      <c r="BB945" s="23"/>
      <c r="BD945" s="21"/>
      <c r="BE945" s="21"/>
      <c r="BF945" s="21"/>
      <c r="BG945" s="21"/>
      <c r="BH945" s="21"/>
      <c r="BI945" s="21"/>
    </row>
    <row r="946" spans="1:61" x14ac:dyDescent="0.2">
      <c r="A946">
        <v>491</v>
      </c>
      <c r="B946" t="s">
        <v>887</v>
      </c>
      <c r="C946" t="str">
        <f t="shared" si="107"/>
        <v/>
      </c>
      <c r="D946" t="str">
        <f t="shared" si="112"/>
        <v/>
      </c>
      <c r="H946">
        <f t="shared" si="108"/>
        <v>1</v>
      </c>
      <c r="R946">
        <v>77</v>
      </c>
      <c r="T946" t="str">
        <f t="shared" si="106"/>
        <v>o</v>
      </c>
      <c r="Y946" t="s">
        <v>681</v>
      </c>
      <c r="AA946" t="s">
        <v>706</v>
      </c>
      <c r="AJ946">
        <v>1</v>
      </c>
      <c r="AM946" t="str">
        <f t="shared" si="109"/>
        <v>Shot</v>
      </c>
      <c r="AN946" t="str">
        <f t="shared" si="110"/>
        <v>Shot_Blocked</v>
      </c>
      <c r="AP946" t="str">
        <f t="shared" si="111"/>
        <v>Defensive</v>
      </c>
      <c r="BB946" s="23"/>
      <c r="BD946" s="21"/>
      <c r="BE946" s="21"/>
      <c r="BF946" s="21"/>
      <c r="BG946" s="21"/>
      <c r="BH946" s="21"/>
      <c r="BI946" s="21"/>
    </row>
    <row r="947" spans="1:61" x14ac:dyDescent="0.2">
      <c r="A947">
        <v>492</v>
      </c>
      <c r="B947" t="s">
        <v>887</v>
      </c>
      <c r="C947" t="str">
        <f t="shared" si="107"/>
        <v/>
      </c>
      <c r="D947" t="str">
        <f t="shared" si="112"/>
        <v/>
      </c>
      <c r="H947">
        <f t="shared" si="108"/>
        <v>1</v>
      </c>
      <c r="I947" s="5" t="s">
        <v>898</v>
      </c>
      <c r="J947" s="5" t="s">
        <v>682</v>
      </c>
      <c r="Q947" t="s">
        <v>619</v>
      </c>
      <c r="S947">
        <v>1</v>
      </c>
      <c r="T947" t="str">
        <f t="shared" si="106"/>
        <v>e</v>
      </c>
      <c r="U947" t="s">
        <v>257</v>
      </c>
      <c r="V947" t="s">
        <v>201</v>
      </c>
      <c r="W947" t="s">
        <v>411</v>
      </c>
      <c r="AM947" t="str">
        <f t="shared" si="109"/>
        <v>Zone_Entry_Exit</v>
      </c>
      <c r="AN947" t="str">
        <f t="shared" si="110"/>
        <v>Zone_Exit</v>
      </c>
      <c r="AP947" t="str">
        <f t="shared" si="111"/>
        <v>Offensive</v>
      </c>
      <c r="BB947" s="23"/>
      <c r="BD947" s="21"/>
      <c r="BE947" s="21"/>
      <c r="BF947" s="21"/>
      <c r="BG947" s="21"/>
      <c r="BH947" s="21"/>
      <c r="BI947" s="21"/>
    </row>
    <row r="948" spans="1:61" x14ac:dyDescent="0.2">
      <c r="A948">
        <v>493</v>
      </c>
      <c r="B948" t="s">
        <v>887</v>
      </c>
      <c r="C948" t="str">
        <f t="shared" si="107"/>
        <v/>
      </c>
      <c r="D948" t="str">
        <f t="shared" si="112"/>
        <v/>
      </c>
      <c r="H948">
        <f t="shared" si="108"/>
        <v>1</v>
      </c>
      <c r="I948" s="5" t="s">
        <v>898</v>
      </c>
      <c r="J948" s="5" t="s">
        <v>711</v>
      </c>
      <c r="Q948" t="s">
        <v>620</v>
      </c>
      <c r="R948">
        <v>84</v>
      </c>
      <c r="S948">
        <v>1</v>
      </c>
      <c r="T948" t="str">
        <f t="shared" si="106"/>
        <v>e</v>
      </c>
      <c r="U948" t="s">
        <v>15</v>
      </c>
      <c r="V948" t="s">
        <v>698</v>
      </c>
      <c r="X948" t="s">
        <v>706</v>
      </c>
      <c r="Y948" t="s">
        <v>739</v>
      </c>
      <c r="AA948" t="s">
        <v>706</v>
      </c>
      <c r="AF948" t="s">
        <v>635</v>
      </c>
      <c r="AM948" t="str">
        <f t="shared" si="109"/>
        <v>Possession</v>
      </c>
      <c r="AN948" t="str">
        <f t="shared" si="110"/>
        <v>PuckRecovery</v>
      </c>
      <c r="AP948" t="str">
        <f t="shared" si="111"/>
        <v>Offensive</v>
      </c>
      <c r="BB948" s="23"/>
      <c r="BD948" s="21"/>
      <c r="BE948" s="21"/>
      <c r="BF948" s="21"/>
      <c r="BG948" s="21"/>
      <c r="BH948" s="21"/>
      <c r="BI948" s="21"/>
    </row>
    <row r="949" spans="1:61" x14ac:dyDescent="0.2">
      <c r="A949">
        <v>494</v>
      </c>
      <c r="B949" t="s">
        <v>887</v>
      </c>
      <c r="C949" t="str">
        <f t="shared" si="107"/>
        <v/>
      </c>
      <c r="D949" t="str">
        <f t="shared" si="112"/>
        <v/>
      </c>
      <c r="H949">
        <f t="shared" si="108"/>
        <v>1</v>
      </c>
      <c r="I949" s="5" t="s">
        <v>898</v>
      </c>
      <c r="J949" s="5" t="s">
        <v>711</v>
      </c>
      <c r="Q949" t="s">
        <v>620</v>
      </c>
      <c r="R949">
        <v>84</v>
      </c>
      <c r="S949">
        <v>1</v>
      </c>
      <c r="T949" t="str">
        <f t="shared" si="106"/>
        <v>e</v>
      </c>
      <c r="U949" t="s">
        <v>257</v>
      </c>
      <c r="V949" t="s">
        <v>191</v>
      </c>
      <c r="W949" t="s">
        <v>617</v>
      </c>
      <c r="X949" t="s">
        <v>706</v>
      </c>
      <c r="AF949" t="s">
        <v>635</v>
      </c>
      <c r="AM949" t="str">
        <f t="shared" si="109"/>
        <v>Zone_Entry_Exit</v>
      </c>
      <c r="AN949" t="str">
        <f t="shared" si="110"/>
        <v>Zone_Entry</v>
      </c>
      <c r="AP949" t="str">
        <f t="shared" si="111"/>
        <v>Offensive</v>
      </c>
      <c r="BB949" s="23"/>
      <c r="BD949" s="21"/>
      <c r="BE949" s="21"/>
      <c r="BF949" s="21"/>
      <c r="BG949" s="21"/>
      <c r="BH949" s="21"/>
      <c r="BI949" s="21"/>
    </row>
    <row r="950" spans="1:61" x14ac:dyDescent="0.2">
      <c r="A950">
        <v>495</v>
      </c>
      <c r="B950" t="s">
        <v>887</v>
      </c>
      <c r="C950" t="str">
        <f t="shared" si="107"/>
        <v/>
      </c>
      <c r="D950" t="str">
        <f t="shared" si="112"/>
        <v/>
      </c>
      <c r="H950">
        <f t="shared" si="108"/>
        <v>1</v>
      </c>
      <c r="I950" s="5" t="s">
        <v>898</v>
      </c>
      <c r="J950" s="5" t="s">
        <v>717</v>
      </c>
      <c r="K950" s="5" t="s">
        <v>898</v>
      </c>
      <c r="L950" s="7" t="s">
        <v>791</v>
      </c>
      <c r="Q950" t="s">
        <v>619</v>
      </c>
      <c r="R950">
        <v>18</v>
      </c>
      <c r="S950">
        <v>1</v>
      </c>
      <c r="T950" t="str">
        <f t="shared" si="106"/>
        <v>e</v>
      </c>
      <c r="U950" t="s">
        <v>15</v>
      </c>
      <c r="V950" t="s">
        <v>697</v>
      </c>
      <c r="X950" t="s">
        <v>706</v>
      </c>
      <c r="Y950" t="s">
        <v>720</v>
      </c>
      <c r="AA950" t="s">
        <v>706</v>
      </c>
      <c r="AF950" t="s">
        <v>623</v>
      </c>
      <c r="AM950" t="str">
        <f t="shared" si="109"/>
        <v>Possession</v>
      </c>
      <c r="AN950" t="str">
        <f t="shared" si="110"/>
        <v>PuckRetrieval</v>
      </c>
      <c r="AP950" t="str">
        <f t="shared" si="111"/>
        <v>Offensive</v>
      </c>
      <c r="BB950" s="23"/>
      <c r="BD950" s="21"/>
      <c r="BE950" s="21"/>
      <c r="BF950" s="21"/>
      <c r="BG950" s="21"/>
      <c r="BH950" s="21"/>
      <c r="BI950" s="21"/>
    </row>
    <row r="951" spans="1:61" x14ac:dyDescent="0.2">
      <c r="A951">
        <v>496</v>
      </c>
      <c r="B951">
        <v>83</v>
      </c>
      <c r="C951">
        <f t="shared" si="107"/>
        <v>9083</v>
      </c>
      <c r="D951">
        <f t="shared" si="112"/>
        <v>9083</v>
      </c>
      <c r="H951">
        <f t="shared" si="108"/>
        <v>1</v>
      </c>
      <c r="I951" s="5" t="s">
        <v>898</v>
      </c>
      <c r="J951" s="5" t="s">
        <v>791</v>
      </c>
      <c r="Q951" t="s">
        <v>619</v>
      </c>
      <c r="R951">
        <v>18</v>
      </c>
      <c r="S951">
        <v>1</v>
      </c>
      <c r="T951" t="str">
        <f t="shared" si="106"/>
        <v>e</v>
      </c>
      <c r="U951" t="s">
        <v>8</v>
      </c>
      <c r="V951" t="s">
        <v>199</v>
      </c>
      <c r="W951" t="s">
        <v>67</v>
      </c>
      <c r="X951" t="s">
        <v>705</v>
      </c>
      <c r="Y951" t="s">
        <v>754</v>
      </c>
      <c r="AA951" t="s">
        <v>705</v>
      </c>
      <c r="AF951" t="s">
        <v>623</v>
      </c>
      <c r="AM951" t="str">
        <f t="shared" si="109"/>
        <v>Pass</v>
      </c>
      <c r="AN951" t="str">
        <f t="shared" si="110"/>
        <v>Pass_Missed</v>
      </c>
      <c r="AP951" t="str">
        <f t="shared" si="111"/>
        <v>Offensive</v>
      </c>
      <c r="BB951" s="23"/>
      <c r="BD951" s="21"/>
      <c r="BE951" s="21"/>
      <c r="BF951" s="21"/>
      <c r="BG951" s="21"/>
      <c r="BH951" s="21"/>
      <c r="BI951" s="21"/>
    </row>
    <row r="952" spans="1:61" x14ac:dyDescent="0.2">
      <c r="A952">
        <v>496</v>
      </c>
      <c r="B952">
        <v>83</v>
      </c>
      <c r="C952">
        <f t="shared" si="107"/>
        <v>9083</v>
      </c>
      <c r="D952">
        <f t="shared" si="112"/>
        <v>9083</v>
      </c>
      <c r="H952">
        <f t="shared" si="108"/>
        <v>1</v>
      </c>
      <c r="R952">
        <v>68</v>
      </c>
      <c r="S952">
        <v>1</v>
      </c>
      <c r="T952" t="str">
        <f t="shared" si="106"/>
        <v>e</v>
      </c>
      <c r="AM952" t="str">
        <f t="shared" si="109"/>
        <v>Pass</v>
      </c>
      <c r="AN952" t="str">
        <f t="shared" si="110"/>
        <v>Pass_Missed</v>
      </c>
      <c r="AP952" t="str">
        <f t="shared" si="111"/>
        <v>Offensive</v>
      </c>
      <c r="BB952" s="23"/>
      <c r="BD952" s="21"/>
      <c r="BE952" s="21"/>
      <c r="BF952" s="21"/>
      <c r="BG952" s="21"/>
      <c r="BH952" s="21"/>
      <c r="BI952" s="21"/>
    </row>
    <row r="953" spans="1:61" x14ac:dyDescent="0.2">
      <c r="A953">
        <v>497</v>
      </c>
      <c r="B953">
        <v>83</v>
      </c>
      <c r="C953">
        <f t="shared" si="107"/>
        <v>9083</v>
      </c>
      <c r="D953">
        <f t="shared" si="112"/>
        <v>9083</v>
      </c>
      <c r="H953">
        <f t="shared" si="108"/>
        <v>1</v>
      </c>
      <c r="I953" s="5" t="s">
        <v>898</v>
      </c>
      <c r="J953" s="5" t="s">
        <v>791</v>
      </c>
      <c r="Q953" t="s">
        <v>619</v>
      </c>
      <c r="R953">
        <v>18</v>
      </c>
      <c r="S953">
        <v>1</v>
      </c>
      <c r="T953" t="str">
        <f t="shared" si="106"/>
        <v>e</v>
      </c>
      <c r="U953" t="s">
        <v>257</v>
      </c>
      <c r="V953" t="s">
        <v>201</v>
      </c>
      <c r="W953" t="s">
        <v>409</v>
      </c>
      <c r="X953" t="s">
        <v>706</v>
      </c>
      <c r="AF953" t="s">
        <v>623</v>
      </c>
      <c r="AM953" t="str">
        <f t="shared" si="109"/>
        <v>Zone_Entry_Exit</v>
      </c>
      <c r="AN953" t="str">
        <f t="shared" si="110"/>
        <v>Zone_Exit</v>
      </c>
      <c r="AP953" t="str">
        <f t="shared" si="111"/>
        <v>Offensive</v>
      </c>
      <c r="BB953" s="23"/>
      <c r="BD953" s="21"/>
      <c r="BE953" s="21"/>
      <c r="BF953" s="21"/>
      <c r="BG953" s="21"/>
      <c r="BH953" s="21"/>
      <c r="BI953" s="21"/>
    </row>
    <row r="954" spans="1:61" x14ac:dyDescent="0.2">
      <c r="A954">
        <v>497</v>
      </c>
      <c r="B954">
        <v>83</v>
      </c>
      <c r="C954">
        <f t="shared" si="107"/>
        <v>9083</v>
      </c>
      <c r="D954">
        <f t="shared" si="112"/>
        <v>9083</v>
      </c>
      <c r="H954">
        <f t="shared" si="108"/>
        <v>1</v>
      </c>
      <c r="R954">
        <v>68</v>
      </c>
      <c r="S954">
        <v>1</v>
      </c>
      <c r="T954" t="str">
        <f t="shared" si="106"/>
        <v>e</v>
      </c>
      <c r="AM954" t="str">
        <f t="shared" si="109"/>
        <v>Zone_Entry_Exit</v>
      </c>
      <c r="AN954" t="str">
        <f t="shared" si="110"/>
        <v>Zone_Exit</v>
      </c>
      <c r="AP954" t="str">
        <f t="shared" si="111"/>
        <v>Offensive</v>
      </c>
      <c r="BB954" s="23"/>
      <c r="BD954" s="21"/>
      <c r="BE954" s="21"/>
      <c r="BF954" s="21"/>
      <c r="BG954" s="21"/>
      <c r="BH954" s="21"/>
      <c r="BI954" s="21"/>
    </row>
    <row r="955" spans="1:61" x14ac:dyDescent="0.2">
      <c r="A955">
        <v>498</v>
      </c>
      <c r="B955">
        <v>83</v>
      </c>
      <c r="C955">
        <f t="shared" si="107"/>
        <v>9083</v>
      </c>
      <c r="D955">
        <f t="shared" si="112"/>
        <v>9083</v>
      </c>
      <c r="H955">
        <f t="shared" si="108"/>
        <v>1</v>
      </c>
      <c r="I955" s="5" t="s">
        <v>898</v>
      </c>
      <c r="J955" s="5" t="s">
        <v>791</v>
      </c>
      <c r="Q955" t="s">
        <v>619</v>
      </c>
      <c r="R955">
        <v>18</v>
      </c>
      <c r="S955">
        <v>1</v>
      </c>
      <c r="T955" t="str">
        <f t="shared" si="106"/>
        <v>e</v>
      </c>
      <c r="U955" t="s">
        <v>257</v>
      </c>
      <c r="V955" t="s">
        <v>191</v>
      </c>
      <c r="W955" t="s">
        <v>423</v>
      </c>
      <c r="AF955" t="s">
        <v>623</v>
      </c>
      <c r="AM955" t="str">
        <f t="shared" si="109"/>
        <v>Zone_Entry_Exit</v>
      </c>
      <c r="AN955" t="str">
        <f t="shared" si="110"/>
        <v>Zone_Entry</v>
      </c>
      <c r="AP955" t="str">
        <f t="shared" si="111"/>
        <v>Offensive</v>
      </c>
      <c r="BB955" s="23"/>
      <c r="BD955" s="21"/>
      <c r="BE955" s="21"/>
      <c r="BF955" s="21"/>
      <c r="BG955" s="21"/>
      <c r="BH955" s="21"/>
      <c r="BI955" s="21"/>
    </row>
    <row r="956" spans="1:61" x14ac:dyDescent="0.2">
      <c r="A956">
        <v>499</v>
      </c>
      <c r="B956">
        <v>83</v>
      </c>
      <c r="C956">
        <f t="shared" si="107"/>
        <v>9083</v>
      </c>
      <c r="D956">
        <f t="shared" si="112"/>
        <v>9083</v>
      </c>
      <c r="H956">
        <f t="shared" si="108"/>
        <v>1</v>
      </c>
      <c r="I956" s="5" t="s">
        <v>898</v>
      </c>
      <c r="J956" s="5" t="s">
        <v>759</v>
      </c>
      <c r="Q956" t="s">
        <v>619</v>
      </c>
      <c r="R956">
        <v>18</v>
      </c>
      <c r="S956">
        <v>1</v>
      </c>
      <c r="T956" t="str">
        <f t="shared" si="106"/>
        <v>e</v>
      </c>
      <c r="U956" t="s">
        <v>13</v>
      </c>
      <c r="V956" t="s">
        <v>204</v>
      </c>
      <c r="W956" t="s">
        <v>108</v>
      </c>
      <c r="AF956" t="s">
        <v>623</v>
      </c>
      <c r="AM956" t="str">
        <f t="shared" si="109"/>
        <v>Stoppage</v>
      </c>
      <c r="AN956" t="str">
        <f t="shared" si="110"/>
        <v>Stoppage_Play</v>
      </c>
      <c r="AP956" t="str">
        <f t="shared" si="111"/>
        <v/>
      </c>
      <c r="BB956" s="23"/>
      <c r="BD956" s="21"/>
      <c r="BE956" s="21"/>
      <c r="BF956" s="21"/>
      <c r="BG956" s="21"/>
      <c r="BH956" s="21"/>
      <c r="BI956" s="21"/>
    </row>
    <row r="957" spans="1:61" x14ac:dyDescent="0.2">
      <c r="A957">
        <v>500</v>
      </c>
      <c r="B957">
        <v>83</v>
      </c>
      <c r="C957">
        <f t="shared" si="107"/>
        <v>9083</v>
      </c>
      <c r="D957">
        <f t="shared" si="112"/>
        <v>9083</v>
      </c>
      <c r="H957">
        <f t="shared" si="108"/>
        <v>1</v>
      </c>
      <c r="I957" s="5" t="s">
        <v>898</v>
      </c>
      <c r="J957" s="5" t="s">
        <v>759</v>
      </c>
      <c r="K957" s="5" t="s">
        <v>898</v>
      </c>
      <c r="L957" s="7" t="s">
        <v>740</v>
      </c>
      <c r="Q957" t="s">
        <v>619</v>
      </c>
      <c r="R957">
        <v>18</v>
      </c>
      <c r="S957">
        <v>1</v>
      </c>
      <c r="T957" t="str">
        <f t="shared" si="106"/>
        <v>e</v>
      </c>
      <c r="U957" t="s">
        <v>262</v>
      </c>
      <c r="AM957" t="str">
        <f t="shared" si="109"/>
        <v>DeadIce</v>
      </c>
      <c r="AN957" t="str">
        <f t="shared" si="110"/>
        <v/>
      </c>
      <c r="AP957" t="str">
        <f t="shared" si="111"/>
        <v/>
      </c>
      <c r="BB957" s="23"/>
      <c r="BD957" s="21"/>
      <c r="BE957" s="21"/>
      <c r="BF957" s="21"/>
      <c r="BG957" s="21"/>
      <c r="BH957" s="21"/>
      <c r="BI957" s="21"/>
    </row>
    <row r="958" spans="1:61" x14ac:dyDescent="0.2">
      <c r="A958">
        <v>501</v>
      </c>
      <c r="B958" t="s">
        <v>887</v>
      </c>
      <c r="C958" t="str">
        <f t="shared" si="107"/>
        <v/>
      </c>
      <c r="D958" t="str">
        <f t="shared" si="112"/>
        <v/>
      </c>
      <c r="H958">
        <f t="shared" si="108"/>
        <v>1</v>
      </c>
      <c r="I958" s="5" t="s">
        <v>898</v>
      </c>
      <c r="J958" s="5" t="s">
        <v>740</v>
      </c>
      <c r="Q958" t="s">
        <v>619</v>
      </c>
      <c r="R958">
        <v>3</v>
      </c>
      <c r="S958">
        <v>1</v>
      </c>
      <c r="T958" t="str">
        <f t="shared" si="106"/>
        <v>e</v>
      </c>
      <c r="U958" t="s">
        <v>6</v>
      </c>
      <c r="V958" t="s">
        <v>255</v>
      </c>
      <c r="AF958" t="s">
        <v>623</v>
      </c>
      <c r="AM958" t="str">
        <f t="shared" si="109"/>
        <v>Faceoff</v>
      </c>
      <c r="AN958" t="str">
        <f t="shared" si="110"/>
        <v>Faceoff_AfterStoppage</v>
      </c>
      <c r="AP958" t="str">
        <f t="shared" si="111"/>
        <v>Offensive</v>
      </c>
      <c r="BB958" s="23"/>
      <c r="BD958" s="21"/>
      <c r="BE958" s="21"/>
      <c r="BF958" s="21"/>
      <c r="BG958" s="21"/>
      <c r="BH958" s="21"/>
      <c r="BI958" s="21"/>
    </row>
    <row r="959" spans="1:61" x14ac:dyDescent="0.2">
      <c r="A959">
        <v>501</v>
      </c>
      <c r="B959" t="s">
        <v>887</v>
      </c>
      <c r="C959" t="str">
        <f t="shared" si="107"/>
        <v/>
      </c>
      <c r="D959" t="str">
        <f t="shared" si="112"/>
        <v/>
      </c>
      <c r="H959">
        <f t="shared" si="108"/>
        <v>1</v>
      </c>
      <c r="R959">
        <v>70</v>
      </c>
      <c r="T959" t="str">
        <f t="shared" si="106"/>
        <v>o</v>
      </c>
      <c r="AM959" t="str">
        <f t="shared" si="109"/>
        <v>Faceoff</v>
      </c>
      <c r="AN959" t="str">
        <f t="shared" si="110"/>
        <v>Faceoff_AfterStoppage</v>
      </c>
      <c r="AP959" t="str">
        <f t="shared" si="111"/>
        <v>Defensive</v>
      </c>
      <c r="BB959" s="23"/>
      <c r="BD959" s="21"/>
      <c r="BE959" s="21"/>
      <c r="BF959" s="21"/>
      <c r="BG959" s="21"/>
      <c r="BH959" s="21"/>
      <c r="BI959" s="21"/>
    </row>
    <row r="960" spans="1:61" x14ac:dyDescent="0.2">
      <c r="A960">
        <v>502</v>
      </c>
      <c r="B960">
        <v>84</v>
      </c>
      <c r="C960">
        <f t="shared" si="107"/>
        <v>9084</v>
      </c>
      <c r="D960">
        <f t="shared" si="112"/>
        <v>9084</v>
      </c>
      <c r="H960">
        <f t="shared" si="108"/>
        <v>1</v>
      </c>
      <c r="I960" s="5" t="s">
        <v>898</v>
      </c>
      <c r="J960" s="5" t="s">
        <v>446</v>
      </c>
      <c r="Q960" t="s">
        <v>619</v>
      </c>
      <c r="R960">
        <v>56</v>
      </c>
      <c r="S960">
        <v>1</v>
      </c>
      <c r="T960" t="str">
        <f t="shared" si="106"/>
        <v>e</v>
      </c>
      <c r="U960" t="s">
        <v>257</v>
      </c>
      <c r="V960" t="s">
        <v>819</v>
      </c>
      <c r="W960" t="s">
        <v>92</v>
      </c>
      <c r="X960" t="s">
        <v>705</v>
      </c>
      <c r="AF960" t="s">
        <v>623</v>
      </c>
      <c r="AJ960">
        <v>1</v>
      </c>
      <c r="AM960" t="str">
        <f t="shared" si="109"/>
        <v>Zone_Entry_Exit</v>
      </c>
      <c r="AN960" t="str">
        <f t="shared" si="110"/>
        <v>Zone_ExitFailed</v>
      </c>
      <c r="AP960" t="str">
        <f t="shared" si="111"/>
        <v>Offensive</v>
      </c>
      <c r="BB960" s="23"/>
      <c r="BD960" s="21"/>
      <c r="BE960" s="21"/>
      <c r="BF960" s="21"/>
      <c r="BG960" s="21"/>
      <c r="BH960" s="21"/>
      <c r="BI960" s="21"/>
    </row>
    <row r="961" spans="1:61" x14ac:dyDescent="0.2">
      <c r="A961">
        <v>502</v>
      </c>
      <c r="B961">
        <v>84</v>
      </c>
      <c r="C961">
        <f t="shared" si="107"/>
        <v>9084</v>
      </c>
      <c r="D961">
        <f t="shared" si="112"/>
        <v>9084</v>
      </c>
      <c r="H961">
        <f t="shared" si="108"/>
        <v>1</v>
      </c>
      <c r="R961">
        <v>70</v>
      </c>
      <c r="T961" t="str">
        <f t="shared" si="106"/>
        <v>o</v>
      </c>
      <c r="Y961" t="s">
        <v>715</v>
      </c>
      <c r="AJ961">
        <v>1</v>
      </c>
      <c r="AM961" t="str">
        <f t="shared" si="109"/>
        <v>Zone_Entry_Exit</v>
      </c>
      <c r="AN961" t="str">
        <f t="shared" si="110"/>
        <v>Zone_ExitFailed</v>
      </c>
      <c r="AP961" t="str">
        <f t="shared" si="111"/>
        <v>Defensive</v>
      </c>
      <c r="BB961" s="23"/>
      <c r="BD961" s="21"/>
      <c r="BE961" s="21"/>
      <c r="BF961" s="21"/>
      <c r="BG961" s="21"/>
      <c r="BH961" s="21"/>
      <c r="BI961" s="21"/>
    </row>
    <row r="962" spans="1:61" x14ac:dyDescent="0.2">
      <c r="A962">
        <v>503</v>
      </c>
      <c r="B962">
        <v>84</v>
      </c>
      <c r="C962">
        <f t="shared" si="107"/>
        <v>9084</v>
      </c>
      <c r="D962">
        <f t="shared" si="112"/>
        <v>9084</v>
      </c>
      <c r="H962">
        <f t="shared" si="108"/>
        <v>1</v>
      </c>
      <c r="I962" s="5" t="s">
        <v>898</v>
      </c>
      <c r="J962" s="5" t="s">
        <v>446</v>
      </c>
      <c r="Q962" t="s">
        <v>619</v>
      </c>
      <c r="R962">
        <v>56</v>
      </c>
      <c r="S962">
        <v>1</v>
      </c>
      <c r="T962" t="str">
        <f t="shared" si="106"/>
        <v>e</v>
      </c>
      <c r="U962" t="s">
        <v>10</v>
      </c>
      <c r="V962" t="s">
        <v>190</v>
      </c>
      <c r="W962" t="s">
        <v>398</v>
      </c>
      <c r="AF962" t="s">
        <v>623</v>
      </c>
      <c r="AJ962">
        <v>1</v>
      </c>
      <c r="AM962" t="str">
        <f t="shared" si="109"/>
        <v>Turnover</v>
      </c>
      <c r="AN962" t="str">
        <f t="shared" si="110"/>
        <v>Turnover_Giveaway</v>
      </c>
      <c r="AP962" t="str">
        <f t="shared" si="111"/>
        <v>Offensive</v>
      </c>
      <c r="BB962" s="23"/>
      <c r="BD962" s="21"/>
      <c r="BE962" s="21"/>
      <c r="BF962" s="21"/>
      <c r="BG962" s="21"/>
      <c r="BH962" s="21"/>
      <c r="BI962" s="21"/>
    </row>
    <row r="963" spans="1:61" x14ac:dyDescent="0.2">
      <c r="A963">
        <v>503</v>
      </c>
      <c r="B963">
        <v>84</v>
      </c>
      <c r="C963">
        <f t="shared" si="107"/>
        <v>9084</v>
      </c>
      <c r="D963">
        <f t="shared" si="112"/>
        <v>9084</v>
      </c>
      <c r="H963">
        <f t="shared" si="108"/>
        <v>1</v>
      </c>
      <c r="R963">
        <v>70</v>
      </c>
      <c r="T963" t="str">
        <f t="shared" ref="T963:T1026" si="113">IF(S963="x","",IF(S963=1,"e","o"))</f>
        <v>o</v>
      </c>
      <c r="Y963" t="s">
        <v>715</v>
      </c>
      <c r="AJ963">
        <v>1</v>
      </c>
      <c r="AM963" t="str">
        <f t="shared" si="109"/>
        <v>Turnover</v>
      </c>
      <c r="AN963" t="str">
        <f t="shared" si="110"/>
        <v>Turnover_Giveaway</v>
      </c>
      <c r="AP963" t="str">
        <f t="shared" si="111"/>
        <v>Defensive</v>
      </c>
      <c r="BB963" s="23"/>
      <c r="BD963" s="21"/>
      <c r="BE963" s="21"/>
      <c r="BF963" s="21"/>
      <c r="BG963" s="21"/>
      <c r="BH963" s="21"/>
      <c r="BI963" s="21"/>
    </row>
    <row r="964" spans="1:61" x14ac:dyDescent="0.2">
      <c r="A964">
        <v>504</v>
      </c>
      <c r="B964" t="s">
        <v>887</v>
      </c>
      <c r="C964" t="str">
        <f t="shared" ref="C964:C1027" si="114">IF(B964&lt;&gt;"",9000+B964,"")</f>
        <v/>
      </c>
      <c r="D964" t="str">
        <f t="shared" si="112"/>
        <v/>
      </c>
      <c r="H964">
        <f t="shared" si="108"/>
        <v>1</v>
      </c>
      <c r="I964" s="5" t="s">
        <v>900</v>
      </c>
      <c r="J964" s="5" t="s">
        <v>896</v>
      </c>
      <c r="Q964" t="s">
        <v>620</v>
      </c>
      <c r="R964">
        <v>9</v>
      </c>
      <c r="S964">
        <v>1</v>
      </c>
      <c r="T964" t="str">
        <f t="shared" si="113"/>
        <v>e</v>
      </c>
      <c r="U964" t="s">
        <v>257</v>
      </c>
      <c r="V964" t="s">
        <v>210</v>
      </c>
      <c r="W964" t="s">
        <v>93</v>
      </c>
      <c r="X964" t="s">
        <v>706</v>
      </c>
      <c r="AF964" t="s">
        <v>401</v>
      </c>
      <c r="AJ964">
        <v>1</v>
      </c>
      <c r="AM964" t="str">
        <f t="shared" si="109"/>
        <v>Zone_Entry_Exit</v>
      </c>
      <c r="AN964" t="str">
        <f t="shared" si="110"/>
        <v>Zone_Keepin</v>
      </c>
      <c r="AP964" t="str">
        <f t="shared" si="111"/>
        <v>Offensive</v>
      </c>
      <c r="BB964" s="23"/>
      <c r="BD964" s="21"/>
      <c r="BE964" s="21"/>
      <c r="BF964" s="21"/>
      <c r="BG964" s="21"/>
      <c r="BH964" s="21"/>
      <c r="BI964" s="21"/>
    </row>
    <row r="965" spans="1:61" x14ac:dyDescent="0.2">
      <c r="A965">
        <v>504</v>
      </c>
      <c r="B965" t="s">
        <v>887</v>
      </c>
      <c r="C965" t="str">
        <f t="shared" si="114"/>
        <v/>
      </c>
      <c r="D965" t="str">
        <f t="shared" si="112"/>
        <v/>
      </c>
      <c r="H965">
        <f t="shared" ref="H965:H1028" si="115">IF(U965="Intermission",H964+1,H964)</f>
        <v>1</v>
      </c>
      <c r="R965">
        <v>56</v>
      </c>
      <c r="T965" t="str">
        <f t="shared" si="113"/>
        <v>o</v>
      </c>
      <c r="AJ965">
        <v>1</v>
      </c>
      <c r="AM965" t="str">
        <f t="shared" ref="AM965:AM1028" si="116">IF(U965&lt;&gt;"",U965,IF($A965=$A964,AM964,""))</f>
        <v>Zone_Entry_Exit</v>
      </c>
      <c r="AN965" t="str">
        <f t="shared" ref="AN965:AN1028" si="117">IF(V965&lt;&gt;"",V965,IF($A965=$A964,AN964,""))</f>
        <v>Zone_Keepin</v>
      </c>
      <c r="AP965" t="str">
        <f t="shared" si="111"/>
        <v>Defensive</v>
      </c>
      <c r="BB965" s="23"/>
      <c r="BD965" s="21"/>
      <c r="BE965" s="21"/>
      <c r="BF965" s="21"/>
      <c r="BG965" s="21"/>
      <c r="BH965" s="21"/>
      <c r="BI965" s="21"/>
    </row>
    <row r="966" spans="1:61" x14ac:dyDescent="0.2">
      <c r="A966">
        <v>505</v>
      </c>
      <c r="B966" t="s">
        <v>887</v>
      </c>
      <c r="C966" t="str">
        <f t="shared" si="114"/>
        <v/>
      </c>
      <c r="D966" t="str">
        <f t="shared" si="112"/>
        <v/>
      </c>
      <c r="H966">
        <f t="shared" si="115"/>
        <v>1</v>
      </c>
      <c r="I966" s="5" t="s">
        <v>900</v>
      </c>
      <c r="J966" s="5" t="s">
        <v>638</v>
      </c>
      <c r="Q966" t="s">
        <v>620</v>
      </c>
      <c r="R966">
        <v>9</v>
      </c>
      <c r="S966">
        <v>1</v>
      </c>
      <c r="T966" t="str">
        <f t="shared" si="113"/>
        <v>e</v>
      </c>
      <c r="U966" t="s">
        <v>8</v>
      </c>
      <c r="V966" t="s">
        <v>189</v>
      </c>
      <c r="W966" t="s">
        <v>70</v>
      </c>
      <c r="X966" t="s">
        <v>706</v>
      </c>
      <c r="Y966" t="s">
        <v>814</v>
      </c>
      <c r="AA966" t="s">
        <v>706</v>
      </c>
      <c r="AF966" t="s">
        <v>401</v>
      </c>
      <c r="AJ966">
        <v>1</v>
      </c>
      <c r="AM966" t="str">
        <f t="shared" si="116"/>
        <v>Pass</v>
      </c>
      <c r="AN966" t="str">
        <f t="shared" si="117"/>
        <v>Pass_Completed</v>
      </c>
      <c r="AP966" t="str">
        <f t="shared" ref="AP966:AP1029" si="118">IF(AND(T966="e",OR(AM966="Save",AN966="Turnover_Takeaway",AN966="Play_Defensive")),"Defensive",IF(AND(T966="o",OR(AM966="Save",AN966="Turnover_Takeaway",AN966="Play_Defensive")),"Offensive",IF(OR(AM966="Deadice",AM966="Stoppage",AM966="Intermission"),"",IF(T966="e","Offensive",IF(T966="o","Defensive","")))))</f>
        <v>Offensive</v>
      </c>
      <c r="BB966" s="23"/>
      <c r="BD966" s="21"/>
      <c r="BE966" s="21"/>
      <c r="BF966" s="21"/>
      <c r="BG966" s="21"/>
      <c r="BH966" s="21"/>
      <c r="BI966" s="21"/>
    </row>
    <row r="967" spans="1:61" x14ac:dyDescent="0.2">
      <c r="A967">
        <v>505</v>
      </c>
      <c r="B967" t="s">
        <v>887</v>
      </c>
      <c r="C967" t="str">
        <f t="shared" si="114"/>
        <v/>
      </c>
      <c r="D967" t="str">
        <f t="shared" si="112"/>
        <v/>
      </c>
      <c r="H967">
        <f t="shared" si="115"/>
        <v>1</v>
      </c>
      <c r="R967">
        <v>70</v>
      </c>
      <c r="S967">
        <v>1</v>
      </c>
      <c r="T967" t="str">
        <f t="shared" si="113"/>
        <v>e</v>
      </c>
      <c r="AM967" t="str">
        <f t="shared" si="116"/>
        <v>Pass</v>
      </c>
      <c r="AN967" t="str">
        <f t="shared" si="117"/>
        <v>Pass_Completed</v>
      </c>
      <c r="AP967" t="str">
        <f t="shared" si="118"/>
        <v>Offensive</v>
      </c>
      <c r="BB967" s="23"/>
      <c r="BD967" s="21"/>
      <c r="BE967" s="21"/>
      <c r="BF967" s="21"/>
      <c r="BG967" s="21"/>
      <c r="BH967" s="21"/>
      <c r="BI967" s="21"/>
    </row>
    <row r="968" spans="1:61" x14ac:dyDescent="0.2">
      <c r="A968">
        <v>505</v>
      </c>
      <c r="B968" t="s">
        <v>887</v>
      </c>
      <c r="C968" t="str">
        <f t="shared" si="114"/>
        <v/>
      </c>
      <c r="D968" t="str">
        <f t="shared" si="112"/>
        <v/>
      </c>
      <c r="H968">
        <f t="shared" si="115"/>
        <v>1</v>
      </c>
      <c r="R968">
        <v>56</v>
      </c>
      <c r="T968" t="str">
        <f t="shared" si="113"/>
        <v>o</v>
      </c>
      <c r="Y968" t="s">
        <v>715</v>
      </c>
      <c r="AJ968">
        <v>1</v>
      </c>
      <c r="AM968" t="str">
        <f t="shared" si="116"/>
        <v>Pass</v>
      </c>
      <c r="AN968" t="str">
        <f t="shared" si="117"/>
        <v>Pass_Completed</v>
      </c>
      <c r="AP968" t="str">
        <f t="shared" si="118"/>
        <v>Defensive</v>
      </c>
      <c r="BB968" s="23"/>
      <c r="BD968" s="21"/>
      <c r="BE968" s="21"/>
      <c r="BF968" s="21"/>
      <c r="BG968" s="21"/>
      <c r="BH968" s="21"/>
      <c r="BI968" s="21"/>
    </row>
    <row r="969" spans="1:61" x14ac:dyDescent="0.2">
      <c r="A969">
        <v>506</v>
      </c>
      <c r="B969" t="s">
        <v>887</v>
      </c>
      <c r="C969" t="str">
        <f t="shared" si="114"/>
        <v/>
      </c>
      <c r="D969" t="str">
        <f t="shared" ref="D969:D1032" si="119">IF(C969&lt;&gt;"",C969,B969)</f>
        <v/>
      </c>
      <c r="H969">
        <f t="shared" si="115"/>
        <v>1</v>
      </c>
      <c r="I969" s="5" t="s">
        <v>900</v>
      </c>
      <c r="J969" s="5" t="s">
        <v>638</v>
      </c>
      <c r="Q969" t="s">
        <v>620</v>
      </c>
      <c r="R969">
        <v>70</v>
      </c>
      <c r="S969">
        <v>1</v>
      </c>
      <c r="T969" t="str">
        <f t="shared" si="113"/>
        <v>e</v>
      </c>
      <c r="U969" t="s">
        <v>7</v>
      </c>
      <c r="V969" t="s">
        <v>208</v>
      </c>
      <c r="W969" t="s">
        <v>53</v>
      </c>
      <c r="X969" t="s">
        <v>705</v>
      </c>
      <c r="AF969" t="s">
        <v>401</v>
      </c>
      <c r="AJ969">
        <v>1</v>
      </c>
      <c r="AM969" t="str">
        <f t="shared" si="116"/>
        <v>Shot</v>
      </c>
      <c r="AN969" t="str">
        <f t="shared" si="117"/>
        <v>Shot_Blocked</v>
      </c>
      <c r="AP969" t="str">
        <f t="shared" si="118"/>
        <v>Offensive</v>
      </c>
      <c r="BB969" s="23"/>
      <c r="BD969" s="21"/>
      <c r="BE969" s="21"/>
      <c r="BF969" s="21"/>
      <c r="BG969" s="21"/>
      <c r="BH969" s="21"/>
      <c r="BI969" s="21"/>
    </row>
    <row r="970" spans="1:61" x14ac:dyDescent="0.2">
      <c r="A970">
        <v>506</v>
      </c>
      <c r="B970" t="s">
        <v>887</v>
      </c>
      <c r="C970" t="str">
        <f t="shared" si="114"/>
        <v/>
      </c>
      <c r="D970" t="str">
        <f t="shared" si="119"/>
        <v/>
      </c>
      <c r="H970">
        <f t="shared" si="115"/>
        <v>1</v>
      </c>
      <c r="R970">
        <v>3</v>
      </c>
      <c r="T970" t="str">
        <f t="shared" si="113"/>
        <v>o</v>
      </c>
      <c r="Y970" t="s">
        <v>681</v>
      </c>
      <c r="AA970" t="s">
        <v>706</v>
      </c>
      <c r="AJ970">
        <v>1</v>
      </c>
      <c r="AM970" t="str">
        <f t="shared" si="116"/>
        <v>Shot</v>
      </c>
      <c r="AN970" t="str">
        <f t="shared" si="117"/>
        <v>Shot_Blocked</v>
      </c>
      <c r="AP970" t="str">
        <f t="shared" si="118"/>
        <v>Defensive</v>
      </c>
      <c r="BB970" s="23"/>
      <c r="BD970" s="21"/>
      <c r="BE970" s="21"/>
      <c r="BF970" s="21"/>
      <c r="BG970" s="21"/>
      <c r="BH970" s="21"/>
      <c r="BI970" s="21"/>
    </row>
    <row r="971" spans="1:61" x14ac:dyDescent="0.2">
      <c r="A971">
        <v>507</v>
      </c>
      <c r="B971" t="s">
        <v>887</v>
      </c>
      <c r="C971" t="str">
        <f t="shared" si="114"/>
        <v/>
      </c>
      <c r="D971" t="str">
        <f t="shared" si="119"/>
        <v/>
      </c>
      <c r="H971">
        <f t="shared" si="115"/>
        <v>1</v>
      </c>
      <c r="I971" s="5" t="s">
        <v>900</v>
      </c>
      <c r="J971" s="5" t="s">
        <v>637</v>
      </c>
      <c r="Q971" t="s">
        <v>620</v>
      </c>
      <c r="R971">
        <v>70</v>
      </c>
      <c r="S971">
        <v>1</v>
      </c>
      <c r="T971" t="str">
        <f t="shared" si="113"/>
        <v>e</v>
      </c>
      <c r="U971" t="s">
        <v>15</v>
      </c>
      <c r="V971" t="s">
        <v>698</v>
      </c>
      <c r="X971" t="s">
        <v>706</v>
      </c>
      <c r="Y971" t="s">
        <v>739</v>
      </c>
      <c r="AA971" t="s">
        <v>706</v>
      </c>
      <c r="AF971" t="s">
        <v>401</v>
      </c>
      <c r="AJ971">
        <v>1</v>
      </c>
      <c r="AM971" t="str">
        <f t="shared" si="116"/>
        <v>Possession</v>
      </c>
      <c r="AN971" t="str">
        <f t="shared" si="117"/>
        <v>PuckRecovery</v>
      </c>
      <c r="AP971" t="str">
        <f t="shared" si="118"/>
        <v>Offensive</v>
      </c>
      <c r="BB971" s="23"/>
      <c r="BD971" s="21"/>
      <c r="BE971" s="21"/>
      <c r="BF971" s="21"/>
      <c r="BG971" s="21"/>
      <c r="BH971" s="21"/>
      <c r="BI971" s="21"/>
    </row>
    <row r="972" spans="1:61" x14ac:dyDescent="0.2">
      <c r="A972">
        <v>507</v>
      </c>
      <c r="B972" t="s">
        <v>887</v>
      </c>
      <c r="C972" t="str">
        <f t="shared" si="114"/>
        <v/>
      </c>
      <c r="D972" t="str">
        <f t="shared" si="119"/>
        <v/>
      </c>
      <c r="H972">
        <f t="shared" si="115"/>
        <v>1</v>
      </c>
      <c r="R972">
        <v>3</v>
      </c>
      <c r="T972" t="str">
        <f t="shared" si="113"/>
        <v>o</v>
      </c>
      <c r="Y972" t="s">
        <v>783</v>
      </c>
      <c r="AA972" t="s">
        <v>705</v>
      </c>
      <c r="AJ972">
        <v>1</v>
      </c>
      <c r="AM972" t="str">
        <f t="shared" si="116"/>
        <v>Possession</v>
      </c>
      <c r="AN972" t="str">
        <f t="shared" si="117"/>
        <v>PuckRecovery</v>
      </c>
      <c r="AP972" t="str">
        <f t="shared" si="118"/>
        <v>Defensive</v>
      </c>
      <c r="BB972" s="23"/>
      <c r="BD972" s="21"/>
      <c r="BE972" s="21"/>
      <c r="BF972" s="21"/>
      <c r="BG972" s="21"/>
      <c r="BH972" s="21"/>
      <c r="BI972" s="21"/>
    </row>
    <row r="973" spans="1:61" x14ac:dyDescent="0.2">
      <c r="A973">
        <v>508</v>
      </c>
      <c r="B973" t="s">
        <v>887</v>
      </c>
      <c r="C973" t="str">
        <f t="shared" si="114"/>
        <v/>
      </c>
      <c r="D973" t="str">
        <f t="shared" si="119"/>
        <v/>
      </c>
      <c r="H973">
        <f t="shared" si="115"/>
        <v>1</v>
      </c>
      <c r="I973" s="5" t="s">
        <v>900</v>
      </c>
      <c r="J973" s="5" t="s">
        <v>637</v>
      </c>
      <c r="K973" s="5" t="s">
        <v>900</v>
      </c>
      <c r="L973" s="7" t="s">
        <v>788</v>
      </c>
      <c r="Q973" t="s">
        <v>620</v>
      </c>
      <c r="R973">
        <v>70</v>
      </c>
      <c r="S973">
        <v>1</v>
      </c>
      <c r="T973" t="str">
        <f t="shared" si="113"/>
        <v>e</v>
      </c>
      <c r="U973" t="s">
        <v>15</v>
      </c>
      <c r="Y973" t="s">
        <v>809</v>
      </c>
      <c r="AA973" t="s">
        <v>706</v>
      </c>
      <c r="AF973" t="s">
        <v>401</v>
      </c>
      <c r="AJ973">
        <v>1</v>
      </c>
      <c r="AM973" t="str">
        <f t="shared" si="116"/>
        <v>Possession</v>
      </c>
      <c r="AN973" t="str">
        <f t="shared" si="117"/>
        <v/>
      </c>
      <c r="AP973" t="str">
        <f t="shared" si="118"/>
        <v>Offensive</v>
      </c>
      <c r="BB973" s="23"/>
      <c r="BD973" s="21"/>
      <c r="BE973" s="21"/>
      <c r="BF973" s="21"/>
      <c r="BG973" s="21"/>
      <c r="BH973" s="21"/>
      <c r="BI973" s="21"/>
    </row>
    <row r="974" spans="1:61" x14ac:dyDescent="0.2">
      <c r="A974">
        <v>508</v>
      </c>
      <c r="B974" t="s">
        <v>887</v>
      </c>
      <c r="C974" t="str">
        <f t="shared" si="114"/>
        <v/>
      </c>
      <c r="D974" t="str">
        <f t="shared" si="119"/>
        <v/>
      </c>
      <c r="H974">
        <f t="shared" si="115"/>
        <v>1</v>
      </c>
      <c r="R974">
        <v>4</v>
      </c>
      <c r="T974" t="str">
        <f t="shared" si="113"/>
        <v>o</v>
      </c>
      <c r="Y974" t="s">
        <v>765</v>
      </c>
      <c r="AJ974">
        <v>1</v>
      </c>
      <c r="AM974" t="str">
        <f t="shared" si="116"/>
        <v>Possession</v>
      </c>
      <c r="AN974" t="str">
        <f t="shared" si="117"/>
        <v/>
      </c>
      <c r="AP974" t="str">
        <f t="shared" si="118"/>
        <v>Defensive</v>
      </c>
      <c r="BB974" s="23"/>
      <c r="BD974" s="21"/>
      <c r="BE974" s="21"/>
      <c r="BF974" s="21"/>
      <c r="BG974" s="21"/>
      <c r="BH974" s="21"/>
      <c r="BI974" s="21"/>
    </row>
    <row r="975" spans="1:61" x14ac:dyDescent="0.2">
      <c r="A975">
        <v>509</v>
      </c>
      <c r="B975" t="s">
        <v>887</v>
      </c>
      <c r="C975" t="str">
        <f t="shared" si="114"/>
        <v/>
      </c>
      <c r="D975" t="str">
        <f t="shared" si="119"/>
        <v/>
      </c>
      <c r="H975">
        <f t="shared" si="115"/>
        <v>1</v>
      </c>
      <c r="I975" s="5" t="s">
        <v>900</v>
      </c>
      <c r="J975" s="5" t="s">
        <v>788</v>
      </c>
      <c r="K975" s="5" t="s">
        <v>900</v>
      </c>
      <c r="L975" s="7" t="s">
        <v>789</v>
      </c>
      <c r="Q975" t="s">
        <v>620</v>
      </c>
      <c r="R975">
        <v>70</v>
      </c>
      <c r="S975">
        <v>1</v>
      </c>
      <c r="T975" t="str">
        <f t="shared" si="113"/>
        <v>e</v>
      </c>
      <c r="U975" t="s">
        <v>15</v>
      </c>
      <c r="Y975" t="s">
        <v>679</v>
      </c>
      <c r="AA975" t="s">
        <v>706</v>
      </c>
      <c r="AF975" t="s">
        <v>401</v>
      </c>
      <c r="AJ975">
        <v>1</v>
      </c>
      <c r="AM975" t="str">
        <f t="shared" si="116"/>
        <v>Possession</v>
      </c>
      <c r="AN975" t="str">
        <f t="shared" si="117"/>
        <v/>
      </c>
      <c r="AP975" t="str">
        <f t="shared" si="118"/>
        <v>Offensive</v>
      </c>
      <c r="BB975" s="23"/>
      <c r="BD975" s="21"/>
      <c r="BE975" s="21"/>
      <c r="BF975" s="21"/>
      <c r="BG975" s="21"/>
      <c r="BH975" s="21"/>
      <c r="BI975" s="21"/>
    </row>
    <row r="976" spans="1:61" x14ac:dyDescent="0.2">
      <c r="A976">
        <v>509</v>
      </c>
      <c r="B976" t="s">
        <v>887</v>
      </c>
      <c r="C976" t="str">
        <f t="shared" si="114"/>
        <v/>
      </c>
      <c r="D976" t="str">
        <f t="shared" si="119"/>
        <v/>
      </c>
      <c r="H976">
        <f t="shared" si="115"/>
        <v>1</v>
      </c>
      <c r="R976">
        <v>4</v>
      </c>
      <c r="T976" t="str">
        <f t="shared" si="113"/>
        <v>o</v>
      </c>
      <c r="Y976" t="s">
        <v>765</v>
      </c>
      <c r="AJ976">
        <v>1</v>
      </c>
      <c r="AM976" t="str">
        <f t="shared" si="116"/>
        <v>Possession</v>
      </c>
      <c r="AN976" t="str">
        <f t="shared" si="117"/>
        <v/>
      </c>
      <c r="AP976" t="str">
        <f t="shared" si="118"/>
        <v>Defensive</v>
      </c>
      <c r="BB976" s="23"/>
      <c r="BD976" s="21"/>
      <c r="BE976" s="21"/>
      <c r="BF976" s="21"/>
      <c r="BG976" s="21"/>
      <c r="BH976" s="21"/>
      <c r="BI976" s="21"/>
    </row>
    <row r="977" spans="1:61" x14ac:dyDescent="0.2">
      <c r="A977">
        <v>510</v>
      </c>
      <c r="B977" t="s">
        <v>887</v>
      </c>
      <c r="C977" t="str">
        <f t="shared" si="114"/>
        <v/>
      </c>
      <c r="D977" t="str">
        <f t="shared" si="119"/>
        <v/>
      </c>
      <c r="H977">
        <f t="shared" si="115"/>
        <v>1</v>
      </c>
      <c r="I977" s="5" t="s">
        <v>900</v>
      </c>
      <c r="J977" s="5" t="s">
        <v>789</v>
      </c>
      <c r="Q977" t="s">
        <v>620</v>
      </c>
      <c r="R977">
        <v>70</v>
      </c>
      <c r="S977">
        <v>1</v>
      </c>
      <c r="T977" t="str">
        <f t="shared" si="113"/>
        <v>e</v>
      </c>
      <c r="U977" t="s">
        <v>8</v>
      </c>
      <c r="V977" t="s">
        <v>189</v>
      </c>
      <c r="W977" t="s">
        <v>69</v>
      </c>
      <c r="X977" t="s">
        <v>706</v>
      </c>
      <c r="AF977" t="s">
        <v>401</v>
      </c>
      <c r="AM977" t="str">
        <f t="shared" si="116"/>
        <v>Pass</v>
      </c>
      <c r="AN977" t="str">
        <f t="shared" si="117"/>
        <v>Pass_Completed</v>
      </c>
      <c r="AP977" t="str">
        <f t="shared" si="118"/>
        <v>Offensive</v>
      </c>
      <c r="BB977" s="23"/>
      <c r="BD977" s="21"/>
      <c r="BE977" s="21"/>
      <c r="BF977" s="21"/>
      <c r="BG977" s="21"/>
      <c r="BH977" s="21"/>
      <c r="BI977" s="21"/>
    </row>
    <row r="978" spans="1:61" x14ac:dyDescent="0.2">
      <c r="A978">
        <v>510</v>
      </c>
      <c r="B978" t="s">
        <v>887</v>
      </c>
      <c r="C978" t="str">
        <f t="shared" si="114"/>
        <v/>
      </c>
      <c r="D978" t="str">
        <f t="shared" si="119"/>
        <v/>
      </c>
      <c r="H978">
        <f t="shared" si="115"/>
        <v>1</v>
      </c>
      <c r="R978">
        <v>9</v>
      </c>
      <c r="S978">
        <v>1</v>
      </c>
      <c r="T978" t="str">
        <f t="shared" si="113"/>
        <v>e</v>
      </c>
      <c r="AM978" t="str">
        <f t="shared" si="116"/>
        <v>Pass</v>
      </c>
      <c r="AN978" t="str">
        <f t="shared" si="117"/>
        <v>Pass_Completed</v>
      </c>
      <c r="AP978" t="str">
        <f t="shared" si="118"/>
        <v>Offensive</v>
      </c>
      <c r="BB978" s="23"/>
      <c r="BD978" s="21"/>
      <c r="BE978" s="21"/>
      <c r="BF978" s="21"/>
      <c r="BG978" s="21"/>
      <c r="BH978" s="21"/>
      <c r="BI978" s="21"/>
    </row>
    <row r="979" spans="1:61" x14ac:dyDescent="0.2">
      <c r="A979">
        <v>511</v>
      </c>
      <c r="B979">
        <v>85</v>
      </c>
      <c r="C979">
        <f t="shared" si="114"/>
        <v>9085</v>
      </c>
      <c r="D979">
        <f t="shared" si="119"/>
        <v>9085</v>
      </c>
      <c r="H979">
        <f t="shared" si="115"/>
        <v>1</v>
      </c>
      <c r="I979" s="5" t="s">
        <v>900</v>
      </c>
      <c r="J979" s="5" t="s">
        <v>673</v>
      </c>
      <c r="Q979" t="s">
        <v>620</v>
      </c>
      <c r="R979">
        <v>9</v>
      </c>
      <c r="S979">
        <v>1</v>
      </c>
      <c r="T979" t="str">
        <f t="shared" si="113"/>
        <v>e</v>
      </c>
      <c r="U979" t="s">
        <v>7</v>
      </c>
      <c r="V979" t="s">
        <v>208</v>
      </c>
      <c r="W979" t="s">
        <v>53</v>
      </c>
      <c r="X979" t="s">
        <v>705</v>
      </c>
      <c r="AF979" t="s">
        <v>401</v>
      </c>
      <c r="AM979" t="str">
        <f t="shared" si="116"/>
        <v>Shot</v>
      </c>
      <c r="AN979" t="str">
        <f t="shared" si="117"/>
        <v>Shot_Blocked</v>
      </c>
      <c r="AP979" t="str">
        <f t="shared" si="118"/>
        <v>Offensive</v>
      </c>
      <c r="BB979" s="23"/>
      <c r="BD979" s="21"/>
      <c r="BE979" s="21"/>
      <c r="BF979" s="21"/>
      <c r="BG979" s="21"/>
      <c r="BH979" s="21"/>
      <c r="BI979" s="21"/>
    </row>
    <row r="980" spans="1:61" x14ac:dyDescent="0.2">
      <c r="A980">
        <v>511</v>
      </c>
      <c r="B980">
        <v>85</v>
      </c>
      <c r="C980">
        <f t="shared" si="114"/>
        <v>9085</v>
      </c>
      <c r="D980">
        <f t="shared" si="119"/>
        <v>9085</v>
      </c>
      <c r="H980">
        <f t="shared" si="115"/>
        <v>1</v>
      </c>
      <c r="R980">
        <v>3</v>
      </c>
      <c r="T980" t="str">
        <f t="shared" si="113"/>
        <v>o</v>
      </c>
      <c r="Y980" t="s">
        <v>681</v>
      </c>
      <c r="AA980" t="s">
        <v>706</v>
      </c>
      <c r="AM980" t="str">
        <f t="shared" si="116"/>
        <v>Shot</v>
      </c>
      <c r="AN980" t="str">
        <f t="shared" si="117"/>
        <v>Shot_Blocked</v>
      </c>
      <c r="AP980" t="str">
        <f t="shared" si="118"/>
        <v>Defensive</v>
      </c>
      <c r="BB980" s="23"/>
      <c r="BD980" s="21"/>
      <c r="BE980" s="21"/>
      <c r="BF980" s="21"/>
      <c r="BG980" s="21"/>
      <c r="BH980" s="21"/>
      <c r="BI980" s="21"/>
    </row>
    <row r="981" spans="1:61" x14ac:dyDescent="0.2">
      <c r="A981">
        <v>512</v>
      </c>
      <c r="B981">
        <v>85</v>
      </c>
      <c r="C981">
        <f t="shared" si="114"/>
        <v>9085</v>
      </c>
      <c r="D981">
        <f t="shared" si="119"/>
        <v>9085</v>
      </c>
      <c r="H981">
        <f t="shared" si="115"/>
        <v>1</v>
      </c>
      <c r="I981" s="5" t="s">
        <v>900</v>
      </c>
      <c r="J981" s="5" t="s">
        <v>673</v>
      </c>
      <c r="Q981" t="s">
        <v>620</v>
      </c>
      <c r="R981">
        <v>9</v>
      </c>
      <c r="S981">
        <v>1</v>
      </c>
      <c r="T981" t="str">
        <f t="shared" si="113"/>
        <v>e</v>
      </c>
      <c r="U981" t="s">
        <v>10</v>
      </c>
      <c r="V981" t="s">
        <v>190</v>
      </c>
      <c r="W981" t="s">
        <v>78</v>
      </c>
      <c r="AF981" t="s">
        <v>401</v>
      </c>
      <c r="AM981" t="str">
        <f t="shared" si="116"/>
        <v>Turnover</v>
      </c>
      <c r="AN981" t="str">
        <f t="shared" si="117"/>
        <v>Turnover_Giveaway</v>
      </c>
      <c r="AP981" t="str">
        <f t="shared" si="118"/>
        <v>Offensive</v>
      </c>
      <c r="BB981" s="23"/>
      <c r="BD981" s="21"/>
      <c r="BE981" s="21"/>
      <c r="BF981" s="21"/>
      <c r="BG981" s="21"/>
      <c r="BH981" s="21"/>
      <c r="BI981" s="21"/>
    </row>
    <row r="982" spans="1:61" x14ac:dyDescent="0.2">
      <c r="A982">
        <v>512</v>
      </c>
      <c r="B982">
        <v>85</v>
      </c>
      <c r="C982">
        <f t="shared" si="114"/>
        <v>9085</v>
      </c>
      <c r="D982">
        <f t="shared" si="119"/>
        <v>9085</v>
      </c>
      <c r="H982">
        <f t="shared" si="115"/>
        <v>1</v>
      </c>
      <c r="R982">
        <v>3</v>
      </c>
      <c r="T982" t="str">
        <f t="shared" si="113"/>
        <v>o</v>
      </c>
      <c r="Y982" t="s">
        <v>681</v>
      </c>
      <c r="AA982" t="s">
        <v>706</v>
      </c>
      <c r="AM982" t="str">
        <f t="shared" si="116"/>
        <v>Turnover</v>
      </c>
      <c r="AN982" t="str">
        <f t="shared" si="117"/>
        <v>Turnover_Giveaway</v>
      </c>
      <c r="AP982" t="str">
        <f t="shared" si="118"/>
        <v>Defensive</v>
      </c>
      <c r="BB982" s="23"/>
      <c r="BD982" s="21"/>
      <c r="BE982" s="21"/>
      <c r="BF982" s="21"/>
      <c r="BG982" s="21"/>
      <c r="BH982" s="21"/>
      <c r="BI982" s="21"/>
    </row>
    <row r="983" spans="1:61" x14ac:dyDescent="0.2">
      <c r="A983">
        <v>513</v>
      </c>
      <c r="B983" t="s">
        <v>887</v>
      </c>
      <c r="C983" t="str">
        <f t="shared" si="114"/>
        <v/>
      </c>
      <c r="D983" t="str">
        <f t="shared" si="119"/>
        <v/>
      </c>
      <c r="H983">
        <f t="shared" si="115"/>
        <v>1</v>
      </c>
      <c r="I983" s="5" t="s">
        <v>900</v>
      </c>
      <c r="J983" s="5" t="s">
        <v>810</v>
      </c>
      <c r="K983" s="5" t="s">
        <v>900</v>
      </c>
      <c r="L983" s="7" t="s">
        <v>713</v>
      </c>
      <c r="Q983" t="s">
        <v>619</v>
      </c>
      <c r="R983">
        <v>25</v>
      </c>
      <c r="S983">
        <v>1</v>
      </c>
      <c r="T983" t="str">
        <f t="shared" si="113"/>
        <v>e</v>
      </c>
      <c r="U983" t="s">
        <v>15</v>
      </c>
      <c r="V983" t="s">
        <v>697</v>
      </c>
      <c r="X983" t="s">
        <v>706</v>
      </c>
      <c r="Y983" t="s">
        <v>683</v>
      </c>
      <c r="AA983" t="s">
        <v>706</v>
      </c>
      <c r="AF983" t="s">
        <v>623</v>
      </c>
      <c r="AM983" t="str">
        <f t="shared" si="116"/>
        <v>Possession</v>
      </c>
      <c r="AN983" t="str">
        <f t="shared" si="117"/>
        <v>PuckRetrieval</v>
      </c>
      <c r="AP983" t="str">
        <f t="shared" si="118"/>
        <v>Offensive</v>
      </c>
      <c r="BB983" s="23"/>
      <c r="BD983" s="21"/>
      <c r="BE983" s="21"/>
      <c r="BF983" s="21"/>
      <c r="BG983" s="21"/>
      <c r="BH983" s="21"/>
      <c r="BI983" s="21"/>
    </row>
    <row r="984" spans="1:61" x14ac:dyDescent="0.2">
      <c r="A984">
        <v>514</v>
      </c>
      <c r="B984" t="s">
        <v>887</v>
      </c>
      <c r="C984" t="str">
        <f t="shared" si="114"/>
        <v/>
      </c>
      <c r="D984" t="str">
        <f t="shared" si="119"/>
        <v/>
      </c>
      <c r="H984">
        <f t="shared" si="115"/>
        <v>1</v>
      </c>
      <c r="I984" s="5" t="s">
        <v>900</v>
      </c>
      <c r="J984" s="5" t="s">
        <v>713</v>
      </c>
      <c r="Q984" t="s">
        <v>619</v>
      </c>
      <c r="R984">
        <v>25</v>
      </c>
      <c r="S984">
        <v>1</v>
      </c>
      <c r="T984" t="str">
        <f t="shared" si="113"/>
        <v>e</v>
      </c>
      <c r="U984" t="s">
        <v>8</v>
      </c>
      <c r="V984" t="s">
        <v>189</v>
      </c>
      <c r="W984" t="s">
        <v>70</v>
      </c>
      <c r="X984" t="s">
        <v>706</v>
      </c>
      <c r="AF984" t="s">
        <v>623</v>
      </c>
      <c r="AM984" t="str">
        <f t="shared" si="116"/>
        <v>Pass</v>
      </c>
      <c r="AN984" t="str">
        <f t="shared" si="117"/>
        <v>Pass_Completed</v>
      </c>
      <c r="AP984" t="str">
        <f t="shared" si="118"/>
        <v>Offensive</v>
      </c>
      <c r="BB984" s="23"/>
      <c r="BD984" s="21"/>
      <c r="BE984" s="21"/>
      <c r="BF984" s="21"/>
      <c r="BG984" s="21"/>
      <c r="BH984" s="21"/>
      <c r="BI984" s="21"/>
    </row>
    <row r="985" spans="1:61" x14ac:dyDescent="0.2">
      <c r="A985">
        <v>514</v>
      </c>
      <c r="B985" t="s">
        <v>887</v>
      </c>
      <c r="C985" t="str">
        <f t="shared" si="114"/>
        <v/>
      </c>
      <c r="D985" t="str">
        <f t="shared" si="119"/>
        <v/>
      </c>
      <c r="H985">
        <f t="shared" si="115"/>
        <v>1</v>
      </c>
      <c r="R985">
        <v>12</v>
      </c>
      <c r="S985">
        <v>1</v>
      </c>
      <c r="T985" t="str">
        <f t="shared" si="113"/>
        <v>e</v>
      </c>
      <c r="AM985" t="str">
        <f t="shared" si="116"/>
        <v>Pass</v>
      </c>
      <c r="AN985" t="str">
        <f t="shared" si="117"/>
        <v>Pass_Completed</v>
      </c>
      <c r="AP985" t="str">
        <f t="shared" si="118"/>
        <v>Offensive</v>
      </c>
      <c r="BB985" s="23"/>
      <c r="BD985" s="21"/>
      <c r="BE985" s="21"/>
      <c r="BF985" s="21"/>
      <c r="BG985" s="21"/>
      <c r="BH985" s="21"/>
      <c r="BI985" s="21"/>
    </row>
    <row r="986" spans="1:61" x14ac:dyDescent="0.2">
      <c r="A986">
        <v>515</v>
      </c>
      <c r="B986">
        <v>86</v>
      </c>
      <c r="C986">
        <f t="shared" si="114"/>
        <v>9086</v>
      </c>
      <c r="D986">
        <f t="shared" si="119"/>
        <v>9086</v>
      </c>
      <c r="H986">
        <f t="shared" si="115"/>
        <v>1</v>
      </c>
      <c r="I986" s="5" t="s">
        <v>900</v>
      </c>
      <c r="J986" s="5" t="s">
        <v>713</v>
      </c>
      <c r="Q986" t="s">
        <v>619</v>
      </c>
      <c r="R986">
        <v>12</v>
      </c>
      <c r="S986">
        <v>1</v>
      </c>
      <c r="T986" t="str">
        <f t="shared" si="113"/>
        <v>e</v>
      </c>
      <c r="U986" t="s">
        <v>8</v>
      </c>
      <c r="V986" t="s">
        <v>189</v>
      </c>
      <c r="W986" t="s">
        <v>70</v>
      </c>
      <c r="X986" t="s">
        <v>706</v>
      </c>
      <c r="Y986" t="s">
        <v>814</v>
      </c>
      <c r="AA986" t="s">
        <v>706</v>
      </c>
      <c r="AF986" t="s">
        <v>623</v>
      </c>
      <c r="AJ986">
        <v>1</v>
      </c>
      <c r="AM986" t="str">
        <f t="shared" si="116"/>
        <v>Pass</v>
      </c>
      <c r="AN986" t="str">
        <f t="shared" si="117"/>
        <v>Pass_Completed</v>
      </c>
      <c r="AP986" t="str">
        <f t="shared" si="118"/>
        <v>Offensive</v>
      </c>
      <c r="BB986" s="23"/>
      <c r="BD986" s="21"/>
      <c r="BE986" s="21"/>
      <c r="BF986" s="21"/>
      <c r="BG986" s="21"/>
      <c r="BH986" s="21"/>
      <c r="BI986" s="21"/>
    </row>
    <row r="987" spans="1:61" x14ac:dyDescent="0.2">
      <c r="A987">
        <v>515</v>
      </c>
      <c r="B987">
        <v>86</v>
      </c>
      <c r="C987">
        <f t="shared" si="114"/>
        <v>9086</v>
      </c>
      <c r="D987">
        <f t="shared" si="119"/>
        <v>9086</v>
      </c>
      <c r="H987">
        <f t="shared" si="115"/>
        <v>1</v>
      </c>
      <c r="R987">
        <v>3</v>
      </c>
      <c r="S987">
        <v>1</v>
      </c>
      <c r="T987" t="str">
        <f t="shared" si="113"/>
        <v>e</v>
      </c>
      <c r="AM987" t="str">
        <f t="shared" si="116"/>
        <v>Pass</v>
      </c>
      <c r="AN987" t="str">
        <f t="shared" si="117"/>
        <v>Pass_Completed</v>
      </c>
      <c r="AP987" t="str">
        <f t="shared" si="118"/>
        <v>Offensive</v>
      </c>
      <c r="BB987" s="23"/>
      <c r="BD987" s="21"/>
      <c r="BE987" s="21"/>
      <c r="BF987" s="21"/>
      <c r="BG987" s="21"/>
      <c r="BH987" s="21"/>
      <c r="BI987" s="21"/>
    </row>
    <row r="988" spans="1:61" x14ac:dyDescent="0.2">
      <c r="A988">
        <v>515</v>
      </c>
      <c r="B988">
        <v>86</v>
      </c>
      <c r="C988">
        <f t="shared" si="114"/>
        <v>9086</v>
      </c>
      <c r="D988">
        <f t="shared" si="119"/>
        <v>9086</v>
      </c>
      <c r="H988">
        <f t="shared" si="115"/>
        <v>1</v>
      </c>
      <c r="R988">
        <v>91</v>
      </c>
      <c r="T988" t="str">
        <f t="shared" si="113"/>
        <v>o</v>
      </c>
      <c r="AJ988">
        <v>1</v>
      </c>
      <c r="AM988" t="str">
        <f t="shared" si="116"/>
        <v>Pass</v>
      </c>
      <c r="AN988" t="str">
        <f t="shared" si="117"/>
        <v>Pass_Completed</v>
      </c>
      <c r="AP988" t="str">
        <f t="shared" si="118"/>
        <v>Defensive</v>
      </c>
      <c r="BB988" s="23"/>
      <c r="BD988" s="21"/>
      <c r="BE988" s="21"/>
      <c r="BF988" s="21"/>
      <c r="BG988" s="21"/>
      <c r="BH988" s="21"/>
      <c r="BI988" s="21"/>
    </row>
    <row r="989" spans="1:61" x14ac:dyDescent="0.2">
      <c r="A989">
        <v>516</v>
      </c>
      <c r="B989">
        <v>86</v>
      </c>
      <c r="C989">
        <f t="shared" si="114"/>
        <v>9086</v>
      </c>
      <c r="D989">
        <f t="shared" si="119"/>
        <v>9086</v>
      </c>
      <c r="H989">
        <f t="shared" si="115"/>
        <v>1</v>
      </c>
      <c r="I989" s="5" t="s">
        <v>900</v>
      </c>
      <c r="J989" s="5" t="s">
        <v>713</v>
      </c>
      <c r="Q989" t="s">
        <v>619</v>
      </c>
      <c r="R989">
        <v>12</v>
      </c>
      <c r="S989">
        <v>1</v>
      </c>
      <c r="T989" t="str">
        <f t="shared" si="113"/>
        <v>e</v>
      </c>
      <c r="U989" t="s">
        <v>257</v>
      </c>
      <c r="V989" t="s">
        <v>201</v>
      </c>
      <c r="W989" t="s">
        <v>91</v>
      </c>
      <c r="X989" t="s">
        <v>706</v>
      </c>
      <c r="Y989" t="s">
        <v>678</v>
      </c>
      <c r="AA989" t="s">
        <v>706</v>
      </c>
      <c r="AF989" t="s">
        <v>623</v>
      </c>
      <c r="AJ989">
        <v>1</v>
      </c>
      <c r="AM989" t="str">
        <f t="shared" si="116"/>
        <v>Zone_Entry_Exit</v>
      </c>
      <c r="AN989" t="str">
        <f t="shared" si="117"/>
        <v>Zone_Exit</v>
      </c>
      <c r="AP989" t="str">
        <f t="shared" si="118"/>
        <v>Offensive</v>
      </c>
      <c r="BB989" s="23"/>
      <c r="BD989" s="21"/>
      <c r="BE989" s="21"/>
      <c r="BF989" s="21"/>
      <c r="BG989" s="21"/>
      <c r="BH989" s="21"/>
      <c r="BI989" s="21"/>
    </row>
    <row r="990" spans="1:61" x14ac:dyDescent="0.2">
      <c r="A990">
        <v>516</v>
      </c>
      <c r="B990">
        <v>86</v>
      </c>
      <c r="C990">
        <f t="shared" si="114"/>
        <v>9086</v>
      </c>
      <c r="D990">
        <f t="shared" si="119"/>
        <v>9086</v>
      </c>
      <c r="H990">
        <f t="shared" si="115"/>
        <v>1</v>
      </c>
      <c r="R990">
        <v>3</v>
      </c>
      <c r="S990">
        <v>1</v>
      </c>
      <c r="T990" t="str">
        <f t="shared" si="113"/>
        <v>e</v>
      </c>
      <c r="AM990" t="str">
        <f t="shared" si="116"/>
        <v>Zone_Entry_Exit</v>
      </c>
      <c r="AN990" t="str">
        <f t="shared" si="117"/>
        <v>Zone_Exit</v>
      </c>
      <c r="AP990" t="str">
        <f t="shared" si="118"/>
        <v>Offensive</v>
      </c>
      <c r="BB990" s="23"/>
      <c r="BD990" s="21"/>
      <c r="BE990" s="21"/>
      <c r="BF990" s="21"/>
      <c r="BG990" s="21"/>
      <c r="BH990" s="21"/>
      <c r="BI990" s="21"/>
    </row>
    <row r="991" spans="1:61" x14ac:dyDescent="0.2">
      <c r="A991">
        <v>516</v>
      </c>
      <c r="B991">
        <v>86</v>
      </c>
      <c r="C991">
        <f t="shared" si="114"/>
        <v>9086</v>
      </c>
      <c r="D991">
        <f t="shared" si="119"/>
        <v>9086</v>
      </c>
      <c r="H991">
        <f t="shared" si="115"/>
        <v>1</v>
      </c>
      <c r="R991">
        <v>91</v>
      </c>
      <c r="T991" t="str">
        <f t="shared" si="113"/>
        <v>o</v>
      </c>
      <c r="AJ991">
        <v>1</v>
      </c>
      <c r="AM991" t="str">
        <f t="shared" si="116"/>
        <v>Zone_Entry_Exit</v>
      </c>
      <c r="AN991" t="str">
        <f t="shared" si="117"/>
        <v>Zone_Exit</v>
      </c>
      <c r="AP991" t="str">
        <f t="shared" si="118"/>
        <v>Defensive</v>
      </c>
      <c r="BB991" s="23"/>
      <c r="BD991" s="21"/>
      <c r="BE991" s="21"/>
      <c r="BF991" s="21"/>
      <c r="BG991" s="21"/>
      <c r="BH991" s="21"/>
      <c r="BI991" s="21"/>
    </row>
    <row r="992" spans="1:61" x14ac:dyDescent="0.2">
      <c r="A992">
        <v>517</v>
      </c>
      <c r="B992" t="s">
        <v>887</v>
      </c>
      <c r="C992" t="str">
        <f t="shared" si="114"/>
        <v/>
      </c>
      <c r="D992" t="str">
        <f t="shared" si="119"/>
        <v/>
      </c>
      <c r="H992">
        <f t="shared" si="115"/>
        <v>1</v>
      </c>
      <c r="I992" s="5" t="s">
        <v>900</v>
      </c>
      <c r="J992" s="5" t="s">
        <v>716</v>
      </c>
      <c r="K992" s="5" t="s">
        <v>900</v>
      </c>
      <c r="L992" s="7" t="s">
        <v>778</v>
      </c>
      <c r="Q992" t="s">
        <v>619</v>
      </c>
      <c r="R992">
        <v>3</v>
      </c>
      <c r="S992">
        <v>1</v>
      </c>
      <c r="T992" t="str">
        <f t="shared" si="113"/>
        <v>e</v>
      </c>
      <c r="U992" t="s">
        <v>15</v>
      </c>
      <c r="AF992" t="s">
        <v>635</v>
      </c>
      <c r="AJ992">
        <v>1</v>
      </c>
      <c r="AM992" t="str">
        <f t="shared" si="116"/>
        <v>Possession</v>
      </c>
      <c r="AN992" t="str">
        <f t="shared" si="117"/>
        <v/>
      </c>
      <c r="AP992" t="str">
        <f t="shared" si="118"/>
        <v>Offensive</v>
      </c>
      <c r="BB992" s="23"/>
      <c r="BD992" s="21"/>
      <c r="BE992" s="21"/>
      <c r="BF992" s="21"/>
      <c r="BG992" s="21"/>
      <c r="BH992" s="21"/>
      <c r="BI992" s="21"/>
    </row>
    <row r="993" spans="1:61" x14ac:dyDescent="0.2">
      <c r="A993">
        <v>517</v>
      </c>
      <c r="B993" t="s">
        <v>887</v>
      </c>
      <c r="C993" t="str">
        <f t="shared" si="114"/>
        <v/>
      </c>
      <c r="D993" t="str">
        <f t="shared" si="119"/>
        <v/>
      </c>
      <c r="H993">
        <f t="shared" si="115"/>
        <v>1</v>
      </c>
      <c r="R993">
        <v>70</v>
      </c>
      <c r="T993" t="str">
        <f t="shared" si="113"/>
        <v>o</v>
      </c>
      <c r="Y993" t="s">
        <v>714</v>
      </c>
      <c r="AA993" t="s">
        <v>706</v>
      </c>
      <c r="AF993" t="s">
        <v>635</v>
      </c>
      <c r="AJ993">
        <v>1</v>
      </c>
      <c r="AM993" t="str">
        <f t="shared" si="116"/>
        <v>Possession</v>
      </c>
      <c r="AN993" t="str">
        <f t="shared" si="117"/>
        <v/>
      </c>
      <c r="AP993" t="str">
        <f t="shared" si="118"/>
        <v>Defensive</v>
      </c>
      <c r="BB993" s="23"/>
      <c r="BD993" s="21"/>
      <c r="BE993" s="21"/>
      <c r="BF993" s="21"/>
      <c r="BG993" s="21"/>
      <c r="BH993" s="21"/>
      <c r="BI993" s="21"/>
    </row>
    <row r="994" spans="1:61" x14ac:dyDescent="0.2">
      <c r="A994">
        <v>518</v>
      </c>
      <c r="B994">
        <v>87</v>
      </c>
      <c r="C994">
        <f t="shared" si="114"/>
        <v>9087</v>
      </c>
      <c r="D994">
        <f t="shared" si="119"/>
        <v>9087</v>
      </c>
      <c r="H994">
        <f t="shared" si="115"/>
        <v>1</v>
      </c>
      <c r="I994" s="5" t="s">
        <v>900</v>
      </c>
      <c r="J994" s="5" t="s">
        <v>778</v>
      </c>
      <c r="Q994" t="s">
        <v>620</v>
      </c>
      <c r="R994">
        <v>70</v>
      </c>
      <c r="S994">
        <v>1</v>
      </c>
      <c r="T994" t="str">
        <f t="shared" si="113"/>
        <v>e</v>
      </c>
      <c r="U994" t="s">
        <v>10</v>
      </c>
      <c r="V994" t="s">
        <v>200</v>
      </c>
      <c r="W994" t="s">
        <v>82</v>
      </c>
      <c r="Y994" t="s">
        <v>714</v>
      </c>
      <c r="AF994" t="s">
        <v>635</v>
      </c>
      <c r="AJ994">
        <v>1</v>
      </c>
      <c r="AM994" t="str">
        <f t="shared" si="116"/>
        <v>Turnover</v>
      </c>
      <c r="AN994" t="str">
        <f t="shared" si="117"/>
        <v>Turnover_Takeaway</v>
      </c>
      <c r="AP994" t="str">
        <f t="shared" si="118"/>
        <v>Defensive</v>
      </c>
      <c r="BB994" s="23"/>
      <c r="BD994" s="21"/>
      <c r="BE994" s="21"/>
      <c r="BF994" s="21"/>
      <c r="BG994" s="21"/>
      <c r="BH994" s="21"/>
      <c r="BI994" s="21"/>
    </row>
    <row r="995" spans="1:61" x14ac:dyDescent="0.2">
      <c r="A995">
        <v>518</v>
      </c>
      <c r="B995">
        <v>87</v>
      </c>
      <c r="C995">
        <f t="shared" si="114"/>
        <v>9087</v>
      </c>
      <c r="D995">
        <f t="shared" si="119"/>
        <v>9087</v>
      </c>
      <c r="H995">
        <f t="shared" si="115"/>
        <v>1</v>
      </c>
      <c r="R995">
        <v>3</v>
      </c>
      <c r="T995" t="str">
        <f t="shared" si="113"/>
        <v>o</v>
      </c>
      <c r="AF995" t="s">
        <v>635</v>
      </c>
      <c r="AJ995">
        <v>1</v>
      </c>
      <c r="AM995" t="str">
        <f t="shared" si="116"/>
        <v>Turnover</v>
      </c>
      <c r="AN995" t="str">
        <f t="shared" si="117"/>
        <v>Turnover_Takeaway</v>
      </c>
      <c r="AP995" t="str">
        <f t="shared" si="118"/>
        <v>Offensive</v>
      </c>
      <c r="BB995" s="23"/>
      <c r="BD995" s="21"/>
      <c r="BE995" s="21"/>
      <c r="BF995" s="21"/>
      <c r="BG995" s="21"/>
      <c r="BH995" s="21"/>
      <c r="BI995" s="21"/>
    </row>
    <row r="996" spans="1:61" x14ac:dyDescent="0.2">
      <c r="A996">
        <v>519</v>
      </c>
      <c r="B996">
        <v>87</v>
      </c>
      <c r="C996">
        <f t="shared" si="114"/>
        <v>9087</v>
      </c>
      <c r="D996">
        <f t="shared" si="119"/>
        <v>9087</v>
      </c>
      <c r="H996">
        <f t="shared" si="115"/>
        <v>1</v>
      </c>
      <c r="I996" s="5" t="s">
        <v>900</v>
      </c>
      <c r="J996" s="5" t="s">
        <v>778</v>
      </c>
      <c r="Q996" t="s">
        <v>619</v>
      </c>
      <c r="R996">
        <v>3</v>
      </c>
      <c r="S996">
        <v>1</v>
      </c>
      <c r="T996" t="str">
        <f t="shared" si="113"/>
        <v>e</v>
      </c>
      <c r="U996" t="s">
        <v>257</v>
      </c>
      <c r="V996" t="s">
        <v>191</v>
      </c>
      <c r="W996" t="s">
        <v>423</v>
      </c>
      <c r="AF996" t="s">
        <v>635</v>
      </c>
      <c r="AJ996">
        <v>1</v>
      </c>
      <c r="AM996" t="str">
        <f t="shared" si="116"/>
        <v>Zone_Entry_Exit</v>
      </c>
      <c r="AN996" t="str">
        <f t="shared" si="117"/>
        <v>Zone_Entry</v>
      </c>
      <c r="AP996" t="str">
        <f t="shared" si="118"/>
        <v>Offensive</v>
      </c>
      <c r="BB996" s="23"/>
      <c r="BD996" s="21"/>
      <c r="BE996" s="21"/>
      <c r="BF996" s="21"/>
      <c r="BG996" s="21"/>
      <c r="BH996" s="21"/>
      <c r="BI996" s="21"/>
    </row>
    <row r="997" spans="1:61" x14ac:dyDescent="0.2">
      <c r="A997">
        <v>519</v>
      </c>
      <c r="B997">
        <v>87</v>
      </c>
      <c r="C997">
        <f t="shared" si="114"/>
        <v>9087</v>
      </c>
      <c r="D997">
        <f t="shared" si="119"/>
        <v>9087</v>
      </c>
      <c r="H997">
        <f t="shared" si="115"/>
        <v>1</v>
      </c>
      <c r="R997">
        <v>70</v>
      </c>
      <c r="T997" t="str">
        <f t="shared" si="113"/>
        <v>o</v>
      </c>
      <c r="AJ997">
        <v>1</v>
      </c>
      <c r="AM997" t="str">
        <f t="shared" si="116"/>
        <v>Zone_Entry_Exit</v>
      </c>
      <c r="AN997" t="str">
        <f t="shared" si="117"/>
        <v>Zone_Entry</v>
      </c>
      <c r="AP997" t="str">
        <f t="shared" si="118"/>
        <v>Defensive</v>
      </c>
      <c r="BB997" s="23"/>
      <c r="BD997" s="21"/>
      <c r="BE997" s="21"/>
      <c r="BF997" s="21"/>
      <c r="BG997" s="21"/>
      <c r="BH997" s="21"/>
      <c r="BI997" s="21"/>
    </row>
    <row r="998" spans="1:61" x14ac:dyDescent="0.2">
      <c r="A998">
        <v>520</v>
      </c>
      <c r="B998" t="s">
        <v>887</v>
      </c>
      <c r="C998" t="str">
        <f t="shared" si="114"/>
        <v/>
      </c>
      <c r="D998" t="str">
        <f t="shared" si="119"/>
        <v/>
      </c>
      <c r="H998">
        <f t="shared" si="115"/>
        <v>1</v>
      </c>
      <c r="I998" s="5" t="s">
        <v>900</v>
      </c>
      <c r="J998" s="5" t="s">
        <v>778</v>
      </c>
      <c r="Q998" t="s">
        <v>620</v>
      </c>
      <c r="R998">
        <v>9</v>
      </c>
      <c r="S998">
        <v>1</v>
      </c>
      <c r="T998" t="str">
        <f t="shared" si="113"/>
        <v>e</v>
      </c>
      <c r="U998" t="s">
        <v>15</v>
      </c>
      <c r="V998" t="s">
        <v>697</v>
      </c>
      <c r="X998" t="s">
        <v>705</v>
      </c>
      <c r="Y998" t="s">
        <v>712</v>
      </c>
      <c r="AA998" t="s">
        <v>705</v>
      </c>
      <c r="AF998" t="s">
        <v>623</v>
      </c>
      <c r="AJ998">
        <v>1</v>
      </c>
      <c r="AM998" t="str">
        <f t="shared" si="116"/>
        <v>Possession</v>
      </c>
      <c r="AN998" t="str">
        <f t="shared" si="117"/>
        <v>PuckRetrieval</v>
      </c>
      <c r="AP998" t="str">
        <f t="shared" si="118"/>
        <v>Offensive</v>
      </c>
      <c r="BB998" s="23"/>
      <c r="BD998" s="21"/>
      <c r="BE998" s="21"/>
      <c r="BF998" s="21"/>
      <c r="BG998" s="21"/>
      <c r="BH998" s="21"/>
      <c r="BI998" s="21"/>
    </row>
    <row r="999" spans="1:61" x14ac:dyDescent="0.2">
      <c r="A999">
        <v>520</v>
      </c>
      <c r="B999" t="s">
        <v>887</v>
      </c>
      <c r="C999" t="str">
        <f t="shared" si="114"/>
        <v/>
      </c>
      <c r="D999" t="str">
        <f t="shared" si="119"/>
        <v/>
      </c>
      <c r="H999">
        <f t="shared" si="115"/>
        <v>1</v>
      </c>
      <c r="R999">
        <v>3</v>
      </c>
      <c r="T999" t="str">
        <f t="shared" si="113"/>
        <v>o</v>
      </c>
      <c r="AJ999">
        <v>1</v>
      </c>
      <c r="AM999" t="str">
        <f t="shared" si="116"/>
        <v>Possession</v>
      </c>
      <c r="AN999" t="str">
        <f t="shared" si="117"/>
        <v>PuckRetrieval</v>
      </c>
      <c r="AP999" t="str">
        <f t="shared" si="118"/>
        <v>Defensive</v>
      </c>
      <c r="BB999" s="23"/>
      <c r="BD999" s="21"/>
      <c r="BE999" s="21"/>
      <c r="BF999" s="21"/>
      <c r="BG999" s="21"/>
      <c r="BH999" s="21"/>
      <c r="BI999" s="21"/>
    </row>
    <row r="1000" spans="1:61" x14ac:dyDescent="0.2">
      <c r="A1000">
        <v>521</v>
      </c>
      <c r="B1000">
        <v>88</v>
      </c>
      <c r="C1000">
        <f t="shared" si="114"/>
        <v>9088</v>
      </c>
      <c r="D1000">
        <f t="shared" si="119"/>
        <v>9088</v>
      </c>
      <c r="H1000">
        <f t="shared" si="115"/>
        <v>1</v>
      </c>
      <c r="I1000" s="5" t="s">
        <v>900</v>
      </c>
      <c r="J1000" s="5" t="s">
        <v>719</v>
      </c>
      <c r="Q1000" t="s">
        <v>620</v>
      </c>
      <c r="R1000">
        <v>9</v>
      </c>
      <c r="S1000">
        <v>1</v>
      </c>
      <c r="T1000" t="str">
        <f t="shared" si="113"/>
        <v>e</v>
      </c>
      <c r="U1000" t="s">
        <v>257</v>
      </c>
      <c r="V1000" t="s">
        <v>201</v>
      </c>
      <c r="W1000" t="s">
        <v>407</v>
      </c>
      <c r="X1000" t="s">
        <v>706</v>
      </c>
      <c r="AF1000" t="s">
        <v>623</v>
      </c>
      <c r="AJ1000">
        <v>1</v>
      </c>
      <c r="AM1000" t="str">
        <f t="shared" si="116"/>
        <v>Zone_Entry_Exit</v>
      </c>
      <c r="AN1000" t="str">
        <f t="shared" si="117"/>
        <v>Zone_Exit</v>
      </c>
      <c r="AP1000" t="str">
        <f t="shared" si="118"/>
        <v>Offensive</v>
      </c>
      <c r="BB1000" s="23"/>
      <c r="BD1000" s="21"/>
      <c r="BE1000" s="21"/>
      <c r="BF1000" s="21"/>
      <c r="BG1000" s="21"/>
      <c r="BH1000" s="21"/>
      <c r="BI1000" s="21"/>
    </row>
    <row r="1001" spans="1:61" x14ac:dyDescent="0.2">
      <c r="A1001">
        <v>521</v>
      </c>
      <c r="B1001">
        <v>88</v>
      </c>
      <c r="C1001">
        <f t="shared" si="114"/>
        <v>9088</v>
      </c>
      <c r="D1001">
        <f t="shared" si="119"/>
        <v>9088</v>
      </c>
      <c r="H1001">
        <f t="shared" si="115"/>
        <v>1</v>
      </c>
      <c r="R1001">
        <v>3</v>
      </c>
      <c r="T1001" t="str">
        <f t="shared" si="113"/>
        <v>o</v>
      </c>
      <c r="AJ1001">
        <v>1</v>
      </c>
      <c r="AM1001" t="str">
        <f t="shared" si="116"/>
        <v>Zone_Entry_Exit</v>
      </c>
      <c r="AN1001" t="str">
        <f t="shared" si="117"/>
        <v>Zone_Exit</v>
      </c>
      <c r="AP1001" t="str">
        <f t="shared" si="118"/>
        <v>Defensive</v>
      </c>
      <c r="BB1001" s="23"/>
      <c r="BD1001" s="21"/>
      <c r="BE1001" s="21"/>
      <c r="BF1001" s="21"/>
      <c r="BG1001" s="21"/>
      <c r="BH1001" s="21"/>
      <c r="BI1001" s="21"/>
    </row>
    <row r="1002" spans="1:61" x14ac:dyDescent="0.2">
      <c r="A1002">
        <v>522</v>
      </c>
      <c r="B1002">
        <v>88</v>
      </c>
      <c r="C1002">
        <f t="shared" si="114"/>
        <v>9088</v>
      </c>
      <c r="D1002">
        <f t="shared" si="119"/>
        <v>9088</v>
      </c>
      <c r="H1002">
        <f t="shared" si="115"/>
        <v>1</v>
      </c>
      <c r="I1002" s="5" t="s">
        <v>900</v>
      </c>
      <c r="J1002" s="5" t="s">
        <v>719</v>
      </c>
      <c r="Q1002" t="s">
        <v>620</v>
      </c>
      <c r="R1002">
        <v>9</v>
      </c>
      <c r="S1002">
        <v>1</v>
      </c>
      <c r="T1002" t="str">
        <f t="shared" si="113"/>
        <v>e</v>
      </c>
      <c r="U1002" t="s">
        <v>10</v>
      </c>
      <c r="V1002" t="s">
        <v>190</v>
      </c>
      <c r="W1002" t="s">
        <v>387</v>
      </c>
      <c r="AF1002" t="s">
        <v>623</v>
      </c>
      <c r="AJ1002">
        <v>1</v>
      </c>
      <c r="AM1002" t="str">
        <f t="shared" si="116"/>
        <v>Turnover</v>
      </c>
      <c r="AN1002" t="str">
        <f t="shared" si="117"/>
        <v>Turnover_Giveaway</v>
      </c>
      <c r="AP1002" t="str">
        <f t="shared" si="118"/>
        <v>Offensive</v>
      </c>
      <c r="BB1002" s="23"/>
      <c r="BD1002" s="21"/>
      <c r="BE1002" s="21"/>
      <c r="BF1002" s="21"/>
      <c r="BG1002" s="21"/>
      <c r="BH1002" s="21"/>
      <c r="BI1002" s="21"/>
    </row>
    <row r="1003" spans="1:61" x14ac:dyDescent="0.2">
      <c r="A1003">
        <v>522</v>
      </c>
      <c r="B1003">
        <v>88</v>
      </c>
      <c r="C1003">
        <f t="shared" si="114"/>
        <v>9088</v>
      </c>
      <c r="D1003">
        <f t="shared" si="119"/>
        <v>9088</v>
      </c>
      <c r="H1003">
        <f t="shared" si="115"/>
        <v>1</v>
      </c>
      <c r="R1003">
        <v>3</v>
      </c>
      <c r="T1003" t="str">
        <f t="shared" si="113"/>
        <v>o</v>
      </c>
      <c r="AM1003" t="str">
        <f t="shared" si="116"/>
        <v>Turnover</v>
      </c>
      <c r="AN1003" t="str">
        <f t="shared" si="117"/>
        <v>Turnover_Giveaway</v>
      </c>
      <c r="AP1003" t="str">
        <f t="shared" si="118"/>
        <v>Defensive</v>
      </c>
      <c r="BB1003" s="23"/>
      <c r="BD1003" s="21"/>
      <c r="BE1003" s="21"/>
      <c r="BF1003" s="21"/>
      <c r="BG1003" s="21"/>
      <c r="BH1003" s="21"/>
      <c r="BI1003" s="21"/>
    </row>
    <row r="1004" spans="1:61" x14ac:dyDescent="0.2">
      <c r="A1004">
        <v>523</v>
      </c>
      <c r="B1004" t="s">
        <v>887</v>
      </c>
      <c r="C1004" t="str">
        <f t="shared" si="114"/>
        <v/>
      </c>
      <c r="D1004" t="str">
        <f t="shared" si="119"/>
        <v/>
      </c>
      <c r="H1004">
        <f t="shared" si="115"/>
        <v>1</v>
      </c>
      <c r="I1004" s="5" t="s">
        <v>900</v>
      </c>
      <c r="J1004" s="5" t="s">
        <v>721</v>
      </c>
      <c r="Q1004" t="s">
        <v>619</v>
      </c>
      <c r="R1004">
        <v>25</v>
      </c>
      <c r="S1004">
        <v>1</v>
      </c>
      <c r="T1004" t="str">
        <f t="shared" si="113"/>
        <v>e</v>
      </c>
      <c r="U1004" t="s">
        <v>15</v>
      </c>
      <c r="V1004" t="s">
        <v>697</v>
      </c>
      <c r="X1004" t="s">
        <v>706</v>
      </c>
      <c r="Y1004" t="s">
        <v>712</v>
      </c>
      <c r="AA1004" t="s">
        <v>706</v>
      </c>
      <c r="AF1004" t="s">
        <v>635</v>
      </c>
      <c r="AM1004" t="str">
        <f t="shared" si="116"/>
        <v>Possession</v>
      </c>
      <c r="AN1004" t="str">
        <f t="shared" si="117"/>
        <v>PuckRetrieval</v>
      </c>
      <c r="AP1004" t="str">
        <f t="shared" si="118"/>
        <v>Offensive</v>
      </c>
      <c r="BB1004" s="23"/>
      <c r="BD1004" s="21"/>
      <c r="BE1004" s="21"/>
      <c r="BF1004" s="21"/>
      <c r="BG1004" s="21"/>
      <c r="BH1004" s="21"/>
      <c r="BI1004" s="21"/>
    </row>
    <row r="1005" spans="1:61" x14ac:dyDescent="0.2">
      <c r="A1005">
        <v>524</v>
      </c>
      <c r="B1005" t="s">
        <v>887</v>
      </c>
      <c r="C1005" t="str">
        <f t="shared" si="114"/>
        <v/>
      </c>
      <c r="D1005" t="str">
        <f t="shared" si="119"/>
        <v/>
      </c>
      <c r="H1005">
        <f t="shared" si="115"/>
        <v>1</v>
      </c>
      <c r="I1005" s="5" t="s">
        <v>900</v>
      </c>
      <c r="J1005" s="5" t="s">
        <v>721</v>
      </c>
      <c r="K1005" s="5" t="s">
        <v>900</v>
      </c>
      <c r="L1005" s="7" t="s">
        <v>812</v>
      </c>
      <c r="Q1005" t="s">
        <v>619</v>
      </c>
      <c r="R1005">
        <v>25</v>
      </c>
      <c r="S1005">
        <v>1</v>
      </c>
      <c r="T1005" t="str">
        <f t="shared" si="113"/>
        <v>e</v>
      </c>
      <c r="U1005" t="s">
        <v>15</v>
      </c>
      <c r="Y1005" t="s">
        <v>777</v>
      </c>
      <c r="AF1005" t="s">
        <v>635</v>
      </c>
      <c r="AM1005" t="str">
        <f t="shared" si="116"/>
        <v>Possession</v>
      </c>
      <c r="AN1005" t="str">
        <f t="shared" si="117"/>
        <v/>
      </c>
      <c r="AP1005" t="str">
        <f t="shared" si="118"/>
        <v>Offensive</v>
      </c>
      <c r="BB1005" s="23"/>
      <c r="BD1005" s="21"/>
      <c r="BE1005" s="21"/>
      <c r="BF1005" s="21"/>
      <c r="BG1005" s="21"/>
      <c r="BH1005" s="21"/>
      <c r="BI1005" s="21"/>
    </row>
    <row r="1006" spans="1:61" x14ac:dyDescent="0.2">
      <c r="A1006">
        <v>525</v>
      </c>
      <c r="B1006">
        <v>89</v>
      </c>
      <c r="C1006">
        <f t="shared" si="114"/>
        <v>9089</v>
      </c>
      <c r="D1006">
        <f t="shared" si="119"/>
        <v>9089</v>
      </c>
      <c r="H1006">
        <f t="shared" si="115"/>
        <v>1</v>
      </c>
      <c r="I1006" s="5" t="s">
        <v>900</v>
      </c>
      <c r="J1006" s="5" t="s">
        <v>812</v>
      </c>
      <c r="Q1006" t="s">
        <v>619</v>
      </c>
      <c r="R1006">
        <v>25</v>
      </c>
      <c r="S1006">
        <v>1</v>
      </c>
      <c r="T1006" t="str">
        <f t="shared" si="113"/>
        <v>e</v>
      </c>
      <c r="U1006" t="s">
        <v>7</v>
      </c>
      <c r="V1006" t="s">
        <v>222</v>
      </c>
      <c r="W1006" t="s">
        <v>63</v>
      </c>
      <c r="X1006" t="s">
        <v>706</v>
      </c>
      <c r="AF1006" t="s">
        <v>635</v>
      </c>
      <c r="AM1006" t="str">
        <f t="shared" si="116"/>
        <v>Shot</v>
      </c>
      <c r="AN1006" t="str">
        <f t="shared" si="117"/>
        <v>Shot_OnNetSaved</v>
      </c>
      <c r="AP1006" t="str">
        <f t="shared" si="118"/>
        <v>Offensive</v>
      </c>
      <c r="BB1006" s="23"/>
      <c r="BD1006" s="21"/>
      <c r="BE1006" s="21"/>
      <c r="BF1006" s="21"/>
      <c r="BG1006" s="21"/>
      <c r="BH1006" s="21"/>
      <c r="BI1006" s="21"/>
    </row>
    <row r="1007" spans="1:61" x14ac:dyDescent="0.2">
      <c r="A1007">
        <v>525</v>
      </c>
      <c r="B1007">
        <v>89</v>
      </c>
      <c r="C1007">
        <f t="shared" si="114"/>
        <v>9089</v>
      </c>
      <c r="D1007">
        <f t="shared" si="119"/>
        <v>9089</v>
      </c>
      <c r="H1007">
        <f t="shared" si="115"/>
        <v>1</v>
      </c>
      <c r="R1007">
        <v>39</v>
      </c>
      <c r="T1007" t="str">
        <f t="shared" si="113"/>
        <v>o</v>
      </c>
      <c r="AM1007" t="str">
        <f t="shared" si="116"/>
        <v>Shot</v>
      </c>
      <c r="AN1007" t="str">
        <f t="shared" si="117"/>
        <v>Shot_OnNetSaved</v>
      </c>
      <c r="AP1007" t="str">
        <f t="shared" si="118"/>
        <v>Defensive</v>
      </c>
      <c r="BB1007" s="23"/>
      <c r="BD1007" s="21"/>
      <c r="BE1007" s="21"/>
      <c r="BF1007" s="21"/>
      <c r="BG1007" s="21"/>
      <c r="BH1007" s="21"/>
      <c r="BI1007" s="21"/>
    </row>
    <row r="1008" spans="1:61" x14ac:dyDescent="0.2">
      <c r="A1008">
        <v>526</v>
      </c>
      <c r="B1008">
        <v>89</v>
      </c>
      <c r="C1008">
        <f t="shared" si="114"/>
        <v>9089</v>
      </c>
      <c r="D1008">
        <f t="shared" si="119"/>
        <v>9089</v>
      </c>
      <c r="H1008">
        <f t="shared" si="115"/>
        <v>1</v>
      </c>
      <c r="I1008" s="5" t="s">
        <v>900</v>
      </c>
      <c r="J1008" s="5" t="s">
        <v>812</v>
      </c>
      <c r="Q1008" t="s">
        <v>620</v>
      </c>
      <c r="R1008">
        <v>39</v>
      </c>
      <c r="S1008">
        <v>1</v>
      </c>
      <c r="T1008" t="str">
        <f t="shared" si="113"/>
        <v>e</v>
      </c>
      <c r="U1008" t="s">
        <v>17</v>
      </c>
      <c r="V1008" t="s">
        <v>196</v>
      </c>
      <c r="W1008" t="s">
        <v>99</v>
      </c>
      <c r="AF1008" t="s">
        <v>623</v>
      </c>
      <c r="AM1008" t="str">
        <f t="shared" si="116"/>
        <v>Save</v>
      </c>
      <c r="AN1008" t="str">
        <f t="shared" si="117"/>
        <v>Save_Rebound</v>
      </c>
      <c r="AP1008" t="str">
        <f t="shared" si="118"/>
        <v>Defensive</v>
      </c>
      <c r="BB1008" s="23"/>
      <c r="BD1008" s="21"/>
      <c r="BE1008" s="21"/>
      <c r="BF1008" s="21"/>
      <c r="BG1008" s="21"/>
      <c r="BH1008" s="21"/>
      <c r="BI1008" s="21"/>
    </row>
    <row r="1009" spans="1:61" x14ac:dyDescent="0.2">
      <c r="A1009">
        <v>526</v>
      </c>
      <c r="B1009">
        <v>89</v>
      </c>
      <c r="C1009">
        <f t="shared" si="114"/>
        <v>9089</v>
      </c>
      <c r="D1009">
        <f t="shared" si="119"/>
        <v>9089</v>
      </c>
      <c r="H1009">
        <f t="shared" si="115"/>
        <v>1</v>
      </c>
      <c r="R1009">
        <v>25</v>
      </c>
      <c r="T1009" t="str">
        <f t="shared" si="113"/>
        <v>o</v>
      </c>
      <c r="AM1009" t="str">
        <f t="shared" si="116"/>
        <v>Save</v>
      </c>
      <c r="AN1009" t="str">
        <f t="shared" si="117"/>
        <v>Save_Rebound</v>
      </c>
      <c r="AP1009" t="str">
        <f t="shared" si="118"/>
        <v>Offensive</v>
      </c>
      <c r="BB1009" s="23"/>
      <c r="BD1009" s="21"/>
      <c r="BE1009" s="21"/>
      <c r="BF1009" s="21"/>
      <c r="BG1009" s="21"/>
      <c r="BH1009" s="21"/>
      <c r="BI1009" s="21"/>
    </row>
    <row r="1010" spans="1:61" x14ac:dyDescent="0.2">
      <c r="A1010">
        <v>527</v>
      </c>
      <c r="B1010">
        <v>89</v>
      </c>
      <c r="C1010">
        <f t="shared" si="114"/>
        <v>9089</v>
      </c>
      <c r="D1010">
        <f t="shared" si="119"/>
        <v>9089</v>
      </c>
      <c r="H1010">
        <f t="shared" si="115"/>
        <v>1</v>
      </c>
      <c r="I1010" s="5" t="s">
        <v>900</v>
      </c>
      <c r="J1010" s="5" t="s">
        <v>812</v>
      </c>
      <c r="Q1010" t="s">
        <v>620</v>
      </c>
      <c r="R1010">
        <v>39</v>
      </c>
      <c r="S1010">
        <v>1</v>
      </c>
      <c r="T1010" t="str">
        <f t="shared" si="113"/>
        <v>e</v>
      </c>
      <c r="U1010" t="s">
        <v>250</v>
      </c>
      <c r="V1010" t="s">
        <v>251</v>
      </c>
      <c r="AF1010" t="s">
        <v>623</v>
      </c>
      <c r="AM1010" t="str">
        <f t="shared" si="116"/>
        <v>Rebound</v>
      </c>
      <c r="AN1010" t="str">
        <f t="shared" si="117"/>
        <v>Rebound_TeamRecovered</v>
      </c>
      <c r="AP1010" t="str">
        <f t="shared" si="118"/>
        <v>Offensive</v>
      </c>
      <c r="BB1010" s="23"/>
      <c r="BD1010" s="21"/>
      <c r="BE1010" s="21"/>
      <c r="BF1010" s="21"/>
      <c r="BG1010" s="21"/>
      <c r="BH1010" s="21"/>
      <c r="BI1010" s="21"/>
    </row>
    <row r="1011" spans="1:61" x14ac:dyDescent="0.2">
      <c r="A1011">
        <v>528</v>
      </c>
      <c r="B1011">
        <v>89</v>
      </c>
      <c r="C1011">
        <f t="shared" si="114"/>
        <v>9089</v>
      </c>
      <c r="D1011">
        <f t="shared" si="119"/>
        <v>9089</v>
      </c>
      <c r="H1011">
        <f t="shared" si="115"/>
        <v>1</v>
      </c>
      <c r="I1011" s="5" t="s">
        <v>900</v>
      </c>
      <c r="J1011" s="5" t="s">
        <v>812</v>
      </c>
      <c r="Q1011" t="s">
        <v>619</v>
      </c>
      <c r="R1011">
        <v>25</v>
      </c>
      <c r="S1011">
        <v>1</v>
      </c>
      <c r="T1011" t="str">
        <f t="shared" si="113"/>
        <v>e</v>
      </c>
      <c r="U1011" t="s">
        <v>257</v>
      </c>
      <c r="V1011" t="s">
        <v>191</v>
      </c>
      <c r="W1011" t="s">
        <v>901</v>
      </c>
      <c r="X1011" t="s">
        <v>706</v>
      </c>
      <c r="AF1011" t="s">
        <v>635</v>
      </c>
      <c r="AM1011" t="str">
        <f t="shared" si="116"/>
        <v>Zone_Entry_Exit</v>
      </c>
      <c r="AN1011" t="str">
        <f t="shared" si="117"/>
        <v>Zone_Entry</v>
      </c>
      <c r="AP1011" t="str">
        <f t="shared" si="118"/>
        <v>Offensive</v>
      </c>
      <c r="BB1011" s="23"/>
      <c r="BD1011" s="21"/>
      <c r="BE1011" s="21"/>
      <c r="BF1011" s="21"/>
      <c r="BG1011" s="21"/>
      <c r="BH1011" s="21"/>
      <c r="BI1011" s="21"/>
    </row>
    <row r="1012" spans="1:61" x14ac:dyDescent="0.2">
      <c r="A1012">
        <v>529</v>
      </c>
      <c r="B1012" t="s">
        <v>887</v>
      </c>
      <c r="C1012" t="str">
        <f t="shared" si="114"/>
        <v/>
      </c>
      <c r="D1012" t="str">
        <f t="shared" si="119"/>
        <v/>
      </c>
      <c r="H1012">
        <f t="shared" si="115"/>
        <v>1</v>
      </c>
      <c r="I1012" s="5" t="s">
        <v>900</v>
      </c>
      <c r="J1012" s="5" t="s">
        <v>730</v>
      </c>
      <c r="Q1012" t="s">
        <v>620</v>
      </c>
      <c r="R1012">
        <v>84</v>
      </c>
      <c r="S1012">
        <v>1</v>
      </c>
      <c r="T1012" t="str">
        <f t="shared" si="113"/>
        <v>e</v>
      </c>
      <c r="U1012" t="s">
        <v>15</v>
      </c>
      <c r="V1012" t="s">
        <v>697</v>
      </c>
      <c r="X1012" t="s">
        <v>706</v>
      </c>
      <c r="Y1012" t="s">
        <v>683</v>
      </c>
      <c r="AA1012" t="s">
        <v>706</v>
      </c>
      <c r="AF1012" t="s">
        <v>623</v>
      </c>
      <c r="AJ1012">
        <v>1</v>
      </c>
      <c r="AM1012" t="str">
        <f t="shared" si="116"/>
        <v>Possession</v>
      </c>
      <c r="AN1012" t="str">
        <f t="shared" si="117"/>
        <v>PuckRetrieval</v>
      </c>
      <c r="AP1012" t="str">
        <f t="shared" si="118"/>
        <v>Offensive</v>
      </c>
      <c r="BB1012" s="23"/>
      <c r="BD1012" s="21"/>
      <c r="BE1012" s="21"/>
      <c r="BF1012" s="21"/>
      <c r="BG1012" s="21"/>
      <c r="BH1012" s="21"/>
      <c r="BI1012" s="21"/>
    </row>
    <row r="1013" spans="1:61" x14ac:dyDescent="0.2">
      <c r="A1013">
        <v>529</v>
      </c>
      <c r="B1013" t="s">
        <v>887</v>
      </c>
      <c r="C1013" t="str">
        <f t="shared" si="114"/>
        <v/>
      </c>
      <c r="D1013" t="str">
        <f t="shared" si="119"/>
        <v/>
      </c>
      <c r="H1013">
        <f t="shared" si="115"/>
        <v>1</v>
      </c>
      <c r="R1013">
        <v>12</v>
      </c>
      <c r="T1013" t="str">
        <f t="shared" si="113"/>
        <v>o</v>
      </c>
      <c r="AJ1013">
        <v>1</v>
      </c>
      <c r="AM1013" t="str">
        <f t="shared" si="116"/>
        <v>Possession</v>
      </c>
      <c r="AN1013" t="str">
        <f t="shared" si="117"/>
        <v>PuckRetrieval</v>
      </c>
      <c r="AP1013" t="str">
        <f t="shared" si="118"/>
        <v>Defensive</v>
      </c>
      <c r="BB1013" s="23"/>
      <c r="BD1013" s="21"/>
      <c r="BE1013" s="21"/>
      <c r="BF1013" s="21"/>
      <c r="BG1013" s="21"/>
      <c r="BH1013" s="21"/>
      <c r="BI1013" s="21"/>
    </row>
    <row r="1014" spans="1:61" x14ac:dyDescent="0.2">
      <c r="A1014">
        <v>530</v>
      </c>
      <c r="B1014" t="s">
        <v>887</v>
      </c>
      <c r="C1014" t="str">
        <f t="shared" si="114"/>
        <v/>
      </c>
      <c r="D1014" t="str">
        <f t="shared" si="119"/>
        <v/>
      </c>
      <c r="H1014">
        <f t="shared" si="115"/>
        <v>1</v>
      </c>
      <c r="I1014" s="5" t="s">
        <v>900</v>
      </c>
      <c r="J1014" s="5" t="s">
        <v>730</v>
      </c>
      <c r="K1014" s="5" t="s">
        <v>900</v>
      </c>
      <c r="L1014" s="7" t="s">
        <v>731</v>
      </c>
      <c r="Q1014" t="s">
        <v>620</v>
      </c>
      <c r="R1014">
        <v>84</v>
      </c>
      <c r="S1014">
        <v>1</v>
      </c>
      <c r="T1014" t="str">
        <f t="shared" si="113"/>
        <v>e</v>
      </c>
      <c r="U1014" t="s">
        <v>15</v>
      </c>
      <c r="Y1014" t="s">
        <v>679</v>
      </c>
      <c r="AA1014" t="s">
        <v>706</v>
      </c>
      <c r="AF1014" t="s">
        <v>623</v>
      </c>
      <c r="AJ1014">
        <v>1</v>
      </c>
      <c r="AM1014" t="str">
        <f t="shared" si="116"/>
        <v>Possession</v>
      </c>
      <c r="AN1014" t="str">
        <f t="shared" si="117"/>
        <v/>
      </c>
      <c r="AP1014" t="str">
        <f t="shared" si="118"/>
        <v>Offensive</v>
      </c>
      <c r="BB1014" s="23"/>
      <c r="BD1014" s="21"/>
      <c r="BE1014" s="21"/>
      <c r="BF1014" s="21"/>
      <c r="BG1014" s="21"/>
      <c r="BH1014" s="21"/>
      <c r="BI1014" s="21"/>
    </row>
    <row r="1015" spans="1:61" x14ac:dyDescent="0.2">
      <c r="A1015">
        <v>530</v>
      </c>
      <c r="B1015" t="s">
        <v>887</v>
      </c>
      <c r="C1015" t="str">
        <f t="shared" si="114"/>
        <v/>
      </c>
      <c r="D1015" t="str">
        <f t="shared" si="119"/>
        <v/>
      </c>
      <c r="H1015">
        <f t="shared" si="115"/>
        <v>1</v>
      </c>
      <c r="R1015">
        <v>12</v>
      </c>
      <c r="T1015" t="str">
        <f t="shared" si="113"/>
        <v>o</v>
      </c>
      <c r="AJ1015">
        <v>1</v>
      </c>
      <c r="AM1015" t="str">
        <f t="shared" si="116"/>
        <v>Possession</v>
      </c>
      <c r="AN1015" t="str">
        <f t="shared" si="117"/>
        <v/>
      </c>
      <c r="AP1015" t="str">
        <f t="shared" si="118"/>
        <v>Defensive</v>
      </c>
      <c r="BB1015" s="23"/>
      <c r="BD1015" s="21"/>
      <c r="BE1015" s="21"/>
      <c r="BF1015" s="21"/>
      <c r="BG1015" s="21"/>
      <c r="BH1015" s="21"/>
      <c r="BI1015" s="21"/>
    </row>
    <row r="1016" spans="1:61" x14ac:dyDescent="0.2">
      <c r="A1016">
        <v>531</v>
      </c>
      <c r="B1016" t="s">
        <v>887</v>
      </c>
      <c r="C1016" t="str">
        <f t="shared" si="114"/>
        <v/>
      </c>
      <c r="D1016" t="str">
        <f t="shared" si="119"/>
        <v/>
      </c>
      <c r="H1016">
        <f t="shared" si="115"/>
        <v>1</v>
      </c>
      <c r="I1016" s="5" t="s">
        <v>900</v>
      </c>
      <c r="J1016" s="5" t="s">
        <v>731</v>
      </c>
      <c r="K1016" s="5" t="s">
        <v>900</v>
      </c>
      <c r="L1016" s="7" t="s">
        <v>621</v>
      </c>
      <c r="Q1016" t="s">
        <v>620</v>
      </c>
      <c r="R1016">
        <v>84</v>
      </c>
      <c r="S1016">
        <v>1</v>
      </c>
      <c r="T1016" t="str">
        <f t="shared" si="113"/>
        <v>e</v>
      </c>
      <c r="U1016" t="s">
        <v>15</v>
      </c>
      <c r="AF1016" t="s">
        <v>623</v>
      </c>
      <c r="AJ1016">
        <v>1</v>
      </c>
      <c r="AM1016" t="str">
        <f t="shared" si="116"/>
        <v>Possession</v>
      </c>
      <c r="AN1016" t="str">
        <f t="shared" si="117"/>
        <v/>
      </c>
      <c r="AP1016" t="str">
        <f t="shared" si="118"/>
        <v>Offensive</v>
      </c>
      <c r="BB1016" s="23"/>
      <c r="BD1016" s="21"/>
      <c r="BE1016" s="21"/>
      <c r="BF1016" s="21"/>
      <c r="BG1016" s="21"/>
      <c r="BH1016" s="21"/>
      <c r="BI1016" s="21"/>
    </row>
    <row r="1017" spans="1:61" x14ac:dyDescent="0.2">
      <c r="A1017">
        <v>531</v>
      </c>
      <c r="B1017" t="s">
        <v>887</v>
      </c>
      <c r="C1017" t="str">
        <f t="shared" si="114"/>
        <v/>
      </c>
      <c r="D1017" t="str">
        <f t="shared" si="119"/>
        <v/>
      </c>
      <c r="H1017">
        <f t="shared" si="115"/>
        <v>1</v>
      </c>
      <c r="R1017">
        <v>3</v>
      </c>
      <c r="T1017" t="str">
        <f t="shared" si="113"/>
        <v>o</v>
      </c>
      <c r="AJ1017">
        <v>1</v>
      </c>
      <c r="AM1017" t="str">
        <f t="shared" si="116"/>
        <v>Possession</v>
      </c>
      <c r="AN1017" t="str">
        <f t="shared" si="117"/>
        <v/>
      </c>
      <c r="AP1017" t="str">
        <f t="shared" si="118"/>
        <v>Defensive</v>
      </c>
      <c r="BB1017" s="23"/>
      <c r="BD1017" s="21"/>
      <c r="BE1017" s="21"/>
      <c r="BF1017" s="21"/>
      <c r="BG1017" s="21"/>
      <c r="BH1017" s="21"/>
      <c r="BI1017" s="21"/>
    </row>
    <row r="1018" spans="1:61" x14ac:dyDescent="0.2">
      <c r="A1018">
        <v>532</v>
      </c>
      <c r="B1018">
        <v>90</v>
      </c>
      <c r="C1018">
        <f t="shared" si="114"/>
        <v>9090</v>
      </c>
      <c r="D1018">
        <f t="shared" si="119"/>
        <v>9090</v>
      </c>
      <c r="H1018">
        <f t="shared" si="115"/>
        <v>1</v>
      </c>
      <c r="I1018" s="5" t="s">
        <v>900</v>
      </c>
      <c r="J1018" s="5" t="s">
        <v>621</v>
      </c>
      <c r="Q1018" t="s">
        <v>620</v>
      </c>
      <c r="R1018">
        <v>84</v>
      </c>
      <c r="S1018">
        <v>1</v>
      </c>
      <c r="T1018" t="str">
        <f t="shared" si="113"/>
        <v>e</v>
      </c>
      <c r="U1018" t="s">
        <v>8</v>
      </c>
      <c r="V1018" t="s">
        <v>189</v>
      </c>
      <c r="W1018" t="s">
        <v>70</v>
      </c>
      <c r="X1018" t="s">
        <v>706</v>
      </c>
      <c r="AF1018" t="s">
        <v>623</v>
      </c>
      <c r="AJ1018">
        <v>1</v>
      </c>
      <c r="AM1018" t="str">
        <f t="shared" si="116"/>
        <v>Pass</v>
      </c>
      <c r="AN1018" t="str">
        <f t="shared" si="117"/>
        <v>Pass_Completed</v>
      </c>
      <c r="AP1018" t="str">
        <f t="shared" si="118"/>
        <v>Offensive</v>
      </c>
      <c r="BB1018" s="23"/>
      <c r="BD1018" s="21"/>
      <c r="BE1018" s="21"/>
      <c r="BF1018" s="21"/>
      <c r="BG1018" s="21"/>
      <c r="BH1018" s="21"/>
      <c r="BI1018" s="21"/>
    </row>
    <row r="1019" spans="1:61" x14ac:dyDescent="0.2">
      <c r="A1019">
        <v>532</v>
      </c>
      <c r="B1019">
        <v>90</v>
      </c>
      <c r="C1019">
        <f t="shared" si="114"/>
        <v>9090</v>
      </c>
      <c r="D1019">
        <f t="shared" si="119"/>
        <v>9090</v>
      </c>
      <c r="H1019">
        <f t="shared" si="115"/>
        <v>1</v>
      </c>
      <c r="R1019">
        <v>70</v>
      </c>
      <c r="S1019">
        <v>1</v>
      </c>
      <c r="T1019" t="str">
        <f t="shared" si="113"/>
        <v>e</v>
      </c>
      <c r="AM1019" t="str">
        <f t="shared" si="116"/>
        <v>Pass</v>
      </c>
      <c r="AN1019" t="str">
        <f t="shared" si="117"/>
        <v>Pass_Completed</v>
      </c>
      <c r="AP1019" t="str">
        <f t="shared" si="118"/>
        <v>Offensive</v>
      </c>
      <c r="BB1019" s="23"/>
      <c r="BD1019" s="21"/>
      <c r="BE1019" s="21"/>
      <c r="BF1019" s="21"/>
      <c r="BG1019" s="21"/>
      <c r="BH1019" s="21"/>
      <c r="BI1019" s="21"/>
    </row>
    <row r="1020" spans="1:61" x14ac:dyDescent="0.2">
      <c r="A1020">
        <v>532</v>
      </c>
      <c r="B1020">
        <v>90</v>
      </c>
      <c r="C1020">
        <f t="shared" si="114"/>
        <v>9090</v>
      </c>
      <c r="D1020">
        <f t="shared" si="119"/>
        <v>9090</v>
      </c>
      <c r="H1020">
        <f t="shared" si="115"/>
        <v>1</v>
      </c>
      <c r="R1020">
        <v>3</v>
      </c>
      <c r="T1020" t="str">
        <f t="shared" si="113"/>
        <v>o</v>
      </c>
      <c r="Y1020" t="s">
        <v>715</v>
      </c>
      <c r="AJ1020">
        <v>1</v>
      </c>
      <c r="AM1020" t="str">
        <f t="shared" si="116"/>
        <v>Pass</v>
      </c>
      <c r="AN1020" t="str">
        <f t="shared" si="117"/>
        <v>Pass_Completed</v>
      </c>
      <c r="AP1020" t="str">
        <f t="shared" si="118"/>
        <v>Defensive</v>
      </c>
      <c r="BB1020" s="23"/>
      <c r="BD1020" s="21"/>
      <c r="BE1020" s="21"/>
      <c r="BF1020" s="21"/>
      <c r="BG1020" s="21"/>
      <c r="BH1020" s="21"/>
      <c r="BI1020" s="21"/>
    </row>
    <row r="1021" spans="1:61" x14ac:dyDescent="0.2">
      <c r="A1021">
        <v>532</v>
      </c>
      <c r="B1021">
        <v>90</v>
      </c>
      <c r="C1021">
        <f t="shared" si="114"/>
        <v>9090</v>
      </c>
      <c r="D1021">
        <f t="shared" si="119"/>
        <v>9090</v>
      </c>
      <c r="H1021">
        <f t="shared" si="115"/>
        <v>1</v>
      </c>
      <c r="R1021">
        <v>25</v>
      </c>
      <c r="T1021" t="str">
        <f t="shared" si="113"/>
        <v>o</v>
      </c>
      <c r="Y1021" t="s">
        <v>737</v>
      </c>
      <c r="AA1021" t="s">
        <v>705</v>
      </c>
      <c r="AM1021" t="str">
        <f t="shared" si="116"/>
        <v>Pass</v>
      </c>
      <c r="AN1021" t="str">
        <f t="shared" si="117"/>
        <v>Pass_Completed</v>
      </c>
      <c r="AP1021" t="str">
        <f t="shared" si="118"/>
        <v>Defensive</v>
      </c>
      <c r="BB1021" s="23"/>
      <c r="BD1021" s="21"/>
      <c r="BE1021" s="21"/>
      <c r="BF1021" s="21"/>
      <c r="BG1021" s="21"/>
      <c r="BH1021" s="21"/>
      <c r="BI1021" s="21"/>
    </row>
    <row r="1022" spans="1:61" x14ac:dyDescent="0.2">
      <c r="A1022">
        <v>533</v>
      </c>
      <c r="B1022">
        <v>90</v>
      </c>
      <c r="C1022">
        <f t="shared" si="114"/>
        <v>9090</v>
      </c>
      <c r="D1022">
        <f t="shared" si="119"/>
        <v>9090</v>
      </c>
      <c r="H1022">
        <f t="shared" si="115"/>
        <v>1</v>
      </c>
      <c r="I1022" s="5" t="s">
        <v>900</v>
      </c>
      <c r="J1022" s="5" t="s">
        <v>621</v>
      </c>
      <c r="Q1022" t="s">
        <v>620</v>
      </c>
      <c r="R1022">
        <v>84</v>
      </c>
      <c r="S1022">
        <v>1</v>
      </c>
      <c r="T1022" t="str">
        <f t="shared" si="113"/>
        <v>e</v>
      </c>
      <c r="U1022" t="s">
        <v>257</v>
      </c>
      <c r="V1022" t="s">
        <v>201</v>
      </c>
      <c r="W1022" t="s">
        <v>91</v>
      </c>
      <c r="X1022" t="s">
        <v>706</v>
      </c>
      <c r="AF1022" t="s">
        <v>623</v>
      </c>
      <c r="AJ1022">
        <v>1</v>
      </c>
      <c r="AM1022" t="str">
        <f t="shared" si="116"/>
        <v>Zone_Entry_Exit</v>
      </c>
      <c r="AN1022" t="str">
        <f t="shared" si="117"/>
        <v>Zone_Exit</v>
      </c>
      <c r="AP1022" t="str">
        <f t="shared" si="118"/>
        <v>Offensive</v>
      </c>
      <c r="BB1022" s="23"/>
      <c r="BD1022" s="21"/>
      <c r="BE1022" s="21"/>
      <c r="BF1022" s="21"/>
      <c r="BG1022" s="21"/>
      <c r="BH1022" s="21"/>
      <c r="BI1022" s="21"/>
    </row>
    <row r="1023" spans="1:61" x14ac:dyDescent="0.2">
      <c r="A1023">
        <v>533</v>
      </c>
      <c r="B1023">
        <v>90</v>
      </c>
      <c r="C1023">
        <f t="shared" si="114"/>
        <v>9090</v>
      </c>
      <c r="D1023">
        <f t="shared" si="119"/>
        <v>9090</v>
      </c>
      <c r="H1023">
        <f t="shared" si="115"/>
        <v>1</v>
      </c>
      <c r="R1023">
        <v>70</v>
      </c>
      <c r="S1023">
        <v>1</v>
      </c>
      <c r="T1023" t="str">
        <f t="shared" si="113"/>
        <v>e</v>
      </c>
      <c r="AM1023" t="str">
        <f t="shared" si="116"/>
        <v>Zone_Entry_Exit</v>
      </c>
      <c r="AN1023" t="str">
        <f t="shared" si="117"/>
        <v>Zone_Exit</v>
      </c>
      <c r="AP1023" t="str">
        <f t="shared" si="118"/>
        <v>Offensive</v>
      </c>
      <c r="BB1023" s="23"/>
      <c r="BD1023" s="21"/>
      <c r="BE1023" s="21"/>
      <c r="BF1023" s="21"/>
      <c r="BG1023" s="21"/>
      <c r="BH1023" s="21"/>
      <c r="BI1023" s="21"/>
    </row>
    <row r="1024" spans="1:61" x14ac:dyDescent="0.2">
      <c r="A1024">
        <v>533</v>
      </c>
      <c r="B1024">
        <v>90</v>
      </c>
      <c r="C1024">
        <f t="shared" si="114"/>
        <v>9090</v>
      </c>
      <c r="D1024">
        <f t="shared" si="119"/>
        <v>9090</v>
      </c>
      <c r="H1024">
        <f t="shared" si="115"/>
        <v>1</v>
      </c>
      <c r="R1024">
        <v>3</v>
      </c>
      <c r="T1024" t="str">
        <f t="shared" si="113"/>
        <v>o</v>
      </c>
      <c r="Y1024" t="s">
        <v>715</v>
      </c>
      <c r="AJ1024">
        <v>1</v>
      </c>
      <c r="AM1024" t="str">
        <f t="shared" si="116"/>
        <v>Zone_Entry_Exit</v>
      </c>
      <c r="AN1024" t="str">
        <f t="shared" si="117"/>
        <v>Zone_Exit</v>
      </c>
      <c r="AP1024" t="str">
        <f t="shared" si="118"/>
        <v>Defensive</v>
      </c>
      <c r="BB1024" s="23"/>
      <c r="BD1024" s="21"/>
      <c r="BE1024" s="21"/>
      <c r="BF1024" s="21"/>
      <c r="BG1024" s="21"/>
      <c r="BH1024" s="21"/>
      <c r="BI1024" s="21"/>
    </row>
    <row r="1025" spans="1:61" x14ac:dyDescent="0.2">
      <c r="A1025">
        <v>533</v>
      </c>
      <c r="B1025">
        <v>90</v>
      </c>
      <c r="C1025">
        <f t="shared" si="114"/>
        <v>9090</v>
      </c>
      <c r="D1025">
        <f t="shared" si="119"/>
        <v>9090</v>
      </c>
      <c r="H1025">
        <f t="shared" si="115"/>
        <v>1</v>
      </c>
      <c r="R1025">
        <v>25</v>
      </c>
      <c r="T1025" t="str">
        <f t="shared" si="113"/>
        <v>o</v>
      </c>
      <c r="Y1025" t="s">
        <v>737</v>
      </c>
      <c r="AM1025" t="str">
        <f t="shared" si="116"/>
        <v>Zone_Entry_Exit</v>
      </c>
      <c r="AN1025" t="str">
        <f t="shared" si="117"/>
        <v>Zone_Exit</v>
      </c>
      <c r="AP1025" t="str">
        <f t="shared" si="118"/>
        <v>Defensive</v>
      </c>
      <c r="BB1025" s="23"/>
      <c r="BD1025" s="21"/>
      <c r="BE1025" s="21"/>
      <c r="BF1025" s="21"/>
      <c r="BG1025" s="21"/>
      <c r="BH1025" s="21"/>
      <c r="BI1025" s="21"/>
    </row>
    <row r="1026" spans="1:61" x14ac:dyDescent="0.2">
      <c r="A1026">
        <v>534</v>
      </c>
      <c r="B1026">
        <v>91</v>
      </c>
      <c r="C1026">
        <f t="shared" si="114"/>
        <v>9091</v>
      </c>
      <c r="D1026">
        <f t="shared" si="119"/>
        <v>9091</v>
      </c>
      <c r="H1026">
        <f t="shared" si="115"/>
        <v>1</v>
      </c>
      <c r="I1026" s="5" t="s">
        <v>900</v>
      </c>
      <c r="J1026" s="5" t="s">
        <v>743</v>
      </c>
      <c r="Q1026" t="s">
        <v>620</v>
      </c>
      <c r="R1026">
        <v>70</v>
      </c>
      <c r="S1026">
        <v>1</v>
      </c>
      <c r="T1026" t="str">
        <f t="shared" si="113"/>
        <v>e</v>
      </c>
      <c r="U1026" t="s">
        <v>8</v>
      </c>
      <c r="V1026" t="s">
        <v>216</v>
      </c>
      <c r="W1026" t="s">
        <v>69</v>
      </c>
      <c r="X1026" t="s">
        <v>705</v>
      </c>
      <c r="AF1026" t="s">
        <v>635</v>
      </c>
      <c r="AM1026" t="str">
        <f t="shared" si="116"/>
        <v>Pass</v>
      </c>
      <c r="AN1026" t="str">
        <f t="shared" si="117"/>
        <v>Pass_Intercepted</v>
      </c>
      <c r="AP1026" t="str">
        <f t="shared" si="118"/>
        <v>Offensive</v>
      </c>
      <c r="BB1026" s="23"/>
      <c r="BD1026" s="21"/>
      <c r="BE1026" s="21"/>
      <c r="BF1026" s="21"/>
      <c r="BG1026" s="21"/>
      <c r="BH1026" s="21"/>
      <c r="BI1026" s="21"/>
    </row>
    <row r="1027" spans="1:61" x14ac:dyDescent="0.2">
      <c r="A1027">
        <v>534</v>
      </c>
      <c r="B1027">
        <v>91</v>
      </c>
      <c r="C1027">
        <f t="shared" si="114"/>
        <v>9091</v>
      </c>
      <c r="D1027">
        <f t="shared" si="119"/>
        <v>9091</v>
      </c>
      <c r="H1027">
        <f t="shared" si="115"/>
        <v>1</v>
      </c>
      <c r="R1027">
        <v>91</v>
      </c>
      <c r="S1027">
        <v>1</v>
      </c>
      <c r="T1027" t="str">
        <f t="shared" ref="T1027:T1090" si="120">IF(S1027="x","",IF(S1027=1,"e","o"))</f>
        <v>e</v>
      </c>
      <c r="AM1027" t="str">
        <f t="shared" si="116"/>
        <v>Pass</v>
      </c>
      <c r="AN1027" t="str">
        <f t="shared" si="117"/>
        <v>Pass_Intercepted</v>
      </c>
      <c r="AP1027" t="str">
        <f t="shared" si="118"/>
        <v>Offensive</v>
      </c>
      <c r="BB1027" s="23"/>
      <c r="BD1027" s="21"/>
      <c r="BE1027" s="21"/>
      <c r="BF1027" s="21"/>
      <c r="BG1027" s="21"/>
      <c r="BH1027" s="21"/>
      <c r="BI1027" s="21"/>
    </row>
    <row r="1028" spans="1:61" x14ac:dyDescent="0.2">
      <c r="A1028">
        <v>534</v>
      </c>
      <c r="B1028">
        <v>91</v>
      </c>
      <c r="C1028">
        <f t="shared" ref="C1028:C1091" si="121">IF(B1028&lt;&gt;"",9000+B1028,"")</f>
        <v>9091</v>
      </c>
      <c r="D1028">
        <f t="shared" si="119"/>
        <v>9091</v>
      </c>
      <c r="H1028">
        <f t="shared" si="115"/>
        <v>1</v>
      </c>
      <c r="R1028">
        <v>4</v>
      </c>
      <c r="T1028" t="str">
        <f t="shared" si="120"/>
        <v>o</v>
      </c>
      <c r="AM1028" t="str">
        <f t="shared" si="116"/>
        <v>Pass</v>
      </c>
      <c r="AN1028" t="str">
        <f t="shared" si="117"/>
        <v>Pass_Intercepted</v>
      </c>
      <c r="AP1028" t="str">
        <f t="shared" si="118"/>
        <v>Defensive</v>
      </c>
      <c r="BB1028" s="23"/>
      <c r="BD1028" s="21"/>
      <c r="BE1028" s="21"/>
      <c r="BF1028" s="21"/>
      <c r="BG1028" s="21"/>
      <c r="BH1028" s="21"/>
      <c r="BI1028" s="21"/>
    </row>
    <row r="1029" spans="1:61" x14ac:dyDescent="0.2">
      <c r="A1029">
        <v>535</v>
      </c>
      <c r="B1029">
        <v>91</v>
      </c>
      <c r="C1029">
        <f t="shared" si="121"/>
        <v>9091</v>
      </c>
      <c r="D1029">
        <f t="shared" si="119"/>
        <v>9091</v>
      </c>
      <c r="H1029">
        <f t="shared" ref="H1029:H1092" si="122">IF(U1029="Intermission",H1028+1,H1028)</f>
        <v>1</v>
      </c>
      <c r="I1029" s="5" t="s">
        <v>900</v>
      </c>
      <c r="J1029" s="5" t="s">
        <v>743</v>
      </c>
      <c r="Q1029" t="s">
        <v>620</v>
      </c>
      <c r="R1029">
        <v>70</v>
      </c>
      <c r="S1029">
        <v>1</v>
      </c>
      <c r="T1029" t="str">
        <f t="shared" si="120"/>
        <v>e</v>
      </c>
      <c r="U1029" t="s">
        <v>10</v>
      </c>
      <c r="V1029" t="s">
        <v>190</v>
      </c>
      <c r="W1029" t="s">
        <v>75</v>
      </c>
      <c r="AF1029" t="s">
        <v>635</v>
      </c>
      <c r="AM1029" t="str">
        <f t="shared" ref="AM1029:AM1092" si="123">IF(U1029&lt;&gt;"",U1029,IF($A1029=$A1028,AM1028,""))</f>
        <v>Turnover</v>
      </c>
      <c r="AN1029" t="str">
        <f t="shared" ref="AN1029:AN1092" si="124">IF(V1029&lt;&gt;"",V1029,IF($A1029=$A1028,AN1028,""))</f>
        <v>Turnover_Giveaway</v>
      </c>
      <c r="AP1029" t="str">
        <f t="shared" si="118"/>
        <v>Offensive</v>
      </c>
      <c r="BB1029" s="23"/>
      <c r="BD1029" s="21"/>
      <c r="BE1029" s="21"/>
      <c r="BF1029" s="21"/>
      <c r="BG1029" s="21"/>
      <c r="BH1029" s="21"/>
      <c r="BI1029" s="21"/>
    </row>
    <row r="1030" spans="1:61" x14ac:dyDescent="0.2">
      <c r="A1030">
        <v>535</v>
      </c>
      <c r="B1030">
        <v>91</v>
      </c>
      <c r="C1030">
        <f t="shared" si="121"/>
        <v>9091</v>
      </c>
      <c r="D1030">
        <f t="shared" si="119"/>
        <v>9091</v>
      </c>
      <c r="H1030">
        <f t="shared" si="122"/>
        <v>1</v>
      </c>
      <c r="R1030">
        <v>91</v>
      </c>
      <c r="S1030">
        <v>1</v>
      </c>
      <c r="T1030" t="str">
        <f t="shared" si="120"/>
        <v>e</v>
      </c>
      <c r="AM1030" t="str">
        <f t="shared" si="123"/>
        <v>Turnover</v>
      </c>
      <c r="AN1030" t="str">
        <f t="shared" si="124"/>
        <v>Turnover_Giveaway</v>
      </c>
      <c r="AP1030" t="str">
        <f t="shared" ref="AP1030:AP1093" si="125">IF(AND(T1030="e",OR(AM1030="Save",AN1030="Turnover_Takeaway",AN1030="Play_Defensive")),"Defensive",IF(AND(T1030="o",OR(AM1030="Save",AN1030="Turnover_Takeaway",AN1030="Play_Defensive")),"Offensive",IF(OR(AM1030="Deadice",AM1030="Stoppage",AM1030="Intermission"),"",IF(T1030="e","Offensive",IF(T1030="o","Defensive","")))))</f>
        <v>Offensive</v>
      </c>
      <c r="BB1030" s="23"/>
      <c r="BD1030" s="21"/>
      <c r="BE1030" s="21"/>
      <c r="BF1030" s="21"/>
      <c r="BG1030" s="21"/>
      <c r="BH1030" s="21"/>
      <c r="BI1030" s="21"/>
    </row>
    <row r="1031" spans="1:61" x14ac:dyDescent="0.2">
      <c r="A1031">
        <v>535</v>
      </c>
      <c r="B1031">
        <v>91</v>
      </c>
      <c r="C1031">
        <f t="shared" si="121"/>
        <v>9091</v>
      </c>
      <c r="D1031">
        <f t="shared" si="119"/>
        <v>9091</v>
      </c>
      <c r="H1031">
        <f t="shared" si="122"/>
        <v>1</v>
      </c>
      <c r="R1031">
        <v>4</v>
      </c>
      <c r="T1031" t="str">
        <f t="shared" si="120"/>
        <v>o</v>
      </c>
      <c r="AM1031" t="str">
        <f t="shared" si="123"/>
        <v>Turnover</v>
      </c>
      <c r="AN1031" t="str">
        <f t="shared" si="124"/>
        <v>Turnover_Giveaway</v>
      </c>
      <c r="AP1031" t="str">
        <f t="shared" si="125"/>
        <v>Defensive</v>
      </c>
      <c r="BB1031" s="23"/>
      <c r="BD1031" s="21"/>
      <c r="BE1031" s="21"/>
      <c r="BF1031" s="21"/>
      <c r="BG1031" s="21"/>
      <c r="BH1031" s="21"/>
      <c r="BI1031" s="21"/>
    </row>
    <row r="1032" spans="1:61" x14ac:dyDescent="0.2">
      <c r="A1032">
        <v>536</v>
      </c>
      <c r="B1032" t="s">
        <v>887</v>
      </c>
      <c r="C1032" t="str">
        <f t="shared" si="121"/>
        <v/>
      </c>
      <c r="D1032" t="str">
        <f t="shared" si="119"/>
        <v/>
      </c>
      <c r="H1032">
        <f t="shared" si="122"/>
        <v>1</v>
      </c>
      <c r="I1032" s="5" t="s">
        <v>900</v>
      </c>
      <c r="J1032" s="5" t="s">
        <v>743</v>
      </c>
      <c r="K1032" s="5" t="s">
        <v>900</v>
      </c>
      <c r="L1032" s="7" t="s">
        <v>448</v>
      </c>
      <c r="Q1032" t="s">
        <v>619</v>
      </c>
      <c r="R1032">
        <v>4</v>
      </c>
      <c r="S1032">
        <v>1</v>
      </c>
      <c r="T1032" t="str">
        <f t="shared" si="120"/>
        <v>e</v>
      </c>
      <c r="U1032" t="s">
        <v>15</v>
      </c>
      <c r="V1032" t="s">
        <v>684</v>
      </c>
      <c r="X1032" t="s">
        <v>706</v>
      </c>
      <c r="AF1032" t="s">
        <v>635</v>
      </c>
      <c r="AM1032" t="str">
        <f t="shared" si="123"/>
        <v>Possession</v>
      </c>
      <c r="AN1032" t="str">
        <f t="shared" si="124"/>
        <v>Regroup</v>
      </c>
      <c r="AP1032" t="str">
        <f t="shared" si="125"/>
        <v>Offensive</v>
      </c>
      <c r="BB1032" s="23"/>
      <c r="BD1032" s="21"/>
      <c r="BE1032" s="21"/>
      <c r="BF1032" s="21"/>
      <c r="BG1032" s="21"/>
      <c r="BH1032" s="21"/>
      <c r="BI1032" s="21"/>
    </row>
    <row r="1033" spans="1:61" x14ac:dyDescent="0.2">
      <c r="A1033">
        <v>537</v>
      </c>
      <c r="B1033" t="s">
        <v>887</v>
      </c>
      <c r="C1033" t="str">
        <f t="shared" si="121"/>
        <v/>
      </c>
      <c r="D1033" t="str">
        <f t="shared" ref="D1033:D1096" si="126">IF(C1033&lt;&gt;"",C1033,B1033)</f>
        <v/>
      </c>
      <c r="H1033">
        <f t="shared" si="122"/>
        <v>1</v>
      </c>
      <c r="I1033" s="5" t="s">
        <v>900</v>
      </c>
      <c r="J1033" s="5" t="s">
        <v>448</v>
      </c>
      <c r="Q1033" t="s">
        <v>619</v>
      </c>
      <c r="R1033">
        <v>4</v>
      </c>
      <c r="S1033">
        <v>1</v>
      </c>
      <c r="T1033" t="str">
        <f t="shared" si="120"/>
        <v>e</v>
      </c>
      <c r="U1033" t="s">
        <v>8</v>
      </c>
      <c r="V1033" t="s">
        <v>189</v>
      </c>
      <c r="W1033" t="s">
        <v>70</v>
      </c>
      <c r="X1033" t="s">
        <v>706</v>
      </c>
      <c r="AF1033" t="s">
        <v>635</v>
      </c>
      <c r="AM1033" t="str">
        <f t="shared" si="123"/>
        <v>Pass</v>
      </c>
      <c r="AN1033" t="str">
        <f t="shared" si="124"/>
        <v>Pass_Completed</v>
      </c>
      <c r="AP1033" t="str">
        <f t="shared" si="125"/>
        <v>Offensive</v>
      </c>
      <c r="BB1033" s="23"/>
      <c r="BD1033" s="21"/>
      <c r="BE1033" s="21"/>
      <c r="BF1033" s="21"/>
      <c r="BG1033" s="21"/>
      <c r="BH1033" s="21"/>
      <c r="BI1033" s="21"/>
    </row>
    <row r="1034" spans="1:61" x14ac:dyDescent="0.2">
      <c r="A1034">
        <v>537</v>
      </c>
      <c r="B1034" t="s">
        <v>887</v>
      </c>
      <c r="C1034" t="str">
        <f t="shared" si="121"/>
        <v/>
      </c>
      <c r="D1034" t="str">
        <f t="shared" si="126"/>
        <v/>
      </c>
      <c r="H1034">
        <f t="shared" si="122"/>
        <v>1</v>
      </c>
      <c r="R1034">
        <v>56</v>
      </c>
      <c r="S1034">
        <v>1</v>
      </c>
      <c r="T1034" t="str">
        <f t="shared" si="120"/>
        <v>e</v>
      </c>
      <c r="AM1034" t="str">
        <f t="shared" si="123"/>
        <v>Pass</v>
      </c>
      <c r="AN1034" t="str">
        <f t="shared" si="124"/>
        <v>Pass_Completed</v>
      </c>
      <c r="AP1034" t="str">
        <f t="shared" si="125"/>
        <v>Offensive</v>
      </c>
      <c r="BB1034" s="23"/>
      <c r="BD1034" s="21"/>
      <c r="BE1034" s="21"/>
      <c r="BF1034" s="21"/>
      <c r="BG1034" s="21"/>
      <c r="BH1034" s="21"/>
      <c r="BI1034" s="21"/>
    </row>
    <row r="1035" spans="1:61" x14ac:dyDescent="0.2">
      <c r="A1035">
        <v>538</v>
      </c>
      <c r="B1035" t="s">
        <v>887</v>
      </c>
      <c r="C1035" t="str">
        <f t="shared" si="121"/>
        <v/>
      </c>
      <c r="D1035" t="str">
        <f t="shared" si="126"/>
        <v/>
      </c>
      <c r="H1035">
        <f t="shared" si="122"/>
        <v>1</v>
      </c>
      <c r="I1035" s="5" t="s">
        <v>900</v>
      </c>
      <c r="J1035" s="5" t="s">
        <v>448</v>
      </c>
      <c r="K1035" s="5" t="s">
        <v>900</v>
      </c>
      <c r="L1035" s="7" t="s">
        <v>733</v>
      </c>
      <c r="Q1035" t="s">
        <v>619</v>
      </c>
      <c r="R1035">
        <v>56</v>
      </c>
      <c r="S1035">
        <v>1</v>
      </c>
      <c r="T1035" t="str">
        <f t="shared" si="120"/>
        <v>e</v>
      </c>
      <c r="U1035" t="s">
        <v>15</v>
      </c>
      <c r="V1035" t="s">
        <v>684</v>
      </c>
      <c r="X1035" t="s">
        <v>706</v>
      </c>
      <c r="AF1035" t="s">
        <v>635</v>
      </c>
      <c r="AM1035" t="str">
        <f t="shared" si="123"/>
        <v>Possession</v>
      </c>
      <c r="AN1035" t="str">
        <f t="shared" si="124"/>
        <v>Regroup</v>
      </c>
      <c r="AP1035" t="str">
        <f t="shared" si="125"/>
        <v>Offensive</v>
      </c>
      <c r="BB1035" s="23"/>
      <c r="BD1035" s="21"/>
      <c r="BE1035" s="21"/>
      <c r="BF1035" s="21"/>
      <c r="BG1035" s="21"/>
      <c r="BH1035" s="21"/>
      <c r="BI1035" s="21"/>
    </row>
    <row r="1036" spans="1:61" x14ac:dyDescent="0.2">
      <c r="A1036">
        <v>539</v>
      </c>
      <c r="B1036" t="s">
        <v>887</v>
      </c>
      <c r="C1036" t="str">
        <f t="shared" si="121"/>
        <v/>
      </c>
      <c r="D1036" t="str">
        <f t="shared" si="126"/>
        <v/>
      </c>
      <c r="H1036">
        <f t="shared" si="122"/>
        <v>1</v>
      </c>
      <c r="I1036" s="5" t="s">
        <v>900</v>
      </c>
      <c r="J1036" s="5" t="s">
        <v>733</v>
      </c>
      <c r="Q1036" t="s">
        <v>619</v>
      </c>
      <c r="R1036">
        <v>56</v>
      </c>
      <c r="S1036">
        <v>1</v>
      </c>
      <c r="T1036" t="str">
        <f t="shared" si="120"/>
        <v>e</v>
      </c>
      <c r="U1036" t="s">
        <v>8</v>
      </c>
      <c r="V1036" t="s">
        <v>189</v>
      </c>
      <c r="W1036" t="s">
        <v>70</v>
      </c>
      <c r="X1036" t="s">
        <v>706</v>
      </c>
      <c r="AF1036" t="s">
        <v>635</v>
      </c>
      <c r="AM1036" t="str">
        <f t="shared" si="123"/>
        <v>Pass</v>
      </c>
      <c r="AN1036" t="str">
        <f t="shared" si="124"/>
        <v>Pass_Completed</v>
      </c>
      <c r="AP1036" t="str">
        <f t="shared" si="125"/>
        <v>Offensive</v>
      </c>
      <c r="BB1036" s="23"/>
      <c r="BD1036" s="21"/>
      <c r="BE1036" s="21"/>
      <c r="BF1036" s="21"/>
      <c r="BG1036" s="21"/>
      <c r="BH1036" s="21"/>
      <c r="BI1036" s="21"/>
    </row>
    <row r="1037" spans="1:61" x14ac:dyDescent="0.2">
      <c r="A1037">
        <v>539</v>
      </c>
      <c r="B1037" t="s">
        <v>887</v>
      </c>
      <c r="C1037" t="str">
        <f t="shared" si="121"/>
        <v/>
      </c>
      <c r="D1037" t="str">
        <f t="shared" si="126"/>
        <v/>
      </c>
      <c r="H1037">
        <f t="shared" si="122"/>
        <v>1</v>
      </c>
      <c r="R1037">
        <v>4</v>
      </c>
      <c r="S1037">
        <v>1</v>
      </c>
      <c r="T1037" t="str">
        <f t="shared" si="120"/>
        <v>e</v>
      </c>
      <c r="AM1037" t="str">
        <f t="shared" si="123"/>
        <v>Pass</v>
      </c>
      <c r="AN1037" t="str">
        <f t="shared" si="124"/>
        <v>Pass_Completed</v>
      </c>
      <c r="AP1037" t="str">
        <f t="shared" si="125"/>
        <v>Offensive</v>
      </c>
      <c r="BB1037" s="23"/>
      <c r="BD1037" s="21"/>
      <c r="BE1037" s="21"/>
      <c r="BF1037" s="21"/>
      <c r="BG1037" s="21"/>
      <c r="BH1037" s="21"/>
      <c r="BI1037" s="21"/>
    </row>
    <row r="1038" spans="1:61" x14ac:dyDescent="0.2">
      <c r="A1038">
        <v>540</v>
      </c>
      <c r="B1038">
        <v>92</v>
      </c>
      <c r="C1038">
        <f t="shared" si="121"/>
        <v>9092</v>
      </c>
      <c r="D1038">
        <f t="shared" si="126"/>
        <v>9092</v>
      </c>
      <c r="H1038">
        <f t="shared" si="122"/>
        <v>1</v>
      </c>
      <c r="I1038" s="5" t="s">
        <v>900</v>
      </c>
      <c r="J1038" s="5" t="s">
        <v>742</v>
      </c>
      <c r="Q1038" t="s">
        <v>619</v>
      </c>
      <c r="R1038">
        <v>4</v>
      </c>
      <c r="S1038">
        <v>1</v>
      </c>
      <c r="T1038" t="str">
        <f t="shared" si="120"/>
        <v>e</v>
      </c>
      <c r="U1038" t="s">
        <v>8</v>
      </c>
      <c r="V1038" t="s">
        <v>209</v>
      </c>
      <c r="W1038" t="s">
        <v>67</v>
      </c>
      <c r="X1038" t="s">
        <v>705</v>
      </c>
      <c r="AF1038" t="s">
        <v>635</v>
      </c>
      <c r="AM1038" t="str">
        <f t="shared" si="123"/>
        <v>Pass</v>
      </c>
      <c r="AN1038" t="str">
        <f t="shared" si="124"/>
        <v>Pass_Deflected</v>
      </c>
      <c r="AP1038" t="str">
        <f t="shared" si="125"/>
        <v>Offensive</v>
      </c>
      <c r="BB1038" s="23"/>
      <c r="BD1038" s="21"/>
      <c r="BE1038" s="21"/>
      <c r="BF1038" s="21"/>
      <c r="BG1038" s="21"/>
      <c r="BH1038" s="21"/>
      <c r="BI1038" s="21"/>
    </row>
    <row r="1039" spans="1:61" x14ac:dyDescent="0.2">
      <c r="A1039">
        <v>540</v>
      </c>
      <c r="B1039">
        <v>92</v>
      </c>
      <c r="C1039">
        <f t="shared" si="121"/>
        <v>9092</v>
      </c>
      <c r="D1039">
        <f t="shared" si="126"/>
        <v>9092</v>
      </c>
      <c r="H1039">
        <f t="shared" si="122"/>
        <v>1</v>
      </c>
      <c r="R1039">
        <v>70</v>
      </c>
      <c r="T1039" t="str">
        <f t="shared" si="120"/>
        <v>o</v>
      </c>
      <c r="AM1039" t="str">
        <f t="shared" si="123"/>
        <v>Pass</v>
      </c>
      <c r="AN1039" t="str">
        <f t="shared" si="124"/>
        <v>Pass_Deflected</v>
      </c>
      <c r="AP1039" t="str">
        <f t="shared" si="125"/>
        <v>Defensive</v>
      </c>
      <c r="BB1039" s="23"/>
      <c r="BD1039" s="21"/>
      <c r="BE1039" s="21"/>
      <c r="BF1039" s="21"/>
      <c r="BG1039" s="21"/>
      <c r="BH1039" s="21"/>
      <c r="BI1039" s="21"/>
    </row>
    <row r="1040" spans="1:61" x14ac:dyDescent="0.2">
      <c r="A1040">
        <v>541</v>
      </c>
      <c r="B1040">
        <v>92</v>
      </c>
      <c r="C1040">
        <f t="shared" si="121"/>
        <v>9092</v>
      </c>
      <c r="D1040">
        <f t="shared" si="126"/>
        <v>9092</v>
      </c>
      <c r="H1040">
        <f t="shared" si="122"/>
        <v>1</v>
      </c>
      <c r="I1040" s="5" t="s">
        <v>900</v>
      </c>
      <c r="J1040" s="5" t="s">
        <v>735</v>
      </c>
      <c r="Q1040" t="s">
        <v>619</v>
      </c>
      <c r="R1040">
        <v>4</v>
      </c>
      <c r="S1040">
        <v>1</v>
      </c>
      <c r="T1040" t="str">
        <f t="shared" si="120"/>
        <v>e</v>
      </c>
      <c r="U1040" t="s">
        <v>13</v>
      </c>
      <c r="V1040" t="s">
        <v>204</v>
      </c>
      <c r="W1040" t="s">
        <v>107</v>
      </c>
      <c r="AF1040" t="s">
        <v>635</v>
      </c>
      <c r="AM1040" t="str">
        <f t="shared" si="123"/>
        <v>Stoppage</v>
      </c>
      <c r="AN1040" t="str">
        <f t="shared" si="124"/>
        <v>Stoppage_Play</v>
      </c>
      <c r="AP1040" t="str">
        <f t="shared" si="125"/>
        <v/>
      </c>
      <c r="BB1040" s="23"/>
      <c r="BD1040" s="21"/>
      <c r="BE1040" s="21"/>
      <c r="BF1040" s="21"/>
      <c r="BG1040" s="21"/>
      <c r="BH1040" s="21"/>
      <c r="BI1040" s="21"/>
    </row>
    <row r="1041" spans="1:61" x14ac:dyDescent="0.2">
      <c r="A1041">
        <v>542</v>
      </c>
      <c r="B1041">
        <v>92</v>
      </c>
      <c r="C1041">
        <f t="shared" si="121"/>
        <v>9092</v>
      </c>
      <c r="D1041">
        <f t="shared" si="126"/>
        <v>9092</v>
      </c>
      <c r="H1041">
        <f t="shared" si="122"/>
        <v>1</v>
      </c>
      <c r="I1041" s="5" t="s">
        <v>900</v>
      </c>
      <c r="J1041" s="5" t="s">
        <v>735</v>
      </c>
      <c r="K1041" s="5" t="s">
        <v>890</v>
      </c>
      <c r="L1041" s="7" t="s">
        <v>672</v>
      </c>
      <c r="Q1041" t="s">
        <v>619</v>
      </c>
      <c r="R1041">
        <v>4</v>
      </c>
      <c r="S1041">
        <v>1</v>
      </c>
      <c r="T1041" t="str">
        <f t="shared" si="120"/>
        <v>e</v>
      </c>
      <c r="U1041" t="s">
        <v>262</v>
      </c>
      <c r="AF1041" t="s">
        <v>635</v>
      </c>
      <c r="AM1041" t="str">
        <f t="shared" si="123"/>
        <v>DeadIce</v>
      </c>
      <c r="AN1041" t="str">
        <f t="shared" si="124"/>
        <v/>
      </c>
      <c r="AP1041" t="str">
        <f t="shared" si="125"/>
        <v/>
      </c>
      <c r="BB1041" s="23"/>
      <c r="BD1041" s="21"/>
      <c r="BE1041" s="21"/>
      <c r="BF1041" s="21"/>
      <c r="BG1041" s="21"/>
      <c r="BH1041" s="21"/>
      <c r="BI1041" s="21"/>
    </row>
    <row r="1042" spans="1:61" x14ac:dyDescent="0.2">
      <c r="A1042">
        <v>543</v>
      </c>
      <c r="B1042" t="s">
        <v>887</v>
      </c>
      <c r="C1042" t="str">
        <f t="shared" si="121"/>
        <v/>
      </c>
      <c r="D1042" t="str">
        <f t="shared" si="126"/>
        <v/>
      </c>
      <c r="H1042">
        <f t="shared" si="122"/>
        <v>1</v>
      </c>
      <c r="I1042" s="5" t="s">
        <v>890</v>
      </c>
      <c r="J1042" s="5" t="s">
        <v>672</v>
      </c>
      <c r="Q1042" t="s">
        <v>620</v>
      </c>
      <c r="R1042">
        <v>42</v>
      </c>
      <c r="S1042">
        <v>1</v>
      </c>
      <c r="T1042" t="str">
        <f t="shared" si="120"/>
        <v>e</v>
      </c>
      <c r="U1042" t="s">
        <v>6</v>
      </c>
      <c r="V1042" t="s">
        <v>255</v>
      </c>
      <c r="AF1042" t="s">
        <v>635</v>
      </c>
      <c r="AM1042" t="str">
        <f t="shared" si="123"/>
        <v>Faceoff</v>
      </c>
      <c r="AN1042" t="str">
        <f t="shared" si="124"/>
        <v>Faceoff_AfterStoppage</v>
      </c>
      <c r="AP1042" t="str">
        <f t="shared" si="125"/>
        <v>Offensive</v>
      </c>
      <c r="BB1042" s="23"/>
      <c r="BD1042" s="21"/>
      <c r="BE1042" s="21"/>
      <c r="BF1042" s="21"/>
      <c r="BG1042" s="21"/>
      <c r="BH1042" s="21"/>
      <c r="BI1042" s="21"/>
    </row>
    <row r="1043" spans="1:61" x14ac:dyDescent="0.2">
      <c r="A1043">
        <v>543</v>
      </c>
      <c r="B1043" t="s">
        <v>887</v>
      </c>
      <c r="C1043" t="str">
        <f t="shared" si="121"/>
        <v/>
      </c>
      <c r="D1043" t="str">
        <f t="shared" si="126"/>
        <v/>
      </c>
      <c r="H1043">
        <f t="shared" si="122"/>
        <v>1</v>
      </c>
      <c r="R1043">
        <v>22</v>
      </c>
      <c r="S1043">
        <v>1</v>
      </c>
      <c r="T1043" t="str">
        <f t="shared" si="120"/>
        <v>e</v>
      </c>
      <c r="AM1043" t="str">
        <f t="shared" si="123"/>
        <v>Faceoff</v>
      </c>
      <c r="AN1043" t="str">
        <f t="shared" si="124"/>
        <v>Faceoff_AfterStoppage</v>
      </c>
      <c r="AP1043" t="str">
        <f t="shared" si="125"/>
        <v>Offensive</v>
      </c>
      <c r="BB1043" s="23"/>
      <c r="BD1043" s="21"/>
      <c r="BE1043" s="21"/>
      <c r="BF1043" s="21"/>
      <c r="BG1043" s="21"/>
      <c r="BH1043" s="21"/>
      <c r="BI1043" s="21"/>
    </row>
    <row r="1044" spans="1:61" x14ac:dyDescent="0.2">
      <c r="A1044">
        <v>543</v>
      </c>
      <c r="B1044" t="s">
        <v>887</v>
      </c>
      <c r="C1044" t="str">
        <f t="shared" si="121"/>
        <v/>
      </c>
      <c r="D1044" t="str">
        <f t="shared" si="126"/>
        <v/>
      </c>
      <c r="H1044">
        <f t="shared" si="122"/>
        <v>1</v>
      </c>
      <c r="R1044">
        <v>91</v>
      </c>
      <c r="T1044" t="str">
        <f t="shared" si="120"/>
        <v>o</v>
      </c>
      <c r="AM1044" t="str">
        <f t="shared" si="123"/>
        <v>Faceoff</v>
      </c>
      <c r="AN1044" t="str">
        <f t="shared" si="124"/>
        <v>Faceoff_AfterStoppage</v>
      </c>
      <c r="AP1044" t="str">
        <f t="shared" si="125"/>
        <v>Defensive</v>
      </c>
      <c r="BB1044" s="23"/>
      <c r="BD1044" s="21"/>
      <c r="BE1044" s="21"/>
      <c r="BF1044" s="21"/>
      <c r="BG1044" s="21"/>
      <c r="BH1044" s="21"/>
      <c r="BI1044" s="21"/>
    </row>
    <row r="1045" spans="1:61" x14ac:dyDescent="0.2">
      <c r="A1045">
        <v>544</v>
      </c>
      <c r="B1045" t="s">
        <v>887</v>
      </c>
      <c r="C1045" t="str">
        <f t="shared" si="121"/>
        <v/>
      </c>
      <c r="D1045" t="str">
        <f t="shared" si="126"/>
        <v/>
      </c>
      <c r="H1045">
        <f t="shared" si="122"/>
        <v>1</v>
      </c>
      <c r="I1045" s="5" t="s">
        <v>890</v>
      </c>
      <c r="J1045" s="5" t="s">
        <v>713</v>
      </c>
      <c r="K1045" s="5" t="s">
        <v>890</v>
      </c>
      <c r="L1045" s="7" t="s">
        <v>790</v>
      </c>
      <c r="Q1045" t="s">
        <v>620</v>
      </c>
      <c r="R1045">
        <v>42</v>
      </c>
      <c r="S1045">
        <v>1</v>
      </c>
      <c r="T1045" t="str">
        <f t="shared" si="120"/>
        <v>e</v>
      </c>
      <c r="U1045" t="s">
        <v>15</v>
      </c>
      <c r="AF1045" t="s">
        <v>635</v>
      </c>
      <c r="AJ1045">
        <v>1</v>
      </c>
      <c r="AM1045" t="str">
        <f t="shared" si="123"/>
        <v>Possession</v>
      </c>
      <c r="AN1045" t="str">
        <f t="shared" si="124"/>
        <v/>
      </c>
      <c r="AP1045" t="str">
        <f t="shared" si="125"/>
        <v>Offensive</v>
      </c>
      <c r="BB1045" s="23"/>
      <c r="BD1045" s="21"/>
      <c r="BE1045" s="21"/>
      <c r="BF1045" s="21"/>
      <c r="BG1045" s="21"/>
      <c r="BH1045" s="21"/>
      <c r="BI1045" s="21"/>
    </row>
    <row r="1046" spans="1:61" x14ac:dyDescent="0.2">
      <c r="A1046">
        <v>544</v>
      </c>
      <c r="B1046" t="s">
        <v>887</v>
      </c>
      <c r="C1046" t="str">
        <f t="shared" si="121"/>
        <v/>
      </c>
      <c r="D1046" t="str">
        <f t="shared" si="126"/>
        <v/>
      </c>
      <c r="H1046">
        <f t="shared" si="122"/>
        <v>1</v>
      </c>
      <c r="R1046">
        <v>91</v>
      </c>
      <c r="T1046" t="str">
        <f t="shared" si="120"/>
        <v>o</v>
      </c>
      <c r="Y1046" t="s">
        <v>715</v>
      </c>
      <c r="AJ1046">
        <v>1</v>
      </c>
      <c r="AM1046" t="str">
        <f t="shared" si="123"/>
        <v>Possession</v>
      </c>
      <c r="AN1046" t="str">
        <f t="shared" si="124"/>
        <v/>
      </c>
      <c r="AP1046" t="str">
        <f t="shared" si="125"/>
        <v>Defensive</v>
      </c>
      <c r="BB1046" s="23"/>
      <c r="BD1046" s="21"/>
      <c r="BE1046" s="21"/>
      <c r="BF1046" s="21"/>
      <c r="BG1046" s="21"/>
      <c r="BH1046" s="21"/>
      <c r="BI1046" s="21"/>
    </row>
    <row r="1047" spans="1:61" x14ac:dyDescent="0.2">
      <c r="A1047">
        <v>545</v>
      </c>
      <c r="B1047">
        <v>93</v>
      </c>
      <c r="C1047">
        <f t="shared" si="121"/>
        <v>9093</v>
      </c>
      <c r="D1047">
        <f t="shared" si="126"/>
        <v>9093</v>
      </c>
      <c r="H1047">
        <f t="shared" si="122"/>
        <v>1</v>
      </c>
      <c r="I1047" s="5" t="s">
        <v>890</v>
      </c>
      <c r="J1047" s="5" t="s">
        <v>790</v>
      </c>
      <c r="Q1047" t="s">
        <v>620</v>
      </c>
      <c r="R1047">
        <v>42</v>
      </c>
      <c r="S1047">
        <v>1</v>
      </c>
      <c r="T1047" t="str">
        <f t="shared" si="120"/>
        <v>e</v>
      </c>
      <c r="U1047" t="s">
        <v>8</v>
      </c>
      <c r="V1047" t="s">
        <v>199</v>
      </c>
      <c r="W1047" t="s">
        <v>71</v>
      </c>
      <c r="X1047" t="s">
        <v>705</v>
      </c>
      <c r="AF1047" t="s">
        <v>635</v>
      </c>
      <c r="AJ1047">
        <v>1</v>
      </c>
      <c r="AM1047" t="str">
        <f t="shared" si="123"/>
        <v>Pass</v>
      </c>
      <c r="AN1047" t="str">
        <f t="shared" si="124"/>
        <v>Pass_Missed</v>
      </c>
      <c r="AP1047" t="str">
        <f t="shared" si="125"/>
        <v>Offensive</v>
      </c>
      <c r="BB1047" s="23"/>
      <c r="BD1047" s="21"/>
      <c r="BE1047" s="21"/>
      <c r="BF1047" s="21"/>
      <c r="BG1047" s="21"/>
      <c r="BH1047" s="21"/>
      <c r="BI1047" s="21"/>
    </row>
    <row r="1048" spans="1:61" x14ac:dyDescent="0.2">
      <c r="A1048">
        <v>545</v>
      </c>
      <c r="B1048">
        <v>93</v>
      </c>
      <c r="C1048">
        <f t="shared" si="121"/>
        <v>9093</v>
      </c>
      <c r="D1048">
        <f t="shared" si="126"/>
        <v>9093</v>
      </c>
      <c r="H1048">
        <f t="shared" si="122"/>
        <v>1</v>
      </c>
      <c r="R1048">
        <v>61</v>
      </c>
      <c r="S1048">
        <v>1</v>
      </c>
      <c r="T1048" t="str">
        <f t="shared" si="120"/>
        <v>e</v>
      </c>
      <c r="AM1048" t="str">
        <f t="shared" si="123"/>
        <v>Pass</v>
      </c>
      <c r="AN1048" t="str">
        <f t="shared" si="124"/>
        <v>Pass_Missed</v>
      </c>
      <c r="AP1048" t="str">
        <f t="shared" si="125"/>
        <v>Offensive</v>
      </c>
      <c r="BB1048" s="23"/>
      <c r="BD1048" s="21"/>
      <c r="BE1048" s="21"/>
      <c r="BF1048" s="21"/>
      <c r="BG1048" s="21"/>
      <c r="BH1048" s="21"/>
      <c r="BI1048" s="21"/>
    </row>
    <row r="1049" spans="1:61" x14ac:dyDescent="0.2">
      <c r="A1049">
        <v>545</v>
      </c>
      <c r="B1049">
        <v>93</v>
      </c>
      <c r="C1049">
        <f t="shared" si="121"/>
        <v>9093</v>
      </c>
      <c r="D1049">
        <f t="shared" si="126"/>
        <v>9093</v>
      </c>
      <c r="H1049">
        <f t="shared" si="122"/>
        <v>1</v>
      </c>
      <c r="R1049">
        <v>91</v>
      </c>
      <c r="T1049" t="str">
        <f t="shared" si="120"/>
        <v>o</v>
      </c>
      <c r="Y1049" t="s">
        <v>715</v>
      </c>
      <c r="AJ1049">
        <v>1</v>
      </c>
      <c r="AM1049" t="str">
        <f t="shared" si="123"/>
        <v>Pass</v>
      </c>
      <c r="AN1049" t="str">
        <f t="shared" si="124"/>
        <v>Pass_Missed</v>
      </c>
      <c r="AP1049" t="str">
        <f t="shared" si="125"/>
        <v>Defensive</v>
      </c>
      <c r="BB1049" s="23"/>
      <c r="BD1049" s="21"/>
      <c r="BE1049" s="21"/>
      <c r="BF1049" s="21"/>
      <c r="BG1049" s="21"/>
      <c r="BH1049" s="21"/>
      <c r="BI1049" s="21"/>
    </row>
    <row r="1050" spans="1:61" x14ac:dyDescent="0.2">
      <c r="A1050">
        <v>546</v>
      </c>
      <c r="B1050">
        <v>93</v>
      </c>
      <c r="C1050">
        <f t="shared" si="121"/>
        <v>9093</v>
      </c>
      <c r="D1050">
        <f t="shared" si="126"/>
        <v>9093</v>
      </c>
      <c r="H1050">
        <f t="shared" si="122"/>
        <v>1</v>
      </c>
      <c r="I1050" s="5" t="s">
        <v>890</v>
      </c>
      <c r="J1050" s="5" t="s">
        <v>776</v>
      </c>
      <c r="Q1050" t="s">
        <v>620</v>
      </c>
      <c r="R1050">
        <v>42</v>
      </c>
      <c r="S1050">
        <v>1</v>
      </c>
      <c r="T1050" t="str">
        <f t="shared" si="120"/>
        <v>e</v>
      </c>
      <c r="U1050" t="s">
        <v>257</v>
      </c>
      <c r="V1050" t="s">
        <v>191</v>
      </c>
      <c r="W1050" t="s">
        <v>423</v>
      </c>
      <c r="AF1050" t="s">
        <v>635</v>
      </c>
      <c r="AJ1050">
        <v>1</v>
      </c>
      <c r="AM1050" t="str">
        <f t="shared" si="123"/>
        <v>Zone_Entry_Exit</v>
      </c>
      <c r="AN1050" t="str">
        <f t="shared" si="124"/>
        <v>Zone_Entry</v>
      </c>
      <c r="AP1050" t="str">
        <f t="shared" si="125"/>
        <v>Offensive</v>
      </c>
      <c r="BB1050" s="23"/>
      <c r="BD1050" s="21"/>
      <c r="BE1050" s="21"/>
      <c r="BF1050" s="21"/>
      <c r="BG1050" s="21"/>
      <c r="BH1050" s="21"/>
      <c r="BI1050" s="21"/>
    </row>
    <row r="1051" spans="1:61" x14ac:dyDescent="0.2">
      <c r="A1051">
        <v>546</v>
      </c>
      <c r="B1051">
        <v>93</v>
      </c>
      <c r="C1051">
        <f t="shared" si="121"/>
        <v>9093</v>
      </c>
      <c r="D1051">
        <f t="shared" si="126"/>
        <v>9093</v>
      </c>
      <c r="H1051">
        <f t="shared" si="122"/>
        <v>1</v>
      </c>
      <c r="R1051">
        <v>61</v>
      </c>
      <c r="S1051">
        <v>1</v>
      </c>
      <c r="T1051" t="str">
        <f t="shared" si="120"/>
        <v>e</v>
      </c>
      <c r="AM1051" t="str">
        <f t="shared" si="123"/>
        <v>Zone_Entry_Exit</v>
      </c>
      <c r="AN1051" t="str">
        <f t="shared" si="124"/>
        <v>Zone_Entry</v>
      </c>
      <c r="AP1051" t="str">
        <f t="shared" si="125"/>
        <v>Offensive</v>
      </c>
      <c r="BB1051" s="23"/>
      <c r="BD1051" s="21"/>
      <c r="BE1051" s="21"/>
      <c r="BF1051" s="21"/>
      <c r="BG1051" s="21"/>
      <c r="BH1051" s="21"/>
      <c r="BI1051" s="21"/>
    </row>
    <row r="1052" spans="1:61" x14ac:dyDescent="0.2">
      <c r="A1052">
        <v>546</v>
      </c>
      <c r="B1052">
        <v>93</v>
      </c>
      <c r="C1052">
        <f t="shared" si="121"/>
        <v>9093</v>
      </c>
      <c r="D1052">
        <f t="shared" si="126"/>
        <v>9093</v>
      </c>
      <c r="H1052">
        <f t="shared" si="122"/>
        <v>1</v>
      </c>
      <c r="R1052">
        <v>91</v>
      </c>
      <c r="T1052" t="str">
        <f t="shared" si="120"/>
        <v>o</v>
      </c>
      <c r="Y1052" t="s">
        <v>715</v>
      </c>
      <c r="AJ1052">
        <v>1</v>
      </c>
      <c r="AM1052" t="str">
        <f t="shared" si="123"/>
        <v>Zone_Entry_Exit</v>
      </c>
      <c r="AN1052" t="str">
        <f t="shared" si="124"/>
        <v>Zone_Entry</v>
      </c>
      <c r="AP1052" t="str">
        <f t="shared" si="125"/>
        <v>Defensive</v>
      </c>
      <c r="BB1052" s="23"/>
      <c r="BD1052" s="21"/>
      <c r="BE1052" s="21"/>
      <c r="BF1052" s="21"/>
      <c r="BG1052" s="21"/>
      <c r="BH1052" s="21"/>
      <c r="BI1052" s="21"/>
    </row>
    <row r="1053" spans="1:61" x14ac:dyDescent="0.2">
      <c r="A1053">
        <v>547</v>
      </c>
      <c r="B1053" t="s">
        <v>887</v>
      </c>
      <c r="C1053" t="str">
        <f t="shared" si="121"/>
        <v/>
      </c>
      <c r="D1053" t="str">
        <f t="shared" si="126"/>
        <v/>
      </c>
      <c r="H1053">
        <f t="shared" si="122"/>
        <v>1</v>
      </c>
      <c r="I1053" s="5" t="s">
        <v>890</v>
      </c>
      <c r="J1053" s="5" t="s">
        <v>717</v>
      </c>
      <c r="K1053" s="5" t="s">
        <v>890</v>
      </c>
      <c r="L1053" s="7" t="s">
        <v>719</v>
      </c>
      <c r="Q1053" t="s">
        <v>620</v>
      </c>
      <c r="R1053">
        <v>14</v>
      </c>
      <c r="S1053">
        <v>1</v>
      </c>
      <c r="T1053" t="str">
        <f t="shared" si="120"/>
        <v>e</v>
      </c>
      <c r="U1053" t="s">
        <v>15</v>
      </c>
      <c r="V1053" t="s">
        <v>698</v>
      </c>
      <c r="X1053" t="s">
        <v>706</v>
      </c>
      <c r="Y1053" t="s">
        <v>756</v>
      </c>
      <c r="AA1053" t="s">
        <v>706</v>
      </c>
      <c r="AF1053" t="s">
        <v>401</v>
      </c>
      <c r="AM1053" t="str">
        <f t="shared" si="123"/>
        <v>Possession</v>
      </c>
      <c r="AN1053" t="str">
        <f t="shared" si="124"/>
        <v>PuckRecovery</v>
      </c>
      <c r="AP1053" t="str">
        <f t="shared" si="125"/>
        <v>Offensive</v>
      </c>
      <c r="BB1053" s="23"/>
      <c r="BD1053" s="21"/>
      <c r="BE1053" s="21"/>
      <c r="BF1053" s="21"/>
      <c r="BG1053" s="21"/>
      <c r="BH1053" s="21"/>
      <c r="BI1053" s="21"/>
    </row>
    <row r="1054" spans="1:61" x14ac:dyDescent="0.2">
      <c r="A1054">
        <v>547</v>
      </c>
      <c r="B1054" t="s">
        <v>887</v>
      </c>
      <c r="C1054" t="str">
        <f t="shared" si="121"/>
        <v/>
      </c>
      <c r="D1054" t="str">
        <f t="shared" si="126"/>
        <v/>
      </c>
      <c r="H1054">
        <f t="shared" si="122"/>
        <v>1</v>
      </c>
      <c r="R1054">
        <v>89</v>
      </c>
      <c r="T1054" t="str">
        <f t="shared" si="120"/>
        <v>o</v>
      </c>
      <c r="Y1054" t="s">
        <v>848</v>
      </c>
      <c r="AA1054" t="s">
        <v>705</v>
      </c>
      <c r="AM1054" t="str">
        <f t="shared" si="123"/>
        <v>Possession</v>
      </c>
      <c r="AN1054" t="str">
        <f t="shared" si="124"/>
        <v>PuckRecovery</v>
      </c>
      <c r="AP1054" t="str">
        <f t="shared" si="125"/>
        <v>Defensive</v>
      </c>
      <c r="BB1054" s="23"/>
      <c r="BD1054" s="21"/>
      <c r="BE1054" s="21"/>
      <c r="BF1054" s="21"/>
      <c r="BG1054" s="21"/>
      <c r="BH1054" s="21"/>
      <c r="BI1054" s="21"/>
    </row>
    <row r="1055" spans="1:61" x14ac:dyDescent="0.2">
      <c r="A1055">
        <v>548</v>
      </c>
      <c r="B1055">
        <v>94</v>
      </c>
      <c r="C1055">
        <f t="shared" si="121"/>
        <v>9094</v>
      </c>
      <c r="D1055">
        <f t="shared" si="126"/>
        <v>9094</v>
      </c>
      <c r="H1055">
        <f t="shared" si="122"/>
        <v>1</v>
      </c>
      <c r="I1055" s="5" t="s">
        <v>890</v>
      </c>
      <c r="J1055" s="5" t="s">
        <v>719</v>
      </c>
      <c r="Q1055" t="s">
        <v>620</v>
      </c>
      <c r="R1055">
        <v>14</v>
      </c>
      <c r="S1055">
        <v>1</v>
      </c>
      <c r="T1055" t="str">
        <f t="shared" si="120"/>
        <v>e</v>
      </c>
      <c r="U1055" t="s">
        <v>7</v>
      </c>
      <c r="V1055" t="s">
        <v>198</v>
      </c>
      <c r="W1055" t="s">
        <v>53</v>
      </c>
      <c r="X1055" t="s">
        <v>705</v>
      </c>
      <c r="AF1055" t="s">
        <v>401</v>
      </c>
      <c r="AM1055" t="str">
        <f t="shared" si="123"/>
        <v>Shot</v>
      </c>
      <c r="AN1055" t="str">
        <f t="shared" si="124"/>
        <v>Shot_Missed</v>
      </c>
      <c r="AP1055" t="str">
        <f t="shared" si="125"/>
        <v>Offensive</v>
      </c>
      <c r="BB1055" s="23"/>
      <c r="BD1055" s="21"/>
      <c r="BE1055" s="21"/>
      <c r="BF1055" s="21"/>
      <c r="BG1055" s="21"/>
      <c r="BH1055" s="21"/>
      <c r="BI1055" s="21"/>
    </row>
    <row r="1056" spans="1:61" x14ac:dyDescent="0.2">
      <c r="A1056">
        <v>549</v>
      </c>
      <c r="B1056">
        <v>94</v>
      </c>
      <c r="C1056">
        <f t="shared" si="121"/>
        <v>9094</v>
      </c>
      <c r="D1056">
        <f t="shared" si="126"/>
        <v>9094</v>
      </c>
      <c r="H1056">
        <f t="shared" si="122"/>
        <v>1</v>
      </c>
      <c r="I1056" s="5" t="s">
        <v>890</v>
      </c>
      <c r="J1056" s="5" t="s">
        <v>719</v>
      </c>
      <c r="Q1056" t="s">
        <v>620</v>
      </c>
      <c r="R1056">
        <v>14</v>
      </c>
      <c r="S1056">
        <v>1</v>
      </c>
      <c r="T1056" t="str">
        <f t="shared" si="120"/>
        <v>e</v>
      </c>
      <c r="U1056" t="s">
        <v>10</v>
      </c>
      <c r="V1056" t="s">
        <v>190</v>
      </c>
      <c r="W1056" t="s">
        <v>79</v>
      </c>
      <c r="AF1056" t="s">
        <v>401</v>
      </c>
      <c r="AM1056" t="str">
        <f t="shared" si="123"/>
        <v>Turnover</v>
      </c>
      <c r="AN1056" t="str">
        <f t="shared" si="124"/>
        <v>Turnover_Giveaway</v>
      </c>
      <c r="AP1056" t="str">
        <f t="shared" si="125"/>
        <v>Offensive</v>
      </c>
      <c r="BB1056" s="23"/>
      <c r="BD1056" s="21"/>
      <c r="BE1056" s="21"/>
      <c r="BF1056" s="21"/>
      <c r="BG1056" s="21"/>
      <c r="BH1056" s="21"/>
      <c r="BI1056" s="21"/>
    </row>
    <row r="1057" spans="1:61" x14ac:dyDescent="0.2">
      <c r="A1057">
        <v>550</v>
      </c>
      <c r="B1057" t="s">
        <v>887</v>
      </c>
      <c r="C1057" t="str">
        <f t="shared" si="121"/>
        <v/>
      </c>
      <c r="D1057" t="str">
        <f t="shared" si="126"/>
        <v/>
      </c>
      <c r="H1057">
        <f t="shared" si="122"/>
        <v>1</v>
      </c>
      <c r="I1057" s="5" t="s">
        <v>890</v>
      </c>
      <c r="J1057" s="5" t="s">
        <v>721</v>
      </c>
      <c r="Q1057" t="s">
        <v>619</v>
      </c>
      <c r="R1057">
        <v>80</v>
      </c>
      <c r="S1057">
        <v>1</v>
      </c>
      <c r="T1057" t="str">
        <f t="shared" si="120"/>
        <v>e</v>
      </c>
      <c r="U1057" t="s">
        <v>15</v>
      </c>
      <c r="V1057" t="s">
        <v>697</v>
      </c>
      <c r="X1057" t="s">
        <v>706</v>
      </c>
      <c r="AF1057" t="s">
        <v>623</v>
      </c>
      <c r="AM1057" t="str">
        <f t="shared" si="123"/>
        <v>Possession</v>
      </c>
      <c r="AN1057" t="str">
        <f t="shared" si="124"/>
        <v>PuckRetrieval</v>
      </c>
      <c r="AP1057" t="str">
        <f t="shared" si="125"/>
        <v>Offensive</v>
      </c>
      <c r="BB1057" s="23"/>
      <c r="BD1057" s="21"/>
      <c r="BE1057" s="21"/>
      <c r="BF1057" s="21"/>
      <c r="BG1057" s="21"/>
      <c r="BH1057" s="21"/>
      <c r="BI1057" s="21"/>
    </row>
    <row r="1058" spans="1:61" x14ac:dyDescent="0.2">
      <c r="A1058">
        <v>551</v>
      </c>
      <c r="B1058" t="s">
        <v>887</v>
      </c>
      <c r="C1058" t="str">
        <f t="shared" si="121"/>
        <v/>
      </c>
      <c r="D1058" t="str">
        <f t="shared" si="126"/>
        <v/>
      </c>
      <c r="H1058">
        <f t="shared" si="122"/>
        <v>1</v>
      </c>
      <c r="I1058" s="5" t="s">
        <v>890</v>
      </c>
      <c r="J1058" s="5" t="s">
        <v>721</v>
      </c>
      <c r="Q1058" t="s">
        <v>619</v>
      </c>
      <c r="R1058">
        <v>80</v>
      </c>
      <c r="S1058">
        <v>1</v>
      </c>
      <c r="T1058" t="str">
        <f t="shared" si="120"/>
        <v>e</v>
      </c>
      <c r="U1058" t="s">
        <v>257</v>
      </c>
      <c r="V1058" t="s">
        <v>201</v>
      </c>
      <c r="W1058" t="s">
        <v>92</v>
      </c>
      <c r="X1058" t="s">
        <v>706</v>
      </c>
      <c r="AF1058" t="s">
        <v>623</v>
      </c>
      <c r="AM1058" t="str">
        <f t="shared" si="123"/>
        <v>Zone_Entry_Exit</v>
      </c>
      <c r="AN1058" t="str">
        <f t="shared" si="124"/>
        <v>Zone_Exit</v>
      </c>
      <c r="AP1058" t="str">
        <f t="shared" si="125"/>
        <v>Offensive</v>
      </c>
      <c r="BB1058" s="23"/>
      <c r="BD1058" s="21"/>
      <c r="BE1058" s="21"/>
      <c r="BF1058" s="21"/>
      <c r="BG1058" s="21"/>
      <c r="BH1058" s="21"/>
      <c r="BI1058" s="21"/>
    </row>
    <row r="1059" spans="1:61" x14ac:dyDescent="0.2">
      <c r="A1059">
        <v>552</v>
      </c>
      <c r="B1059" t="s">
        <v>887</v>
      </c>
      <c r="C1059" t="str">
        <f t="shared" si="121"/>
        <v/>
      </c>
      <c r="D1059" t="str">
        <f t="shared" si="126"/>
        <v/>
      </c>
      <c r="H1059">
        <f t="shared" si="122"/>
        <v>1</v>
      </c>
      <c r="I1059" s="5" t="s">
        <v>890</v>
      </c>
      <c r="J1059" s="5" t="s">
        <v>721</v>
      </c>
      <c r="Q1059" t="s">
        <v>619</v>
      </c>
      <c r="R1059">
        <v>80</v>
      </c>
      <c r="S1059">
        <v>1</v>
      </c>
      <c r="T1059" t="str">
        <f t="shared" si="120"/>
        <v>e</v>
      </c>
      <c r="U1059" t="s">
        <v>10</v>
      </c>
      <c r="V1059" t="s">
        <v>190</v>
      </c>
      <c r="W1059" t="s">
        <v>387</v>
      </c>
      <c r="AF1059" t="s">
        <v>623</v>
      </c>
      <c r="AM1059" t="str">
        <f t="shared" si="123"/>
        <v>Turnover</v>
      </c>
      <c r="AN1059" t="str">
        <f t="shared" si="124"/>
        <v>Turnover_Giveaway</v>
      </c>
      <c r="AP1059" t="str">
        <f t="shared" si="125"/>
        <v>Offensive</v>
      </c>
      <c r="BB1059" s="23"/>
      <c r="BD1059" s="21"/>
      <c r="BE1059" s="21"/>
      <c r="BF1059" s="21"/>
      <c r="BG1059" s="21"/>
      <c r="BH1059" s="21"/>
      <c r="BI1059" s="21"/>
    </row>
    <row r="1060" spans="1:61" x14ac:dyDescent="0.2">
      <c r="A1060">
        <v>563</v>
      </c>
      <c r="B1060" t="s">
        <v>887</v>
      </c>
      <c r="C1060" t="str">
        <f t="shared" si="121"/>
        <v/>
      </c>
      <c r="D1060" t="str">
        <f t="shared" si="126"/>
        <v/>
      </c>
      <c r="H1060">
        <f t="shared" si="122"/>
        <v>1</v>
      </c>
      <c r="I1060" s="5" t="s">
        <v>890</v>
      </c>
      <c r="J1060" s="5" t="s">
        <v>759</v>
      </c>
      <c r="Q1060" t="s">
        <v>620</v>
      </c>
      <c r="R1060">
        <v>9</v>
      </c>
      <c r="S1060">
        <v>1</v>
      </c>
      <c r="T1060" t="str">
        <f t="shared" si="120"/>
        <v>e</v>
      </c>
      <c r="U1060" t="s">
        <v>15</v>
      </c>
      <c r="V1060" t="s">
        <v>697</v>
      </c>
      <c r="X1060" t="s">
        <v>706</v>
      </c>
      <c r="Y1060" t="s">
        <v>712</v>
      </c>
      <c r="AA1060" t="s">
        <v>706</v>
      </c>
      <c r="AF1060" t="s">
        <v>635</v>
      </c>
      <c r="AJ1060">
        <v>1</v>
      </c>
      <c r="AM1060" t="str">
        <f t="shared" si="123"/>
        <v>Possession</v>
      </c>
      <c r="AN1060" t="str">
        <f t="shared" si="124"/>
        <v>PuckRetrieval</v>
      </c>
      <c r="AP1060" t="str">
        <f t="shared" si="125"/>
        <v>Offensive</v>
      </c>
      <c r="BB1060" s="23"/>
      <c r="BD1060" s="21"/>
      <c r="BE1060" s="21"/>
      <c r="BF1060" s="21"/>
      <c r="BG1060" s="21"/>
      <c r="BH1060" s="21"/>
      <c r="BI1060" s="21"/>
    </row>
    <row r="1061" spans="1:61" x14ac:dyDescent="0.2">
      <c r="A1061">
        <v>563</v>
      </c>
      <c r="B1061" t="s">
        <v>887</v>
      </c>
      <c r="C1061" t="str">
        <f t="shared" si="121"/>
        <v/>
      </c>
      <c r="D1061" t="str">
        <f t="shared" si="126"/>
        <v/>
      </c>
      <c r="H1061">
        <f t="shared" si="122"/>
        <v>1</v>
      </c>
      <c r="R1061">
        <v>91</v>
      </c>
      <c r="T1061" t="str">
        <f t="shared" si="120"/>
        <v>o</v>
      </c>
      <c r="AJ1061">
        <v>1</v>
      </c>
      <c r="AM1061" t="str">
        <f t="shared" si="123"/>
        <v>Possession</v>
      </c>
      <c r="AN1061" t="str">
        <f t="shared" si="124"/>
        <v>PuckRetrieval</v>
      </c>
      <c r="AP1061" t="str">
        <f t="shared" si="125"/>
        <v>Defensive</v>
      </c>
      <c r="BB1061" s="23"/>
      <c r="BD1061" s="21"/>
      <c r="BE1061" s="21"/>
      <c r="BF1061" s="21"/>
      <c r="BG1061" s="21"/>
      <c r="BH1061" s="21"/>
      <c r="BI1061" s="21"/>
    </row>
    <row r="1062" spans="1:61" x14ac:dyDescent="0.2">
      <c r="A1062">
        <v>564</v>
      </c>
      <c r="B1062" t="s">
        <v>887</v>
      </c>
      <c r="C1062" t="str">
        <f t="shared" si="121"/>
        <v/>
      </c>
      <c r="D1062" t="str">
        <f t="shared" si="126"/>
        <v/>
      </c>
      <c r="H1062">
        <f t="shared" si="122"/>
        <v>1</v>
      </c>
      <c r="I1062" s="5" t="s">
        <v>890</v>
      </c>
      <c r="J1062" s="5" t="s">
        <v>759</v>
      </c>
      <c r="K1062" s="5" t="s">
        <v>890</v>
      </c>
      <c r="L1062" s="7" t="s">
        <v>727</v>
      </c>
      <c r="Q1062" t="s">
        <v>620</v>
      </c>
      <c r="R1062">
        <v>9</v>
      </c>
      <c r="S1062">
        <v>1</v>
      </c>
      <c r="T1062" t="str">
        <f t="shared" si="120"/>
        <v>e</v>
      </c>
      <c r="U1062" t="s">
        <v>15</v>
      </c>
      <c r="Y1062" t="s">
        <v>767</v>
      </c>
      <c r="AA1062" t="s">
        <v>706</v>
      </c>
      <c r="AF1062" t="s">
        <v>635</v>
      </c>
      <c r="AJ1062">
        <v>1</v>
      </c>
      <c r="AM1062" t="str">
        <f t="shared" si="123"/>
        <v>Possession</v>
      </c>
      <c r="AN1062" t="str">
        <f t="shared" si="124"/>
        <v/>
      </c>
      <c r="AP1062" t="str">
        <f t="shared" si="125"/>
        <v>Offensive</v>
      </c>
      <c r="BB1062" s="23"/>
      <c r="BD1062" s="21"/>
      <c r="BE1062" s="21"/>
      <c r="BF1062" s="21"/>
      <c r="BG1062" s="21"/>
      <c r="BH1062" s="21"/>
      <c r="BI1062" s="21"/>
    </row>
    <row r="1063" spans="1:61" x14ac:dyDescent="0.2">
      <c r="A1063">
        <v>564</v>
      </c>
      <c r="B1063" t="s">
        <v>887</v>
      </c>
      <c r="C1063" t="str">
        <f t="shared" si="121"/>
        <v/>
      </c>
      <c r="D1063" t="str">
        <f t="shared" si="126"/>
        <v/>
      </c>
      <c r="H1063">
        <f t="shared" si="122"/>
        <v>1</v>
      </c>
      <c r="R1063">
        <v>89</v>
      </c>
      <c r="T1063" t="str">
        <f t="shared" si="120"/>
        <v>o</v>
      </c>
      <c r="Y1063" t="s">
        <v>764</v>
      </c>
      <c r="AA1063" t="s">
        <v>705</v>
      </c>
      <c r="AJ1063">
        <v>1</v>
      </c>
      <c r="AM1063" t="str">
        <f t="shared" si="123"/>
        <v>Possession</v>
      </c>
      <c r="AN1063" t="str">
        <f t="shared" si="124"/>
        <v/>
      </c>
      <c r="AP1063" t="str">
        <f t="shared" si="125"/>
        <v>Defensive</v>
      </c>
      <c r="BB1063" s="23"/>
      <c r="BD1063" s="21"/>
      <c r="BE1063" s="21"/>
      <c r="BF1063" s="21"/>
      <c r="BG1063" s="21"/>
      <c r="BH1063" s="21"/>
      <c r="BI1063" s="21"/>
    </row>
    <row r="1064" spans="1:61" x14ac:dyDescent="0.2">
      <c r="A1064">
        <v>565</v>
      </c>
      <c r="B1064" t="s">
        <v>887</v>
      </c>
      <c r="C1064" t="str">
        <f t="shared" si="121"/>
        <v/>
      </c>
      <c r="D1064" t="str">
        <f t="shared" si="126"/>
        <v/>
      </c>
      <c r="H1064">
        <f t="shared" si="122"/>
        <v>1</v>
      </c>
      <c r="I1064" s="5" t="s">
        <v>890</v>
      </c>
      <c r="J1064" s="5" t="s">
        <v>727</v>
      </c>
      <c r="K1064" s="5" t="s">
        <v>890</v>
      </c>
      <c r="L1064" s="7" t="s">
        <v>730</v>
      </c>
      <c r="Q1064" t="s">
        <v>620</v>
      </c>
      <c r="R1064">
        <v>9</v>
      </c>
      <c r="S1064">
        <v>1</v>
      </c>
      <c r="T1064" t="str">
        <f t="shared" si="120"/>
        <v>e</v>
      </c>
      <c r="U1064" t="s">
        <v>257</v>
      </c>
      <c r="V1064" t="s">
        <v>191</v>
      </c>
      <c r="W1064" t="s">
        <v>87</v>
      </c>
      <c r="X1064" t="s">
        <v>706</v>
      </c>
      <c r="Y1064" t="s">
        <v>677</v>
      </c>
      <c r="AA1064" t="s">
        <v>706</v>
      </c>
      <c r="AF1064" t="s">
        <v>401</v>
      </c>
      <c r="AM1064" t="str">
        <f t="shared" si="123"/>
        <v>Zone_Entry_Exit</v>
      </c>
      <c r="AN1064" t="str">
        <f t="shared" si="124"/>
        <v>Zone_Entry</v>
      </c>
      <c r="AP1064" t="str">
        <f t="shared" si="125"/>
        <v>Offensive</v>
      </c>
      <c r="BB1064" s="23"/>
      <c r="BD1064" s="21"/>
      <c r="BE1064" s="21"/>
      <c r="BF1064" s="21"/>
      <c r="BG1064" s="21"/>
      <c r="BH1064" s="21"/>
      <c r="BI1064" s="21"/>
    </row>
    <row r="1065" spans="1:61" x14ac:dyDescent="0.2">
      <c r="A1065">
        <v>565</v>
      </c>
      <c r="B1065" t="s">
        <v>887</v>
      </c>
      <c r="C1065" t="str">
        <f t="shared" si="121"/>
        <v/>
      </c>
      <c r="D1065" t="str">
        <f t="shared" si="126"/>
        <v/>
      </c>
      <c r="H1065">
        <f t="shared" si="122"/>
        <v>1</v>
      </c>
      <c r="R1065">
        <v>25</v>
      </c>
      <c r="T1065" t="str">
        <f t="shared" si="120"/>
        <v>o</v>
      </c>
      <c r="Y1065" t="s">
        <v>893</v>
      </c>
      <c r="AM1065" t="str">
        <f t="shared" si="123"/>
        <v>Zone_Entry_Exit</v>
      </c>
      <c r="AN1065" t="str">
        <f t="shared" si="124"/>
        <v>Zone_Entry</v>
      </c>
      <c r="AP1065" t="str">
        <f t="shared" si="125"/>
        <v>Defensive</v>
      </c>
      <c r="BB1065" s="23"/>
      <c r="BD1065" s="21"/>
      <c r="BE1065" s="21"/>
      <c r="BF1065" s="21"/>
      <c r="BG1065" s="21"/>
      <c r="BH1065" s="21"/>
      <c r="BI1065" s="21"/>
    </row>
    <row r="1066" spans="1:61" x14ac:dyDescent="0.2">
      <c r="A1066">
        <v>566</v>
      </c>
      <c r="B1066">
        <v>95</v>
      </c>
      <c r="C1066">
        <f t="shared" si="121"/>
        <v>9095</v>
      </c>
      <c r="D1066">
        <f t="shared" si="126"/>
        <v>9095</v>
      </c>
      <c r="H1066">
        <f t="shared" si="122"/>
        <v>1</v>
      </c>
      <c r="I1066" s="5" t="s">
        <v>890</v>
      </c>
      <c r="J1066" s="5" t="s">
        <v>730</v>
      </c>
      <c r="Q1066" t="s">
        <v>620</v>
      </c>
      <c r="R1066">
        <v>9</v>
      </c>
      <c r="S1066">
        <v>1</v>
      </c>
      <c r="T1066" t="str">
        <f t="shared" si="120"/>
        <v>e</v>
      </c>
      <c r="U1066" t="s">
        <v>7</v>
      </c>
      <c r="V1066" t="s">
        <v>222</v>
      </c>
      <c r="W1066" t="s">
        <v>53</v>
      </c>
      <c r="X1066" t="s">
        <v>706</v>
      </c>
      <c r="AF1066" t="s">
        <v>401</v>
      </c>
      <c r="AJ1066">
        <v>1</v>
      </c>
      <c r="AM1066" t="str">
        <f t="shared" si="123"/>
        <v>Shot</v>
      </c>
      <c r="AN1066" t="str">
        <f t="shared" si="124"/>
        <v>Shot_OnNetSaved</v>
      </c>
      <c r="AP1066" t="str">
        <f t="shared" si="125"/>
        <v>Offensive</v>
      </c>
      <c r="BB1066" s="23"/>
      <c r="BD1066" s="21"/>
      <c r="BE1066" s="21"/>
      <c r="BF1066" s="21"/>
      <c r="BG1066" s="21"/>
      <c r="BH1066" s="21"/>
      <c r="BI1066" s="21"/>
    </row>
    <row r="1067" spans="1:61" x14ac:dyDescent="0.2">
      <c r="A1067">
        <v>566</v>
      </c>
      <c r="B1067">
        <v>95</v>
      </c>
      <c r="C1067">
        <f t="shared" si="121"/>
        <v>9095</v>
      </c>
      <c r="D1067">
        <f t="shared" si="126"/>
        <v>9095</v>
      </c>
      <c r="H1067">
        <f t="shared" si="122"/>
        <v>1</v>
      </c>
      <c r="R1067">
        <v>30</v>
      </c>
      <c r="T1067" t="str">
        <f t="shared" si="120"/>
        <v>o</v>
      </c>
      <c r="AM1067" t="str">
        <f t="shared" si="123"/>
        <v>Shot</v>
      </c>
      <c r="AN1067" t="str">
        <f t="shared" si="124"/>
        <v>Shot_OnNetSaved</v>
      </c>
      <c r="AP1067" t="str">
        <f t="shared" si="125"/>
        <v>Defensive</v>
      </c>
      <c r="BB1067" s="23"/>
      <c r="BD1067" s="21"/>
      <c r="BE1067" s="21"/>
      <c r="BF1067" s="21"/>
      <c r="BG1067" s="21"/>
      <c r="BH1067" s="21"/>
      <c r="BI1067" s="21"/>
    </row>
    <row r="1068" spans="1:61" x14ac:dyDescent="0.2">
      <c r="A1068">
        <v>566</v>
      </c>
      <c r="B1068">
        <v>95</v>
      </c>
      <c r="C1068">
        <f t="shared" si="121"/>
        <v>9095</v>
      </c>
      <c r="D1068">
        <f t="shared" si="126"/>
        <v>9095</v>
      </c>
      <c r="H1068">
        <f t="shared" si="122"/>
        <v>1</v>
      </c>
      <c r="R1068">
        <v>25</v>
      </c>
      <c r="T1068" t="str">
        <f t="shared" si="120"/>
        <v>o</v>
      </c>
      <c r="Y1068" t="s">
        <v>715</v>
      </c>
      <c r="AA1068" t="s">
        <v>705</v>
      </c>
      <c r="AJ1068">
        <v>1</v>
      </c>
      <c r="AM1068" t="str">
        <f t="shared" si="123"/>
        <v>Shot</v>
      </c>
      <c r="AN1068" t="str">
        <f t="shared" si="124"/>
        <v>Shot_OnNetSaved</v>
      </c>
      <c r="AP1068" t="str">
        <f t="shared" si="125"/>
        <v>Defensive</v>
      </c>
      <c r="BB1068" s="23"/>
      <c r="BD1068" s="21"/>
      <c r="BE1068" s="21"/>
      <c r="BF1068" s="21"/>
      <c r="BG1068" s="21"/>
      <c r="BH1068" s="21"/>
      <c r="BI1068" s="21"/>
    </row>
    <row r="1069" spans="1:61" x14ac:dyDescent="0.2">
      <c r="A1069">
        <v>567</v>
      </c>
      <c r="B1069">
        <v>95</v>
      </c>
      <c r="C1069">
        <f t="shared" si="121"/>
        <v>9095</v>
      </c>
      <c r="D1069">
        <f t="shared" si="126"/>
        <v>9095</v>
      </c>
      <c r="H1069">
        <f t="shared" si="122"/>
        <v>1</v>
      </c>
      <c r="I1069" s="5" t="s">
        <v>890</v>
      </c>
      <c r="J1069" s="5" t="s">
        <v>730</v>
      </c>
      <c r="Q1069" t="s">
        <v>619</v>
      </c>
      <c r="R1069">
        <v>30</v>
      </c>
      <c r="S1069">
        <v>1</v>
      </c>
      <c r="T1069" t="str">
        <f t="shared" si="120"/>
        <v>e</v>
      </c>
      <c r="U1069" t="s">
        <v>17</v>
      </c>
      <c r="V1069" t="s">
        <v>196</v>
      </c>
      <c r="W1069" t="s">
        <v>96</v>
      </c>
      <c r="AF1069" t="s">
        <v>623</v>
      </c>
      <c r="AM1069" t="str">
        <f t="shared" si="123"/>
        <v>Save</v>
      </c>
      <c r="AN1069" t="str">
        <f t="shared" si="124"/>
        <v>Save_Rebound</v>
      </c>
      <c r="AP1069" t="str">
        <f t="shared" si="125"/>
        <v>Defensive</v>
      </c>
      <c r="BB1069" s="23"/>
      <c r="BD1069" s="21"/>
      <c r="BE1069" s="21"/>
      <c r="BF1069" s="21"/>
      <c r="BG1069" s="21"/>
      <c r="BH1069" s="21"/>
      <c r="BI1069" s="21"/>
    </row>
    <row r="1070" spans="1:61" x14ac:dyDescent="0.2">
      <c r="A1070">
        <v>567</v>
      </c>
      <c r="B1070">
        <v>95</v>
      </c>
      <c r="C1070">
        <f t="shared" si="121"/>
        <v>9095</v>
      </c>
      <c r="D1070">
        <f t="shared" si="126"/>
        <v>9095</v>
      </c>
      <c r="H1070">
        <f t="shared" si="122"/>
        <v>1</v>
      </c>
      <c r="R1070">
        <v>25</v>
      </c>
      <c r="S1070">
        <v>1</v>
      </c>
      <c r="T1070" t="str">
        <f t="shared" si="120"/>
        <v>e</v>
      </c>
      <c r="AM1070" t="str">
        <f t="shared" si="123"/>
        <v>Save</v>
      </c>
      <c r="AN1070" t="str">
        <f t="shared" si="124"/>
        <v>Save_Rebound</v>
      </c>
      <c r="AP1070" t="str">
        <f t="shared" si="125"/>
        <v>Defensive</v>
      </c>
      <c r="BB1070" s="23"/>
      <c r="BD1070" s="21"/>
      <c r="BE1070" s="21"/>
      <c r="BF1070" s="21"/>
      <c r="BG1070" s="21"/>
      <c r="BH1070" s="21"/>
      <c r="BI1070" s="21"/>
    </row>
    <row r="1071" spans="1:61" x14ac:dyDescent="0.2">
      <c r="A1071">
        <v>567</v>
      </c>
      <c r="B1071">
        <v>95</v>
      </c>
      <c r="C1071">
        <f t="shared" si="121"/>
        <v>9095</v>
      </c>
      <c r="D1071">
        <f t="shared" si="126"/>
        <v>9095</v>
      </c>
      <c r="H1071">
        <f t="shared" si="122"/>
        <v>1</v>
      </c>
      <c r="R1071">
        <v>9</v>
      </c>
      <c r="T1071" t="str">
        <f t="shared" si="120"/>
        <v>o</v>
      </c>
      <c r="AM1071" t="str">
        <f t="shared" si="123"/>
        <v>Save</v>
      </c>
      <c r="AN1071" t="str">
        <f t="shared" si="124"/>
        <v>Save_Rebound</v>
      </c>
      <c r="AP1071" t="str">
        <f t="shared" si="125"/>
        <v>Offensive</v>
      </c>
      <c r="BB1071" s="23"/>
      <c r="BD1071" s="21"/>
      <c r="BE1071" s="21"/>
      <c r="BF1071" s="21"/>
      <c r="BG1071" s="21"/>
      <c r="BH1071" s="21"/>
      <c r="BI1071" s="21"/>
    </row>
    <row r="1072" spans="1:61" x14ac:dyDescent="0.2">
      <c r="A1072">
        <v>568</v>
      </c>
      <c r="B1072">
        <v>95</v>
      </c>
      <c r="C1072">
        <f t="shared" si="121"/>
        <v>9095</v>
      </c>
      <c r="D1072">
        <f t="shared" si="126"/>
        <v>9095</v>
      </c>
      <c r="H1072">
        <f t="shared" si="122"/>
        <v>1</v>
      </c>
      <c r="I1072" s="5" t="s">
        <v>890</v>
      </c>
      <c r="J1072" s="5" t="s">
        <v>730</v>
      </c>
      <c r="Q1072" t="s">
        <v>619</v>
      </c>
      <c r="R1072" s="20">
        <v>30</v>
      </c>
      <c r="S1072">
        <v>1</v>
      </c>
      <c r="T1072" t="str">
        <f t="shared" si="120"/>
        <v>e</v>
      </c>
      <c r="U1072" t="s">
        <v>250</v>
      </c>
      <c r="V1072" t="s">
        <v>251</v>
      </c>
      <c r="AF1072" t="s">
        <v>623</v>
      </c>
      <c r="AM1072" t="str">
        <f t="shared" si="123"/>
        <v>Rebound</v>
      </c>
      <c r="AN1072" t="str">
        <f t="shared" si="124"/>
        <v>Rebound_TeamRecovered</v>
      </c>
      <c r="AP1072" t="str">
        <f t="shared" si="125"/>
        <v>Offensive</v>
      </c>
      <c r="BB1072" s="23"/>
      <c r="BD1072" s="21"/>
      <c r="BE1072" s="21"/>
      <c r="BF1072" s="21"/>
      <c r="BG1072" s="21"/>
      <c r="BH1072" s="21"/>
      <c r="BI1072" s="21"/>
    </row>
    <row r="1073" spans="1:61" x14ac:dyDescent="0.2">
      <c r="A1073">
        <v>569</v>
      </c>
      <c r="B1073" t="s">
        <v>887</v>
      </c>
      <c r="C1073" t="str">
        <f t="shared" si="121"/>
        <v/>
      </c>
      <c r="D1073" t="str">
        <f t="shared" si="126"/>
        <v/>
      </c>
      <c r="H1073">
        <f t="shared" si="122"/>
        <v>1</v>
      </c>
      <c r="I1073" s="5" t="s">
        <v>890</v>
      </c>
      <c r="J1073" s="5" t="s">
        <v>782</v>
      </c>
      <c r="K1073" s="5" t="s">
        <v>890</v>
      </c>
      <c r="L1073" s="7" t="s">
        <v>743</v>
      </c>
      <c r="Q1073" t="s">
        <v>619</v>
      </c>
      <c r="R1073">
        <v>25</v>
      </c>
      <c r="S1073">
        <v>1</v>
      </c>
      <c r="T1073" t="str">
        <f t="shared" si="120"/>
        <v>e</v>
      </c>
      <c r="U1073" t="s">
        <v>15</v>
      </c>
      <c r="V1073" t="s">
        <v>698</v>
      </c>
      <c r="X1073" t="s">
        <v>706</v>
      </c>
      <c r="Y1073" t="s">
        <v>808</v>
      </c>
      <c r="AA1073" t="s">
        <v>706</v>
      </c>
      <c r="AF1073" t="s">
        <v>623</v>
      </c>
      <c r="AM1073" t="str">
        <f t="shared" si="123"/>
        <v>Possession</v>
      </c>
      <c r="AN1073" t="str">
        <f t="shared" si="124"/>
        <v>PuckRecovery</v>
      </c>
      <c r="AP1073" t="str">
        <f t="shared" si="125"/>
        <v>Offensive</v>
      </c>
      <c r="BB1073" s="23"/>
      <c r="BD1073" s="21"/>
      <c r="BE1073" s="21"/>
      <c r="BF1073" s="21"/>
      <c r="BG1073" s="21"/>
      <c r="BH1073" s="21"/>
      <c r="BI1073" s="21"/>
    </row>
    <row r="1074" spans="1:61" x14ac:dyDescent="0.2">
      <c r="A1074">
        <v>570</v>
      </c>
      <c r="B1074" t="s">
        <v>887</v>
      </c>
      <c r="C1074" t="str">
        <f t="shared" si="121"/>
        <v/>
      </c>
      <c r="D1074" t="str">
        <f t="shared" si="126"/>
        <v/>
      </c>
      <c r="H1074">
        <f t="shared" si="122"/>
        <v>1</v>
      </c>
      <c r="I1074" s="5" t="s">
        <v>890</v>
      </c>
      <c r="J1074" s="5" t="s">
        <v>743</v>
      </c>
      <c r="Q1074" t="s">
        <v>619</v>
      </c>
      <c r="R1074">
        <v>25</v>
      </c>
      <c r="S1074">
        <v>1</v>
      </c>
      <c r="T1074" t="str">
        <f t="shared" si="120"/>
        <v>e</v>
      </c>
      <c r="U1074" t="s">
        <v>8</v>
      </c>
      <c r="V1074" t="s">
        <v>199</v>
      </c>
      <c r="W1074" t="s">
        <v>68</v>
      </c>
      <c r="X1074" t="s">
        <v>705</v>
      </c>
      <c r="AF1074" t="s">
        <v>623</v>
      </c>
      <c r="AM1074" t="str">
        <f t="shared" si="123"/>
        <v>Pass</v>
      </c>
      <c r="AN1074" t="str">
        <f t="shared" si="124"/>
        <v>Pass_Missed</v>
      </c>
      <c r="AP1074" t="str">
        <f t="shared" si="125"/>
        <v>Offensive</v>
      </c>
      <c r="BB1074" s="23"/>
      <c r="BD1074" s="21"/>
      <c r="BE1074" s="21"/>
      <c r="BF1074" s="21"/>
      <c r="BG1074" s="21"/>
      <c r="BH1074" s="21"/>
      <c r="BI1074" s="21"/>
    </row>
    <row r="1075" spans="1:61" x14ac:dyDescent="0.2">
      <c r="A1075">
        <v>570</v>
      </c>
      <c r="B1075" t="s">
        <v>887</v>
      </c>
      <c r="C1075" t="str">
        <f t="shared" si="121"/>
        <v/>
      </c>
      <c r="D1075" t="str">
        <f t="shared" si="126"/>
        <v/>
      </c>
      <c r="H1075">
        <f t="shared" si="122"/>
        <v>1</v>
      </c>
      <c r="R1075">
        <v>4</v>
      </c>
      <c r="S1075">
        <v>1</v>
      </c>
      <c r="T1075" t="str">
        <f t="shared" si="120"/>
        <v>e</v>
      </c>
      <c r="AM1075" t="str">
        <f t="shared" si="123"/>
        <v>Pass</v>
      </c>
      <c r="AN1075" t="str">
        <f t="shared" si="124"/>
        <v>Pass_Missed</v>
      </c>
      <c r="AP1075" t="str">
        <f t="shared" si="125"/>
        <v>Offensive</v>
      </c>
      <c r="BB1075" s="23"/>
      <c r="BD1075" s="21"/>
      <c r="BE1075" s="21"/>
      <c r="BF1075" s="21"/>
      <c r="BG1075" s="21"/>
      <c r="BH1075" s="21"/>
      <c r="BI1075" s="21"/>
    </row>
    <row r="1076" spans="1:61" x14ac:dyDescent="0.2">
      <c r="A1076">
        <v>571</v>
      </c>
      <c r="B1076" t="s">
        <v>887</v>
      </c>
      <c r="C1076" t="str">
        <f t="shared" si="121"/>
        <v/>
      </c>
      <c r="D1076" t="str">
        <f t="shared" si="126"/>
        <v/>
      </c>
      <c r="H1076">
        <f t="shared" si="122"/>
        <v>1</v>
      </c>
      <c r="I1076" s="5" t="s">
        <v>890</v>
      </c>
      <c r="J1076" s="5" t="s">
        <v>448</v>
      </c>
      <c r="Q1076" t="s">
        <v>619</v>
      </c>
      <c r="R1076">
        <v>4</v>
      </c>
      <c r="S1076">
        <v>1</v>
      </c>
      <c r="T1076" t="str">
        <f t="shared" si="120"/>
        <v>e</v>
      </c>
      <c r="U1076" t="s">
        <v>15</v>
      </c>
      <c r="V1076" t="s">
        <v>698</v>
      </c>
      <c r="X1076" t="s">
        <v>706</v>
      </c>
      <c r="Y1076" t="s">
        <v>756</v>
      </c>
      <c r="AA1076" t="s">
        <v>706</v>
      </c>
      <c r="AF1076" t="s">
        <v>623</v>
      </c>
      <c r="AM1076" t="str">
        <f t="shared" si="123"/>
        <v>Possession</v>
      </c>
      <c r="AN1076" t="str">
        <f t="shared" si="124"/>
        <v>PuckRecovery</v>
      </c>
      <c r="AP1076" t="str">
        <f t="shared" si="125"/>
        <v>Offensive</v>
      </c>
      <c r="BB1076" s="23"/>
      <c r="BD1076" s="21"/>
      <c r="BE1076" s="21"/>
      <c r="BF1076" s="21"/>
      <c r="BG1076" s="21"/>
      <c r="BH1076" s="21"/>
      <c r="BI1076" s="21"/>
    </row>
    <row r="1077" spans="1:61" x14ac:dyDescent="0.2">
      <c r="A1077">
        <v>571</v>
      </c>
      <c r="B1077" t="s">
        <v>887</v>
      </c>
      <c r="C1077" t="str">
        <f t="shared" si="121"/>
        <v/>
      </c>
      <c r="D1077" t="str">
        <f t="shared" si="126"/>
        <v/>
      </c>
      <c r="H1077">
        <f t="shared" si="122"/>
        <v>1</v>
      </c>
      <c r="R1077">
        <v>22</v>
      </c>
      <c r="T1077" t="str">
        <f t="shared" si="120"/>
        <v>o</v>
      </c>
      <c r="AM1077" t="str">
        <f t="shared" si="123"/>
        <v>Possession</v>
      </c>
      <c r="AN1077" t="str">
        <f t="shared" si="124"/>
        <v>PuckRecovery</v>
      </c>
      <c r="AP1077" t="str">
        <f t="shared" si="125"/>
        <v>Defensive</v>
      </c>
      <c r="BB1077" s="23"/>
      <c r="BD1077" s="21"/>
      <c r="BE1077" s="21"/>
      <c r="BF1077" s="21"/>
      <c r="BG1077" s="21"/>
      <c r="BH1077" s="21"/>
      <c r="BI1077" s="21"/>
    </row>
    <row r="1078" spans="1:61" x14ac:dyDescent="0.2">
      <c r="A1078">
        <v>572</v>
      </c>
      <c r="B1078">
        <v>96</v>
      </c>
      <c r="C1078">
        <f t="shared" si="121"/>
        <v>9096</v>
      </c>
      <c r="D1078">
        <f t="shared" si="126"/>
        <v>9096</v>
      </c>
      <c r="H1078">
        <f t="shared" si="122"/>
        <v>1</v>
      </c>
      <c r="I1078" s="5" t="s">
        <v>890</v>
      </c>
      <c r="J1078" s="5" t="s">
        <v>448</v>
      </c>
      <c r="Q1078" t="s">
        <v>619</v>
      </c>
      <c r="R1078">
        <v>4</v>
      </c>
      <c r="S1078">
        <v>1</v>
      </c>
      <c r="T1078" t="str">
        <f t="shared" si="120"/>
        <v>e</v>
      </c>
      <c r="U1078" t="s">
        <v>8</v>
      </c>
      <c r="V1078" t="s">
        <v>199</v>
      </c>
      <c r="W1078" t="s">
        <v>480</v>
      </c>
      <c r="X1078" t="s">
        <v>705</v>
      </c>
      <c r="Y1078" t="s">
        <v>754</v>
      </c>
      <c r="Z1078" t="s">
        <v>814</v>
      </c>
      <c r="AA1078" t="s">
        <v>705</v>
      </c>
      <c r="AF1078" t="s">
        <v>623</v>
      </c>
      <c r="AJ1078">
        <v>1</v>
      </c>
      <c r="AM1078" t="str">
        <f t="shared" si="123"/>
        <v>Pass</v>
      </c>
      <c r="AN1078" t="str">
        <f t="shared" si="124"/>
        <v>Pass_Missed</v>
      </c>
      <c r="AP1078" t="str">
        <f t="shared" si="125"/>
        <v>Offensive</v>
      </c>
      <c r="BB1078" s="23"/>
      <c r="BD1078" s="21"/>
      <c r="BE1078" s="21"/>
      <c r="BF1078" s="21"/>
      <c r="BG1078" s="21"/>
      <c r="BH1078" s="21"/>
      <c r="BI1078" s="21"/>
    </row>
    <row r="1079" spans="1:61" x14ac:dyDescent="0.2">
      <c r="A1079">
        <v>572</v>
      </c>
      <c r="B1079">
        <v>96</v>
      </c>
      <c r="C1079">
        <f t="shared" si="121"/>
        <v>9096</v>
      </c>
      <c r="D1079">
        <f t="shared" si="126"/>
        <v>9096</v>
      </c>
      <c r="H1079">
        <f t="shared" si="122"/>
        <v>1</v>
      </c>
      <c r="R1079">
        <v>91</v>
      </c>
      <c r="S1079">
        <v>1</v>
      </c>
      <c r="T1079" t="str">
        <f t="shared" si="120"/>
        <v>e</v>
      </c>
      <c r="AM1079" t="str">
        <f t="shared" si="123"/>
        <v>Pass</v>
      </c>
      <c r="AN1079" t="str">
        <f t="shared" si="124"/>
        <v>Pass_Missed</v>
      </c>
      <c r="AP1079" t="str">
        <f t="shared" si="125"/>
        <v>Offensive</v>
      </c>
      <c r="BB1079" s="23"/>
      <c r="BD1079" s="21"/>
      <c r="BE1079" s="21"/>
      <c r="BF1079" s="21"/>
      <c r="BG1079" s="21"/>
      <c r="BH1079" s="21"/>
      <c r="BI1079" s="21"/>
    </row>
    <row r="1080" spans="1:61" x14ac:dyDescent="0.2">
      <c r="A1080">
        <v>572</v>
      </c>
      <c r="B1080">
        <v>96</v>
      </c>
      <c r="C1080">
        <f t="shared" si="121"/>
        <v>9096</v>
      </c>
      <c r="D1080">
        <f t="shared" si="126"/>
        <v>9096</v>
      </c>
      <c r="H1080">
        <f t="shared" si="122"/>
        <v>1</v>
      </c>
      <c r="R1080">
        <v>22</v>
      </c>
      <c r="T1080" t="str">
        <f t="shared" si="120"/>
        <v>o</v>
      </c>
      <c r="Y1080" t="s">
        <v>715</v>
      </c>
      <c r="AJ1080">
        <v>1</v>
      </c>
      <c r="AM1080" t="str">
        <f t="shared" si="123"/>
        <v>Pass</v>
      </c>
      <c r="AN1080" t="str">
        <f t="shared" si="124"/>
        <v>Pass_Missed</v>
      </c>
      <c r="AP1080" t="str">
        <f t="shared" si="125"/>
        <v>Defensive</v>
      </c>
      <c r="BB1080" s="23"/>
      <c r="BD1080" s="21"/>
      <c r="BE1080" s="21"/>
      <c r="BF1080" s="21"/>
      <c r="BG1080" s="21"/>
      <c r="BH1080" s="21"/>
      <c r="BI1080" s="21"/>
    </row>
    <row r="1081" spans="1:61" x14ac:dyDescent="0.2">
      <c r="A1081">
        <v>573</v>
      </c>
      <c r="B1081">
        <v>96</v>
      </c>
      <c r="C1081">
        <f t="shared" si="121"/>
        <v>9096</v>
      </c>
      <c r="D1081">
        <f t="shared" si="126"/>
        <v>9096</v>
      </c>
      <c r="H1081">
        <f t="shared" si="122"/>
        <v>1</v>
      </c>
      <c r="I1081" s="5" t="s">
        <v>890</v>
      </c>
      <c r="J1081" s="5" t="s">
        <v>448</v>
      </c>
      <c r="Q1081" t="s">
        <v>619</v>
      </c>
      <c r="R1081">
        <v>4</v>
      </c>
      <c r="S1081">
        <v>1</v>
      </c>
      <c r="T1081" t="str">
        <f t="shared" si="120"/>
        <v>e</v>
      </c>
      <c r="U1081" t="s">
        <v>257</v>
      </c>
      <c r="V1081" t="s">
        <v>201</v>
      </c>
      <c r="W1081" t="s">
        <v>409</v>
      </c>
      <c r="AF1081" t="s">
        <v>623</v>
      </c>
      <c r="AJ1081">
        <v>1</v>
      </c>
      <c r="AM1081" t="str">
        <f t="shared" si="123"/>
        <v>Zone_Entry_Exit</v>
      </c>
      <c r="AN1081" t="str">
        <f t="shared" si="124"/>
        <v>Zone_Exit</v>
      </c>
      <c r="AP1081" t="str">
        <f t="shared" si="125"/>
        <v>Offensive</v>
      </c>
      <c r="BB1081" s="23"/>
      <c r="BD1081" s="21"/>
      <c r="BE1081" s="21"/>
      <c r="BF1081" s="21"/>
      <c r="BG1081" s="21"/>
      <c r="BH1081" s="21"/>
      <c r="BI1081" s="21"/>
    </row>
    <row r="1082" spans="1:61" x14ac:dyDescent="0.2">
      <c r="A1082">
        <v>573</v>
      </c>
      <c r="B1082">
        <v>96</v>
      </c>
      <c r="C1082">
        <f t="shared" si="121"/>
        <v>9096</v>
      </c>
      <c r="D1082">
        <f t="shared" si="126"/>
        <v>9096</v>
      </c>
      <c r="H1082">
        <f t="shared" si="122"/>
        <v>1</v>
      </c>
      <c r="R1082">
        <v>91</v>
      </c>
      <c r="S1082">
        <v>1</v>
      </c>
      <c r="T1082" t="str">
        <f t="shared" si="120"/>
        <v>e</v>
      </c>
      <c r="AM1082" t="str">
        <f t="shared" si="123"/>
        <v>Zone_Entry_Exit</v>
      </c>
      <c r="AN1082" t="str">
        <f t="shared" si="124"/>
        <v>Zone_Exit</v>
      </c>
      <c r="AP1082" t="str">
        <f t="shared" si="125"/>
        <v>Offensive</v>
      </c>
      <c r="BB1082" s="23"/>
      <c r="BD1082" s="21"/>
      <c r="BE1082" s="21"/>
      <c r="BF1082" s="21"/>
      <c r="BG1082" s="21"/>
      <c r="BH1082" s="21"/>
      <c r="BI1082" s="21"/>
    </row>
    <row r="1083" spans="1:61" x14ac:dyDescent="0.2">
      <c r="A1083">
        <v>573</v>
      </c>
      <c r="B1083">
        <v>96</v>
      </c>
      <c r="C1083">
        <f t="shared" si="121"/>
        <v>9096</v>
      </c>
      <c r="D1083">
        <f t="shared" si="126"/>
        <v>9096</v>
      </c>
      <c r="H1083">
        <f t="shared" si="122"/>
        <v>1</v>
      </c>
      <c r="R1083">
        <v>22</v>
      </c>
      <c r="T1083" t="str">
        <f t="shared" si="120"/>
        <v>o</v>
      </c>
      <c r="Y1083" t="s">
        <v>715</v>
      </c>
      <c r="AJ1083">
        <v>1</v>
      </c>
      <c r="AM1083" t="str">
        <f t="shared" si="123"/>
        <v>Zone_Entry_Exit</v>
      </c>
      <c r="AN1083" t="str">
        <f t="shared" si="124"/>
        <v>Zone_Exit</v>
      </c>
      <c r="AP1083" t="str">
        <f t="shared" si="125"/>
        <v>Defensive</v>
      </c>
      <c r="BB1083" s="23"/>
      <c r="BD1083" s="21"/>
      <c r="BE1083" s="21"/>
      <c r="BF1083" s="21"/>
      <c r="BG1083" s="21"/>
      <c r="BH1083" s="21"/>
      <c r="BI1083" s="21"/>
    </row>
    <row r="1084" spans="1:61" x14ac:dyDescent="0.2">
      <c r="A1084">
        <v>574</v>
      </c>
      <c r="B1084">
        <v>96</v>
      </c>
      <c r="C1084">
        <f t="shared" si="121"/>
        <v>9096</v>
      </c>
      <c r="D1084">
        <f t="shared" si="126"/>
        <v>9096</v>
      </c>
      <c r="H1084">
        <f t="shared" si="122"/>
        <v>1</v>
      </c>
      <c r="I1084" s="5" t="s">
        <v>890</v>
      </c>
      <c r="J1084" s="5" t="s">
        <v>448</v>
      </c>
      <c r="Q1084" t="s">
        <v>619</v>
      </c>
      <c r="R1084">
        <v>4</v>
      </c>
      <c r="S1084">
        <v>1</v>
      </c>
      <c r="T1084" t="str">
        <f t="shared" si="120"/>
        <v>e</v>
      </c>
      <c r="U1084" t="s">
        <v>257</v>
      </c>
      <c r="V1084" t="s">
        <v>191</v>
      </c>
      <c r="W1084" t="s">
        <v>408</v>
      </c>
      <c r="AF1084" t="s">
        <v>623</v>
      </c>
      <c r="AM1084" t="str">
        <f t="shared" si="123"/>
        <v>Zone_Entry_Exit</v>
      </c>
      <c r="AN1084" t="str">
        <f t="shared" si="124"/>
        <v>Zone_Entry</v>
      </c>
      <c r="AP1084" t="str">
        <f t="shared" si="125"/>
        <v>Offensive</v>
      </c>
      <c r="BB1084" s="23"/>
      <c r="BD1084" s="21"/>
      <c r="BE1084" s="21"/>
      <c r="BF1084" s="21"/>
      <c r="BG1084" s="21"/>
      <c r="BH1084" s="21"/>
      <c r="BI1084" s="21"/>
    </row>
    <row r="1085" spans="1:61" x14ac:dyDescent="0.2">
      <c r="A1085">
        <v>575</v>
      </c>
      <c r="B1085">
        <v>96</v>
      </c>
      <c r="C1085">
        <f t="shared" si="121"/>
        <v>9096</v>
      </c>
      <c r="D1085">
        <f t="shared" si="126"/>
        <v>9096</v>
      </c>
      <c r="H1085">
        <f t="shared" si="122"/>
        <v>1</v>
      </c>
      <c r="I1085" s="5" t="s">
        <v>890</v>
      </c>
      <c r="J1085" s="5" t="s">
        <v>448</v>
      </c>
      <c r="Q1085" t="s">
        <v>619</v>
      </c>
      <c r="R1085">
        <v>4</v>
      </c>
      <c r="S1085">
        <v>1</v>
      </c>
      <c r="T1085" t="str">
        <f t="shared" si="120"/>
        <v>e</v>
      </c>
      <c r="U1085" t="s">
        <v>10</v>
      </c>
      <c r="V1085" t="s">
        <v>190</v>
      </c>
      <c r="W1085" t="s">
        <v>76</v>
      </c>
      <c r="AF1085" t="s">
        <v>623</v>
      </c>
      <c r="AM1085" t="str">
        <f t="shared" si="123"/>
        <v>Turnover</v>
      </c>
      <c r="AN1085" t="str">
        <f t="shared" si="124"/>
        <v>Turnover_Giveaway</v>
      </c>
      <c r="AP1085" t="str">
        <f t="shared" si="125"/>
        <v>Offensive</v>
      </c>
      <c r="BB1085" s="23"/>
      <c r="BD1085" s="21"/>
      <c r="BE1085" s="21"/>
      <c r="BF1085" s="21"/>
      <c r="BG1085" s="21"/>
      <c r="BH1085" s="21"/>
      <c r="BI1085" s="21"/>
    </row>
    <row r="1086" spans="1:61" x14ac:dyDescent="0.2">
      <c r="A1086">
        <v>576</v>
      </c>
      <c r="B1086" t="s">
        <v>887</v>
      </c>
      <c r="C1086" t="str">
        <f t="shared" si="121"/>
        <v/>
      </c>
      <c r="D1086" t="str">
        <f t="shared" si="126"/>
        <v/>
      </c>
      <c r="H1086">
        <f t="shared" si="122"/>
        <v>1</v>
      </c>
      <c r="I1086" s="5" t="s">
        <v>890</v>
      </c>
      <c r="J1086" s="5" t="s">
        <v>785</v>
      </c>
      <c r="K1086" s="5" t="s">
        <v>890</v>
      </c>
      <c r="L1086" s="7" t="s">
        <v>741</v>
      </c>
      <c r="Q1086" t="s">
        <v>620</v>
      </c>
      <c r="R1086">
        <v>9</v>
      </c>
      <c r="S1086">
        <v>1</v>
      </c>
      <c r="T1086" t="str">
        <f t="shared" si="120"/>
        <v>e</v>
      </c>
      <c r="U1086" t="s">
        <v>15</v>
      </c>
      <c r="V1086" t="s">
        <v>697</v>
      </c>
      <c r="X1086" t="s">
        <v>705</v>
      </c>
      <c r="Y1086" t="s">
        <v>720</v>
      </c>
      <c r="AA1086" t="s">
        <v>705</v>
      </c>
      <c r="AF1086" t="s">
        <v>623</v>
      </c>
      <c r="AM1086" t="str">
        <f t="shared" si="123"/>
        <v>Possession</v>
      </c>
      <c r="AN1086" t="str">
        <f t="shared" si="124"/>
        <v>PuckRetrieval</v>
      </c>
      <c r="AP1086" t="str">
        <f t="shared" si="125"/>
        <v>Offensive</v>
      </c>
      <c r="BB1086" s="23"/>
      <c r="BD1086" s="21"/>
      <c r="BE1086" s="21"/>
      <c r="BF1086" s="21"/>
      <c r="BG1086" s="21"/>
      <c r="BH1086" s="21"/>
      <c r="BI1086" s="21"/>
    </row>
    <row r="1087" spans="1:61" x14ac:dyDescent="0.2">
      <c r="A1087">
        <v>576</v>
      </c>
      <c r="B1087" t="s">
        <v>887</v>
      </c>
      <c r="C1087" t="str">
        <f t="shared" si="121"/>
        <v/>
      </c>
      <c r="D1087" t="str">
        <f t="shared" si="126"/>
        <v/>
      </c>
      <c r="H1087">
        <f t="shared" si="122"/>
        <v>1</v>
      </c>
      <c r="R1087">
        <v>91</v>
      </c>
      <c r="T1087" t="str">
        <f t="shared" si="120"/>
        <v>o</v>
      </c>
      <c r="AM1087" t="str">
        <f t="shared" si="123"/>
        <v>Possession</v>
      </c>
      <c r="AN1087" t="str">
        <f t="shared" si="124"/>
        <v>PuckRetrieval</v>
      </c>
      <c r="AP1087" t="str">
        <f t="shared" si="125"/>
        <v>Defensive</v>
      </c>
      <c r="BB1087" s="23"/>
      <c r="BD1087" s="21"/>
      <c r="BE1087" s="21"/>
      <c r="BF1087" s="21"/>
      <c r="BG1087" s="21"/>
      <c r="BH1087" s="21"/>
      <c r="BI1087" s="21"/>
    </row>
    <row r="1088" spans="1:61" x14ac:dyDescent="0.2">
      <c r="A1088">
        <v>577</v>
      </c>
      <c r="B1088">
        <v>97</v>
      </c>
      <c r="C1088">
        <f t="shared" si="121"/>
        <v>9097</v>
      </c>
      <c r="D1088">
        <f t="shared" si="126"/>
        <v>9097</v>
      </c>
      <c r="H1088">
        <f t="shared" si="122"/>
        <v>1</v>
      </c>
      <c r="I1088" s="5" t="s">
        <v>890</v>
      </c>
      <c r="J1088" s="5" t="s">
        <v>741</v>
      </c>
      <c r="Q1088" t="s">
        <v>620</v>
      </c>
      <c r="R1088">
        <v>9</v>
      </c>
      <c r="S1088">
        <v>1</v>
      </c>
      <c r="T1088" t="str">
        <f t="shared" si="120"/>
        <v>e</v>
      </c>
      <c r="U1088" t="s">
        <v>8</v>
      </c>
      <c r="V1088" t="s">
        <v>209</v>
      </c>
      <c r="W1088" t="s">
        <v>67</v>
      </c>
      <c r="X1088" t="s">
        <v>705</v>
      </c>
      <c r="AF1088" t="s">
        <v>623</v>
      </c>
      <c r="AJ1088">
        <v>1</v>
      </c>
      <c r="AM1088" t="str">
        <f t="shared" si="123"/>
        <v>Pass</v>
      </c>
      <c r="AN1088" t="str">
        <f t="shared" si="124"/>
        <v>Pass_Deflected</v>
      </c>
      <c r="AP1088" t="str">
        <f t="shared" si="125"/>
        <v>Offensive</v>
      </c>
      <c r="BB1088" s="23"/>
      <c r="BD1088" s="21"/>
      <c r="BE1088" s="21"/>
      <c r="BF1088" s="21"/>
      <c r="BG1088" s="21"/>
      <c r="BH1088" s="21"/>
      <c r="BI1088" s="21"/>
    </row>
    <row r="1089" spans="1:61" x14ac:dyDescent="0.2">
      <c r="A1089">
        <v>577</v>
      </c>
      <c r="B1089">
        <v>97</v>
      </c>
      <c r="C1089">
        <f t="shared" si="121"/>
        <v>9097</v>
      </c>
      <c r="D1089">
        <f t="shared" si="126"/>
        <v>9097</v>
      </c>
      <c r="H1089">
        <f t="shared" si="122"/>
        <v>1</v>
      </c>
      <c r="R1089">
        <v>61</v>
      </c>
      <c r="S1089">
        <v>1</v>
      </c>
      <c r="T1089" t="str">
        <f t="shared" si="120"/>
        <v>e</v>
      </c>
      <c r="AM1089" t="str">
        <f t="shared" si="123"/>
        <v>Pass</v>
      </c>
      <c r="AN1089" t="str">
        <f t="shared" si="124"/>
        <v>Pass_Deflected</v>
      </c>
      <c r="AP1089" t="str">
        <f t="shared" si="125"/>
        <v>Offensive</v>
      </c>
      <c r="BB1089" s="23"/>
      <c r="BD1089" s="21"/>
      <c r="BE1089" s="21"/>
      <c r="BF1089" s="21"/>
      <c r="BG1089" s="21"/>
      <c r="BH1089" s="21"/>
      <c r="BI1089" s="21"/>
    </row>
    <row r="1090" spans="1:61" x14ac:dyDescent="0.2">
      <c r="A1090">
        <v>577</v>
      </c>
      <c r="B1090">
        <v>97</v>
      </c>
      <c r="C1090">
        <f t="shared" si="121"/>
        <v>9097</v>
      </c>
      <c r="D1090">
        <f t="shared" si="126"/>
        <v>9097</v>
      </c>
      <c r="H1090">
        <f t="shared" si="122"/>
        <v>1</v>
      </c>
      <c r="R1090">
        <v>91</v>
      </c>
      <c r="T1090" t="str">
        <f t="shared" si="120"/>
        <v>o</v>
      </c>
      <c r="Y1090" t="s">
        <v>722</v>
      </c>
      <c r="AJ1090">
        <v>1</v>
      </c>
      <c r="AM1090" t="str">
        <f t="shared" si="123"/>
        <v>Pass</v>
      </c>
      <c r="AN1090" t="str">
        <f t="shared" si="124"/>
        <v>Pass_Deflected</v>
      </c>
      <c r="AP1090" t="str">
        <f t="shared" si="125"/>
        <v>Defensive</v>
      </c>
      <c r="BB1090" s="23"/>
      <c r="BD1090" s="21"/>
      <c r="BE1090" s="21"/>
      <c r="BF1090" s="21"/>
      <c r="BG1090" s="21"/>
      <c r="BH1090" s="21"/>
      <c r="BI1090" s="21"/>
    </row>
    <row r="1091" spans="1:61" x14ac:dyDescent="0.2">
      <c r="A1091">
        <v>578</v>
      </c>
      <c r="B1091">
        <v>97</v>
      </c>
      <c r="C1091">
        <f t="shared" si="121"/>
        <v>9097</v>
      </c>
      <c r="D1091">
        <f t="shared" si="126"/>
        <v>9097</v>
      </c>
      <c r="H1091">
        <f t="shared" si="122"/>
        <v>1</v>
      </c>
      <c r="I1091" s="5" t="s">
        <v>890</v>
      </c>
      <c r="J1091" s="5" t="s">
        <v>741</v>
      </c>
      <c r="Q1091" t="s">
        <v>620</v>
      </c>
      <c r="R1091">
        <v>9</v>
      </c>
      <c r="S1091">
        <v>1</v>
      </c>
      <c r="T1091" t="str">
        <f t="shared" ref="T1091:T1154" si="127">IF(S1091="x","",IF(S1091=1,"e","o"))</f>
        <v>e</v>
      </c>
      <c r="U1091" t="s">
        <v>10</v>
      </c>
      <c r="V1091" t="s">
        <v>190</v>
      </c>
      <c r="W1091" t="s">
        <v>77</v>
      </c>
      <c r="AF1091" t="s">
        <v>623</v>
      </c>
      <c r="AJ1091">
        <v>1</v>
      </c>
      <c r="AM1091" t="str">
        <f t="shared" si="123"/>
        <v>Turnover</v>
      </c>
      <c r="AN1091" t="str">
        <f t="shared" si="124"/>
        <v>Turnover_Giveaway</v>
      </c>
      <c r="AP1091" t="str">
        <f t="shared" si="125"/>
        <v>Offensive</v>
      </c>
      <c r="BB1091" s="23"/>
      <c r="BD1091" s="21"/>
      <c r="BE1091" s="21"/>
      <c r="BF1091" s="21"/>
      <c r="BG1091" s="21"/>
      <c r="BH1091" s="21"/>
      <c r="BI1091" s="21"/>
    </row>
    <row r="1092" spans="1:61" x14ac:dyDescent="0.2">
      <c r="A1092">
        <v>578</v>
      </c>
      <c r="B1092">
        <v>97</v>
      </c>
      <c r="C1092">
        <f t="shared" ref="C1092:C1155" si="128">IF(B1092&lt;&gt;"",9000+B1092,"")</f>
        <v>9097</v>
      </c>
      <c r="D1092">
        <f t="shared" si="126"/>
        <v>9097</v>
      </c>
      <c r="H1092">
        <f t="shared" si="122"/>
        <v>1</v>
      </c>
      <c r="R1092">
        <v>91</v>
      </c>
      <c r="T1092" t="str">
        <f t="shared" si="127"/>
        <v>o</v>
      </c>
      <c r="Y1092" t="s">
        <v>723</v>
      </c>
      <c r="AJ1092">
        <v>1</v>
      </c>
      <c r="AM1092" t="str">
        <f t="shared" si="123"/>
        <v>Turnover</v>
      </c>
      <c r="AN1092" t="str">
        <f t="shared" si="124"/>
        <v>Turnover_Giveaway</v>
      </c>
      <c r="AP1092" t="str">
        <f t="shared" si="125"/>
        <v>Defensive</v>
      </c>
      <c r="BB1092" s="23"/>
      <c r="BD1092" s="21"/>
      <c r="BE1092" s="21"/>
      <c r="BF1092" s="21"/>
      <c r="BG1092" s="21"/>
      <c r="BH1092" s="21"/>
      <c r="BI1092" s="21"/>
    </row>
    <row r="1093" spans="1:61" x14ac:dyDescent="0.2">
      <c r="A1093">
        <v>579</v>
      </c>
      <c r="B1093">
        <v>98</v>
      </c>
      <c r="C1093">
        <f t="shared" si="128"/>
        <v>9098</v>
      </c>
      <c r="D1093">
        <f t="shared" si="126"/>
        <v>9098</v>
      </c>
      <c r="H1093">
        <f t="shared" ref="H1093:H1156" si="129">IF(U1093="Intermission",H1092+1,H1092)</f>
        <v>1</v>
      </c>
      <c r="I1093" s="5" t="s">
        <v>905</v>
      </c>
      <c r="J1093" s="5" t="s">
        <v>896</v>
      </c>
      <c r="Q1093" t="s">
        <v>620</v>
      </c>
      <c r="R1093">
        <v>42</v>
      </c>
      <c r="S1093">
        <v>1</v>
      </c>
      <c r="T1093" t="str">
        <f t="shared" si="127"/>
        <v>e</v>
      </c>
      <c r="U1093" t="s">
        <v>15</v>
      </c>
      <c r="V1093" t="s">
        <v>698</v>
      </c>
      <c r="X1093" t="s">
        <v>705</v>
      </c>
      <c r="Y1093" t="s">
        <v>752</v>
      </c>
      <c r="Z1093" t="s">
        <v>746</v>
      </c>
      <c r="AA1093" t="s">
        <v>705</v>
      </c>
      <c r="AF1093" t="s">
        <v>623</v>
      </c>
      <c r="AM1093" t="str">
        <f t="shared" ref="AM1093:AM1156" si="130">IF(U1093&lt;&gt;"",U1093,IF($A1093=$A1092,AM1092,""))</f>
        <v>Possession</v>
      </c>
      <c r="AN1093" t="str">
        <f t="shared" ref="AN1093:AN1156" si="131">IF(V1093&lt;&gt;"",V1093,IF($A1093=$A1092,AN1092,""))</f>
        <v>PuckRecovery</v>
      </c>
      <c r="AP1093" t="str">
        <f t="shared" si="125"/>
        <v>Offensive</v>
      </c>
      <c r="BB1093" s="23"/>
      <c r="BD1093" s="21"/>
      <c r="BE1093" s="21"/>
      <c r="BF1093" s="21"/>
      <c r="BG1093" s="21"/>
      <c r="BH1093" s="21"/>
      <c r="BI1093" s="21"/>
    </row>
    <row r="1094" spans="1:61" x14ac:dyDescent="0.2">
      <c r="A1094">
        <v>580</v>
      </c>
      <c r="B1094">
        <v>98</v>
      </c>
      <c r="C1094">
        <f t="shared" si="128"/>
        <v>9098</v>
      </c>
      <c r="D1094">
        <f t="shared" si="126"/>
        <v>9098</v>
      </c>
      <c r="H1094">
        <f t="shared" si="129"/>
        <v>1</v>
      </c>
      <c r="I1094" s="5" t="s">
        <v>905</v>
      </c>
      <c r="J1094" s="5" t="s">
        <v>896</v>
      </c>
      <c r="Q1094" t="s">
        <v>620</v>
      </c>
      <c r="R1094">
        <v>42</v>
      </c>
      <c r="S1094">
        <v>1</v>
      </c>
      <c r="T1094" t="str">
        <f t="shared" si="127"/>
        <v>e</v>
      </c>
      <c r="U1094" t="s">
        <v>10</v>
      </c>
      <c r="V1094" t="s">
        <v>190</v>
      </c>
      <c r="W1094" t="s">
        <v>398</v>
      </c>
      <c r="AF1094" t="s">
        <v>623</v>
      </c>
      <c r="AM1094" t="str">
        <f t="shared" si="130"/>
        <v>Turnover</v>
      </c>
      <c r="AN1094" t="str">
        <f t="shared" si="131"/>
        <v>Turnover_Giveaway</v>
      </c>
      <c r="AP1094" t="str">
        <f t="shared" ref="AP1094:AP1157" si="132">IF(AND(T1094="e",OR(AM1094="Save",AN1094="Turnover_Takeaway",AN1094="Play_Defensive")),"Defensive",IF(AND(T1094="o",OR(AM1094="Save",AN1094="Turnover_Takeaway",AN1094="Play_Defensive")),"Offensive",IF(OR(AM1094="Deadice",AM1094="Stoppage",AM1094="Intermission"),"",IF(T1094="e","Offensive",IF(T1094="o","Defensive","")))))</f>
        <v>Offensive</v>
      </c>
      <c r="BB1094" s="23"/>
      <c r="BD1094" s="21"/>
      <c r="BE1094" s="21"/>
      <c r="BF1094" s="21"/>
      <c r="BG1094" s="21"/>
      <c r="BH1094" s="21"/>
      <c r="BI1094" s="21"/>
    </row>
    <row r="1095" spans="1:61" x14ac:dyDescent="0.2">
      <c r="A1095">
        <v>581</v>
      </c>
      <c r="B1095" t="s">
        <v>887</v>
      </c>
      <c r="C1095" t="str">
        <f t="shared" si="128"/>
        <v/>
      </c>
      <c r="D1095" t="str">
        <f t="shared" si="126"/>
        <v/>
      </c>
      <c r="H1095">
        <f t="shared" si="129"/>
        <v>1</v>
      </c>
      <c r="I1095" s="5" t="s">
        <v>905</v>
      </c>
      <c r="J1095" s="5" t="s">
        <v>750</v>
      </c>
      <c r="Q1095" t="s">
        <v>619</v>
      </c>
      <c r="R1095">
        <v>25</v>
      </c>
      <c r="S1095">
        <v>1</v>
      </c>
      <c r="T1095" t="str">
        <f t="shared" si="127"/>
        <v>e</v>
      </c>
      <c r="U1095" t="s">
        <v>257</v>
      </c>
      <c r="V1095" t="s">
        <v>210</v>
      </c>
      <c r="W1095" t="s">
        <v>93</v>
      </c>
      <c r="X1095" t="s">
        <v>706</v>
      </c>
      <c r="AF1095" t="s">
        <v>401</v>
      </c>
      <c r="AM1095" t="str">
        <f t="shared" si="130"/>
        <v>Zone_Entry_Exit</v>
      </c>
      <c r="AN1095" t="str">
        <f t="shared" si="131"/>
        <v>Zone_Keepin</v>
      </c>
      <c r="AP1095" t="str">
        <f t="shared" si="132"/>
        <v>Offensive</v>
      </c>
      <c r="BB1095" s="23"/>
      <c r="BD1095" s="21"/>
      <c r="BE1095" s="21"/>
      <c r="BF1095" s="21"/>
      <c r="BG1095" s="21"/>
      <c r="BH1095" s="21"/>
      <c r="BI1095" s="21"/>
    </row>
    <row r="1096" spans="1:61" x14ac:dyDescent="0.2">
      <c r="A1096">
        <v>582</v>
      </c>
      <c r="B1096">
        <v>99</v>
      </c>
      <c r="C1096">
        <f t="shared" si="128"/>
        <v>9099</v>
      </c>
      <c r="D1096">
        <f t="shared" si="126"/>
        <v>9099</v>
      </c>
      <c r="H1096">
        <f t="shared" si="129"/>
        <v>1</v>
      </c>
      <c r="I1096" s="5" t="s">
        <v>905</v>
      </c>
      <c r="J1096" s="5" t="s">
        <v>750</v>
      </c>
      <c r="Q1096" t="s">
        <v>619</v>
      </c>
      <c r="R1096">
        <v>25</v>
      </c>
      <c r="S1096">
        <v>1</v>
      </c>
      <c r="T1096" t="str">
        <f t="shared" si="127"/>
        <v>e</v>
      </c>
      <c r="U1096" t="s">
        <v>7</v>
      </c>
      <c r="V1096" t="s">
        <v>222</v>
      </c>
      <c r="W1096" t="s">
        <v>53</v>
      </c>
      <c r="X1096" t="s">
        <v>706</v>
      </c>
      <c r="AF1096" t="s">
        <v>401</v>
      </c>
      <c r="AM1096" t="str">
        <f t="shared" si="130"/>
        <v>Shot</v>
      </c>
      <c r="AN1096" t="str">
        <f t="shared" si="131"/>
        <v>Shot_OnNetSaved</v>
      </c>
      <c r="AP1096" t="str">
        <f t="shared" si="132"/>
        <v>Offensive</v>
      </c>
      <c r="BB1096" s="23"/>
      <c r="BD1096" s="21"/>
      <c r="BE1096" s="21"/>
      <c r="BF1096" s="21"/>
      <c r="BG1096" s="21"/>
      <c r="BH1096" s="21"/>
      <c r="BI1096" s="21"/>
    </row>
    <row r="1097" spans="1:61" x14ac:dyDescent="0.2">
      <c r="A1097">
        <v>582</v>
      </c>
      <c r="B1097">
        <v>99</v>
      </c>
      <c r="C1097">
        <f t="shared" si="128"/>
        <v>9099</v>
      </c>
      <c r="D1097">
        <f t="shared" ref="D1097:D1160" si="133">IF(C1097&lt;&gt;"",C1097,B1097)</f>
        <v>9099</v>
      </c>
      <c r="H1097">
        <f t="shared" si="129"/>
        <v>1</v>
      </c>
      <c r="R1097">
        <v>39</v>
      </c>
      <c r="T1097" t="str">
        <f t="shared" si="127"/>
        <v>o</v>
      </c>
      <c r="AM1097" t="str">
        <f t="shared" si="130"/>
        <v>Shot</v>
      </c>
      <c r="AN1097" t="str">
        <f t="shared" si="131"/>
        <v>Shot_OnNetSaved</v>
      </c>
      <c r="AP1097" t="str">
        <f t="shared" si="132"/>
        <v>Defensive</v>
      </c>
      <c r="BB1097" s="23"/>
      <c r="BD1097" s="21"/>
      <c r="BE1097" s="21"/>
      <c r="BF1097" s="21"/>
      <c r="BG1097" s="21"/>
      <c r="BH1097" s="21"/>
      <c r="BI1097" s="21"/>
    </row>
    <row r="1098" spans="1:61" x14ac:dyDescent="0.2">
      <c r="A1098">
        <v>583</v>
      </c>
      <c r="B1098">
        <v>99</v>
      </c>
      <c r="C1098">
        <f t="shared" si="128"/>
        <v>9099</v>
      </c>
      <c r="D1098">
        <f t="shared" si="133"/>
        <v>9099</v>
      </c>
      <c r="H1098">
        <f t="shared" si="129"/>
        <v>1</v>
      </c>
      <c r="I1098" s="5" t="s">
        <v>905</v>
      </c>
      <c r="J1098" s="5" t="s">
        <v>750</v>
      </c>
      <c r="Q1098" t="s">
        <v>620</v>
      </c>
      <c r="R1098">
        <v>39</v>
      </c>
      <c r="S1098">
        <v>1</v>
      </c>
      <c r="T1098" t="str">
        <f t="shared" si="127"/>
        <v>e</v>
      </c>
      <c r="U1098" t="s">
        <v>17</v>
      </c>
      <c r="V1098" t="s">
        <v>196</v>
      </c>
      <c r="W1098" t="s">
        <v>100</v>
      </c>
      <c r="AF1098" t="s">
        <v>623</v>
      </c>
      <c r="AM1098" t="str">
        <f t="shared" si="130"/>
        <v>Save</v>
      </c>
      <c r="AN1098" t="str">
        <f t="shared" si="131"/>
        <v>Save_Rebound</v>
      </c>
      <c r="AP1098" t="str">
        <f t="shared" si="132"/>
        <v>Defensive</v>
      </c>
      <c r="BB1098" s="23"/>
      <c r="BD1098" s="21"/>
      <c r="BE1098" s="21"/>
      <c r="BF1098" s="21"/>
      <c r="BG1098" s="21"/>
      <c r="BH1098" s="21"/>
      <c r="BI1098" s="21"/>
    </row>
    <row r="1099" spans="1:61" x14ac:dyDescent="0.2">
      <c r="A1099">
        <v>583</v>
      </c>
      <c r="B1099">
        <v>99</v>
      </c>
      <c r="C1099">
        <f t="shared" si="128"/>
        <v>9099</v>
      </c>
      <c r="D1099">
        <f t="shared" si="133"/>
        <v>9099</v>
      </c>
      <c r="H1099">
        <f t="shared" si="129"/>
        <v>1</v>
      </c>
      <c r="R1099">
        <v>25</v>
      </c>
      <c r="T1099" t="str">
        <f t="shared" si="127"/>
        <v>o</v>
      </c>
      <c r="AM1099" t="str">
        <f t="shared" si="130"/>
        <v>Save</v>
      </c>
      <c r="AN1099" t="str">
        <f t="shared" si="131"/>
        <v>Save_Rebound</v>
      </c>
      <c r="AP1099" t="str">
        <f t="shared" si="132"/>
        <v>Offensive</v>
      </c>
      <c r="BB1099" s="23"/>
      <c r="BD1099" s="21"/>
      <c r="BE1099" s="21"/>
      <c r="BF1099" s="21"/>
      <c r="BG1099" s="21"/>
      <c r="BH1099" s="21"/>
      <c r="BI1099" s="21"/>
    </row>
    <row r="1100" spans="1:61" x14ac:dyDescent="0.2">
      <c r="A1100">
        <v>584</v>
      </c>
      <c r="B1100">
        <v>99</v>
      </c>
      <c r="C1100">
        <f t="shared" si="128"/>
        <v>9099</v>
      </c>
      <c r="D1100">
        <f t="shared" si="133"/>
        <v>9099</v>
      </c>
      <c r="H1100">
        <f t="shared" si="129"/>
        <v>1</v>
      </c>
      <c r="I1100" s="5" t="s">
        <v>905</v>
      </c>
      <c r="J1100" s="5" t="s">
        <v>750</v>
      </c>
      <c r="Q1100" t="s">
        <v>620</v>
      </c>
      <c r="R1100">
        <v>39</v>
      </c>
      <c r="S1100">
        <v>1</v>
      </c>
      <c r="T1100" t="str">
        <f t="shared" si="127"/>
        <v>e</v>
      </c>
      <c r="U1100" t="s">
        <v>250</v>
      </c>
      <c r="V1100" t="s">
        <v>251</v>
      </c>
      <c r="AF1100" t="s">
        <v>623</v>
      </c>
      <c r="AM1100" t="str">
        <f t="shared" si="130"/>
        <v>Rebound</v>
      </c>
      <c r="AN1100" t="str">
        <f t="shared" si="131"/>
        <v>Rebound_TeamRecovered</v>
      </c>
      <c r="AP1100" t="str">
        <f t="shared" si="132"/>
        <v>Offensive</v>
      </c>
      <c r="BB1100" s="23"/>
      <c r="BD1100" s="21"/>
      <c r="BE1100" s="21"/>
      <c r="BF1100" s="21"/>
      <c r="BG1100" s="21"/>
      <c r="BH1100" s="21"/>
      <c r="BI1100" s="21"/>
    </row>
    <row r="1101" spans="1:61" x14ac:dyDescent="0.2">
      <c r="A1101">
        <v>585</v>
      </c>
      <c r="B1101" t="s">
        <v>887</v>
      </c>
      <c r="C1101" t="str">
        <f t="shared" si="128"/>
        <v/>
      </c>
      <c r="D1101" t="str">
        <f t="shared" si="133"/>
        <v/>
      </c>
      <c r="H1101">
        <f t="shared" si="129"/>
        <v>1</v>
      </c>
      <c r="I1101" s="5" t="s">
        <v>905</v>
      </c>
      <c r="J1101" s="5" t="s">
        <v>773</v>
      </c>
      <c r="K1101" s="5" t="s">
        <v>905</v>
      </c>
      <c r="L1101" s="7" t="s">
        <v>640</v>
      </c>
      <c r="Q1101" t="s">
        <v>620</v>
      </c>
      <c r="R1101">
        <v>42</v>
      </c>
      <c r="S1101">
        <v>1</v>
      </c>
      <c r="T1101" t="str">
        <f t="shared" si="127"/>
        <v>e</v>
      </c>
      <c r="U1101" t="s">
        <v>15</v>
      </c>
      <c r="V1101" t="s">
        <v>698</v>
      </c>
      <c r="X1101" t="s">
        <v>706</v>
      </c>
      <c r="Y1101" t="s">
        <v>808</v>
      </c>
      <c r="AA1101" t="s">
        <v>706</v>
      </c>
      <c r="AF1101" t="s">
        <v>623</v>
      </c>
      <c r="AM1101" t="str">
        <f t="shared" si="130"/>
        <v>Possession</v>
      </c>
      <c r="AN1101" t="str">
        <f t="shared" si="131"/>
        <v>PuckRecovery</v>
      </c>
      <c r="AP1101" t="str">
        <f t="shared" si="132"/>
        <v>Offensive</v>
      </c>
      <c r="BB1101" s="23"/>
      <c r="BD1101" s="21"/>
      <c r="BE1101" s="21"/>
      <c r="BF1101" s="21"/>
      <c r="BG1101" s="21"/>
      <c r="BH1101" s="21"/>
      <c r="BI1101" s="21"/>
    </row>
    <row r="1102" spans="1:61" x14ac:dyDescent="0.2">
      <c r="A1102">
        <v>586</v>
      </c>
      <c r="B1102" t="s">
        <v>887</v>
      </c>
      <c r="C1102" t="str">
        <f t="shared" si="128"/>
        <v/>
      </c>
      <c r="D1102" t="str">
        <f t="shared" si="133"/>
        <v/>
      </c>
      <c r="H1102">
        <f t="shared" si="129"/>
        <v>1</v>
      </c>
      <c r="I1102" s="5" t="s">
        <v>905</v>
      </c>
      <c r="J1102" s="5" t="s">
        <v>640</v>
      </c>
      <c r="K1102" s="5" t="s">
        <v>905</v>
      </c>
      <c r="L1102" s="7" t="s">
        <v>673</v>
      </c>
      <c r="Q1102" t="s">
        <v>620</v>
      </c>
      <c r="R1102">
        <v>42</v>
      </c>
      <c r="S1102">
        <v>1</v>
      </c>
      <c r="T1102" t="str">
        <f t="shared" si="127"/>
        <v>e</v>
      </c>
      <c r="U1102" t="s">
        <v>15</v>
      </c>
      <c r="Y1102" t="s">
        <v>777</v>
      </c>
      <c r="AA1102" t="s">
        <v>706</v>
      </c>
      <c r="AF1102" t="s">
        <v>623</v>
      </c>
      <c r="AM1102" t="str">
        <f t="shared" si="130"/>
        <v>Possession</v>
      </c>
      <c r="AN1102" t="str">
        <f t="shared" si="131"/>
        <v/>
      </c>
      <c r="AP1102" t="str">
        <f t="shared" si="132"/>
        <v>Offensive</v>
      </c>
      <c r="BB1102" s="23"/>
      <c r="BD1102" s="21"/>
      <c r="BE1102" s="21"/>
      <c r="BF1102" s="21"/>
      <c r="BG1102" s="21"/>
      <c r="BH1102" s="21"/>
      <c r="BI1102" s="21"/>
    </row>
    <row r="1103" spans="1:61" x14ac:dyDescent="0.2">
      <c r="A1103">
        <v>587</v>
      </c>
      <c r="B1103" t="s">
        <v>887</v>
      </c>
      <c r="C1103" t="str">
        <f t="shared" si="128"/>
        <v/>
      </c>
      <c r="D1103" t="str">
        <f t="shared" si="133"/>
        <v/>
      </c>
      <c r="H1103">
        <f t="shared" si="129"/>
        <v>1</v>
      </c>
      <c r="I1103" s="5" t="s">
        <v>905</v>
      </c>
      <c r="J1103" s="5" t="s">
        <v>673</v>
      </c>
      <c r="K1103" s="5" t="s">
        <v>905</v>
      </c>
      <c r="L1103" s="7" t="s">
        <v>711</v>
      </c>
      <c r="Q1103" t="s">
        <v>620</v>
      </c>
      <c r="R1103">
        <v>42</v>
      </c>
      <c r="S1103">
        <v>1</v>
      </c>
      <c r="T1103" t="str">
        <f t="shared" si="127"/>
        <v>e</v>
      </c>
      <c r="U1103" t="s">
        <v>15</v>
      </c>
      <c r="Y1103" t="s">
        <v>767</v>
      </c>
      <c r="AA1103" t="s">
        <v>706</v>
      </c>
      <c r="AF1103" t="s">
        <v>623</v>
      </c>
      <c r="AJ1103">
        <v>1</v>
      </c>
      <c r="AM1103" t="str">
        <f t="shared" si="130"/>
        <v>Possession</v>
      </c>
      <c r="AN1103" t="str">
        <f t="shared" si="131"/>
        <v/>
      </c>
      <c r="AP1103" t="str">
        <f t="shared" si="132"/>
        <v>Offensive</v>
      </c>
      <c r="BB1103" s="23"/>
      <c r="BD1103" s="21"/>
      <c r="BE1103" s="21"/>
      <c r="BF1103" s="21"/>
      <c r="BG1103" s="21"/>
      <c r="BH1103" s="21"/>
      <c r="BI1103" s="21"/>
    </row>
    <row r="1104" spans="1:61" x14ac:dyDescent="0.2">
      <c r="A1104">
        <v>587</v>
      </c>
      <c r="B1104" t="s">
        <v>887</v>
      </c>
      <c r="C1104" t="str">
        <f t="shared" si="128"/>
        <v/>
      </c>
      <c r="D1104" t="str">
        <f t="shared" si="133"/>
        <v/>
      </c>
      <c r="H1104">
        <f t="shared" si="129"/>
        <v>1</v>
      </c>
      <c r="R1104">
        <v>91</v>
      </c>
      <c r="T1104" t="str">
        <f t="shared" si="127"/>
        <v>o</v>
      </c>
      <c r="Y1104" t="s">
        <v>764</v>
      </c>
      <c r="AA1104" t="s">
        <v>705</v>
      </c>
      <c r="AJ1104">
        <v>1</v>
      </c>
      <c r="AM1104" t="str">
        <f t="shared" si="130"/>
        <v>Possession</v>
      </c>
      <c r="AN1104" t="str">
        <f t="shared" si="131"/>
        <v/>
      </c>
      <c r="AP1104" t="str">
        <f t="shared" si="132"/>
        <v>Defensive</v>
      </c>
      <c r="BB1104" s="23"/>
      <c r="BD1104" s="21"/>
      <c r="BE1104" s="21"/>
      <c r="BF1104" s="21"/>
      <c r="BG1104" s="21"/>
      <c r="BH1104" s="21"/>
      <c r="BI1104" s="21"/>
    </row>
    <row r="1105" spans="1:61" x14ac:dyDescent="0.2">
      <c r="A1105">
        <v>588</v>
      </c>
      <c r="B1105" t="s">
        <v>887</v>
      </c>
      <c r="C1105" t="str">
        <f t="shared" si="128"/>
        <v/>
      </c>
      <c r="D1105" t="str">
        <f t="shared" si="133"/>
        <v/>
      </c>
      <c r="H1105">
        <f t="shared" si="129"/>
        <v>1</v>
      </c>
      <c r="I1105" s="5" t="s">
        <v>905</v>
      </c>
      <c r="J1105" s="5" t="s">
        <v>711</v>
      </c>
      <c r="K1105" s="5" t="s">
        <v>905</v>
      </c>
      <c r="L1105" s="7" t="s">
        <v>713</v>
      </c>
      <c r="Q1105" t="s">
        <v>620</v>
      </c>
      <c r="R1105">
        <v>42</v>
      </c>
      <c r="S1105">
        <v>1</v>
      </c>
      <c r="T1105" t="str">
        <f t="shared" si="127"/>
        <v>e</v>
      </c>
      <c r="U1105" t="s">
        <v>257</v>
      </c>
      <c r="V1105" t="s">
        <v>201</v>
      </c>
      <c r="W1105" t="s">
        <v>90</v>
      </c>
      <c r="X1105" t="s">
        <v>706</v>
      </c>
      <c r="AF1105" t="s">
        <v>623</v>
      </c>
      <c r="AM1105" t="str">
        <f t="shared" si="130"/>
        <v>Zone_Entry_Exit</v>
      </c>
      <c r="AN1105" t="str">
        <f t="shared" si="131"/>
        <v>Zone_Exit</v>
      </c>
      <c r="AP1105" t="str">
        <f t="shared" si="132"/>
        <v>Offensive</v>
      </c>
      <c r="BB1105" s="23"/>
      <c r="BD1105" s="21"/>
      <c r="BE1105" s="21"/>
      <c r="BF1105" s="21"/>
      <c r="BG1105" s="21"/>
      <c r="BH1105" s="21"/>
      <c r="BI1105" s="21"/>
    </row>
    <row r="1106" spans="1:61" x14ac:dyDescent="0.2">
      <c r="A1106">
        <v>589</v>
      </c>
      <c r="B1106" t="s">
        <v>887</v>
      </c>
      <c r="C1106" t="str">
        <f t="shared" si="128"/>
        <v/>
      </c>
      <c r="D1106" t="str">
        <f t="shared" si="133"/>
        <v/>
      </c>
      <c r="H1106">
        <f t="shared" si="129"/>
        <v>1</v>
      </c>
      <c r="I1106" s="5" t="s">
        <v>905</v>
      </c>
      <c r="J1106" s="5" t="s">
        <v>713</v>
      </c>
      <c r="K1106" s="5" t="s">
        <v>905</v>
      </c>
      <c r="L1106" s="7" t="s">
        <v>811</v>
      </c>
      <c r="Q1106" t="s">
        <v>620</v>
      </c>
      <c r="R1106">
        <v>42</v>
      </c>
      <c r="S1106">
        <v>1</v>
      </c>
      <c r="T1106" t="str">
        <f t="shared" si="127"/>
        <v>e</v>
      </c>
      <c r="U1106" t="s">
        <v>15</v>
      </c>
      <c r="AF1106" t="s">
        <v>635</v>
      </c>
      <c r="AM1106" t="str">
        <f t="shared" si="130"/>
        <v>Possession</v>
      </c>
      <c r="AN1106" t="str">
        <f t="shared" si="131"/>
        <v/>
      </c>
      <c r="AP1106" t="str">
        <f t="shared" si="132"/>
        <v>Offensive</v>
      </c>
      <c r="BB1106" s="23"/>
      <c r="BD1106" s="21"/>
      <c r="BE1106" s="21"/>
      <c r="BF1106" s="21"/>
      <c r="BG1106" s="21"/>
      <c r="BH1106" s="21"/>
      <c r="BI1106" s="21"/>
    </row>
    <row r="1107" spans="1:61" x14ac:dyDescent="0.2">
      <c r="A1107">
        <v>590</v>
      </c>
      <c r="B1107" t="s">
        <v>887</v>
      </c>
      <c r="C1107" t="str">
        <f t="shared" si="128"/>
        <v/>
      </c>
      <c r="D1107" t="str">
        <f t="shared" si="133"/>
        <v/>
      </c>
      <c r="H1107">
        <f t="shared" si="129"/>
        <v>1</v>
      </c>
      <c r="I1107" s="5" t="s">
        <v>905</v>
      </c>
      <c r="J1107" s="5" t="s">
        <v>811</v>
      </c>
      <c r="K1107" s="5" t="s">
        <v>905</v>
      </c>
      <c r="L1107" s="7" t="s">
        <v>776</v>
      </c>
      <c r="Q1107" t="s">
        <v>620</v>
      </c>
      <c r="R1107">
        <v>42</v>
      </c>
      <c r="S1107">
        <v>1</v>
      </c>
      <c r="T1107" t="str">
        <f t="shared" si="127"/>
        <v>e</v>
      </c>
      <c r="U1107" t="s">
        <v>257</v>
      </c>
      <c r="V1107" t="s">
        <v>191</v>
      </c>
      <c r="W1107" t="s">
        <v>87</v>
      </c>
      <c r="X1107" t="s">
        <v>706</v>
      </c>
      <c r="AF1107" t="s">
        <v>401</v>
      </c>
      <c r="AJ1107">
        <v>1</v>
      </c>
      <c r="AM1107" t="str">
        <f t="shared" si="130"/>
        <v>Zone_Entry_Exit</v>
      </c>
      <c r="AN1107" t="str">
        <f t="shared" si="131"/>
        <v>Zone_Entry</v>
      </c>
      <c r="AP1107" t="str">
        <f t="shared" si="132"/>
        <v>Offensive</v>
      </c>
      <c r="BB1107" s="23"/>
      <c r="BD1107" s="21"/>
      <c r="BE1107" s="21"/>
      <c r="BF1107" s="21"/>
      <c r="BG1107" s="21"/>
      <c r="BH1107" s="21"/>
      <c r="BI1107" s="21"/>
    </row>
    <row r="1108" spans="1:61" x14ac:dyDescent="0.2">
      <c r="A1108">
        <v>590</v>
      </c>
      <c r="B1108" t="s">
        <v>887</v>
      </c>
      <c r="C1108" t="str">
        <f t="shared" si="128"/>
        <v/>
      </c>
      <c r="D1108" t="str">
        <f t="shared" si="133"/>
        <v/>
      </c>
      <c r="H1108">
        <f t="shared" si="129"/>
        <v>1</v>
      </c>
      <c r="R1108">
        <v>14</v>
      </c>
      <c r="S1108">
        <v>1</v>
      </c>
      <c r="T1108" t="str">
        <f t="shared" si="127"/>
        <v>e</v>
      </c>
      <c r="AM1108" t="str">
        <f t="shared" si="130"/>
        <v>Zone_Entry_Exit</v>
      </c>
      <c r="AN1108" t="str">
        <f t="shared" si="131"/>
        <v>Zone_Entry</v>
      </c>
      <c r="AP1108" t="str">
        <f t="shared" si="132"/>
        <v>Offensive</v>
      </c>
      <c r="BB1108" s="23"/>
      <c r="BD1108" s="21"/>
      <c r="BE1108" s="21"/>
      <c r="BF1108" s="21"/>
      <c r="BG1108" s="21"/>
      <c r="BH1108" s="21"/>
      <c r="BI1108" s="21"/>
    </row>
    <row r="1109" spans="1:61" x14ac:dyDescent="0.2">
      <c r="A1109">
        <v>590</v>
      </c>
      <c r="B1109" t="s">
        <v>887</v>
      </c>
      <c r="C1109" t="str">
        <f t="shared" si="128"/>
        <v/>
      </c>
      <c r="D1109" t="str">
        <f t="shared" si="133"/>
        <v/>
      </c>
      <c r="H1109">
        <f t="shared" si="129"/>
        <v>1</v>
      </c>
      <c r="R1109">
        <v>4</v>
      </c>
      <c r="T1109" t="str">
        <f t="shared" si="127"/>
        <v>o</v>
      </c>
      <c r="AJ1109">
        <v>1</v>
      </c>
      <c r="AM1109" t="str">
        <f t="shared" si="130"/>
        <v>Zone_Entry_Exit</v>
      </c>
      <c r="AN1109" t="str">
        <f t="shared" si="131"/>
        <v>Zone_Entry</v>
      </c>
      <c r="AP1109" t="str">
        <f t="shared" si="132"/>
        <v>Defensive</v>
      </c>
      <c r="BB1109" s="23"/>
      <c r="BD1109" s="21"/>
      <c r="BE1109" s="21"/>
      <c r="BF1109" s="21"/>
      <c r="BG1109" s="21"/>
      <c r="BH1109" s="21"/>
      <c r="BI1109" s="21"/>
    </row>
    <row r="1110" spans="1:61" x14ac:dyDescent="0.2">
      <c r="A1110">
        <v>590</v>
      </c>
      <c r="B1110" t="s">
        <v>887</v>
      </c>
      <c r="C1110" t="str">
        <f t="shared" si="128"/>
        <v/>
      </c>
      <c r="D1110" t="str">
        <f t="shared" si="133"/>
        <v/>
      </c>
      <c r="H1110">
        <f t="shared" si="129"/>
        <v>1</v>
      </c>
      <c r="R1110">
        <v>25</v>
      </c>
      <c r="T1110" t="str">
        <f t="shared" si="127"/>
        <v>o</v>
      </c>
      <c r="AM1110" t="str">
        <f t="shared" si="130"/>
        <v>Zone_Entry_Exit</v>
      </c>
      <c r="AN1110" t="str">
        <f t="shared" si="131"/>
        <v>Zone_Entry</v>
      </c>
      <c r="AP1110" t="str">
        <f t="shared" si="132"/>
        <v>Defensive</v>
      </c>
      <c r="BB1110" s="23"/>
      <c r="BD1110" s="21"/>
      <c r="BE1110" s="21"/>
      <c r="BF1110" s="21"/>
      <c r="BG1110" s="21"/>
      <c r="BH1110" s="21"/>
      <c r="BI1110" s="21"/>
    </row>
    <row r="1111" spans="1:61" x14ac:dyDescent="0.2">
      <c r="A1111">
        <v>591</v>
      </c>
      <c r="B1111">
        <v>100</v>
      </c>
      <c r="C1111">
        <f t="shared" si="128"/>
        <v>9100</v>
      </c>
      <c r="D1111">
        <f t="shared" si="133"/>
        <v>9100</v>
      </c>
      <c r="H1111">
        <f t="shared" si="129"/>
        <v>1</v>
      </c>
      <c r="I1111" s="5" t="s">
        <v>905</v>
      </c>
      <c r="J1111" s="5" t="s">
        <v>776</v>
      </c>
      <c r="Q1111" t="s">
        <v>620</v>
      </c>
      <c r="R1111">
        <v>42</v>
      </c>
      <c r="S1111">
        <v>1</v>
      </c>
      <c r="T1111" t="str">
        <f t="shared" si="127"/>
        <v>e</v>
      </c>
      <c r="U1111" t="s">
        <v>7</v>
      </c>
      <c r="V1111" t="s">
        <v>222</v>
      </c>
      <c r="W1111" t="s">
        <v>53</v>
      </c>
      <c r="X1111" t="s">
        <v>706</v>
      </c>
      <c r="AF1111" t="s">
        <v>401</v>
      </c>
      <c r="AJ1111">
        <v>1</v>
      </c>
      <c r="AM1111" t="str">
        <f t="shared" si="130"/>
        <v>Shot</v>
      </c>
      <c r="AN1111" t="str">
        <f t="shared" si="131"/>
        <v>Shot_OnNetSaved</v>
      </c>
      <c r="AP1111" t="str">
        <f t="shared" si="132"/>
        <v>Offensive</v>
      </c>
      <c r="BB1111" s="23"/>
      <c r="BD1111" s="21"/>
      <c r="BE1111" s="21"/>
      <c r="BF1111" s="21"/>
      <c r="BG1111" s="21"/>
      <c r="BH1111" s="21"/>
      <c r="BI1111" s="21"/>
    </row>
    <row r="1112" spans="1:61" x14ac:dyDescent="0.2">
      <c r="A1112">
        <v>591</v>
      </c>
      <c r="B1112">
        <v>100</v>
      </c>
      <c r="C1112">
        <f t="shared" si="128"/>
        <v>9100</v>
      </c>
      <c r="D1112">
        <f t="shared" si="133"/>
        <v>9100</v>
      </c>
      <c r="H1112">
        <f t="shared" si="129"/>
        <v>1</v>
      </c>
      <c r="R1112">
        <v>30</v>
      </c>
      <c r="T1112" t="str">
        <f t="shared" si="127"/>
        <v>o</v>
      </c>
      <c r="AM1112" t="str">
        <f t="shared" si="130"/>
        <v>Shot</v>
      </c>
      <c r="AN1112" t="str">
        <f t="shared" si="131"/>
        <v>Shot_OnNetSaved</v>
      </c>
      <c r="AP1112" t="str">
        <f t="shared" si="132"/>
        <v>Defensive</v>
      </c>
      <c r="BB1112" s="23"/>
      <c r="BD1112" s="21"/>
      <c r="BE1112" s="21"/>
      <c r="BF1112" s="21"/>
      <c r="BG1112" s="21"/>
      <c r="BH1112" s="21"/>
      <c r="BI1112" s="21"/>
    </row>
    <row r="1113" spans="1:61" x14ac:dyDescent="0.2">
      <c r="A1113">
        <v>591</v>
      </c>
      <c r="B1113">
        <v>100</v>
      </c>
      <c r="C1113">
        <f t="shared" si="128"/>
        <v>9100</v>
      </c>
      <c r="D1113">
        <f t="shared" si="133"/>
        <v>9100</v>
      </c>
      <c r="H1113">
        <f t="shared" si="129"/>
        <v>1</v>
      </c>
      <c r="R1113">
        <v>4</v>
      </c>
      <c r="T1113" t="str">
        <f t="shared" si="127"/>
        <v>o</v>
      </c>
      <c r="Y1113" t="s">
        <v>715</v>
      </c>
      <c r="AJ1113">
        <v>1</v>
      </c>
      <c r="AM1113" t="str">
        <f t="shared" si="130"/>
        <v>Shot</v>
      </c>
      <c r="AN1113" t="str">
        <f t="shared" si="131"/>
        <v>Shot_OnNetSaved</v>
      </c>
      <c r="AP1113" t="str">
        <f t="shared" si="132"/>
        <v>Defensive</v>
      </c>
      <c r="BB1113" s="23"/>
      <c r="BD1113" s="21"/>
      <c r="BE1113" s="21"/>
      <c r="BF1113" s="21"/>
      <c r="BG1113" s="21"/>
      <c r="BH1113" s="21"/>
      <c r="BI1113" s="21"/>
    </row>
    <row r="1114" spans="1:61" x14ac:dyDescent="0.2">
      <c r="A1114">
        <v>592</v>
      </c>
      <c r="B1114">
        <v>100</v>
      </c>
      <c r="C1114">
        <f t="shared" si="128"/>
        <v>9100</v>
      </c>
      <c r="D1114">
        <f t="shared" si="133"/>
        <v>9100</v>
      </c>
      <c r="H1114">
        <f t="shared" si="129"/>
        <v>1</v>
      </c>
      <c r="I1114" s="5" t="s">
        <v>905</v>
      </c>
      <c r="J1114" s="5" t="s">
        <v>776</v>
      </c>
      <c r="Q1114" t="s">
        <v>619</v>
      </c>
      <c r="R1114">
        <v>30</v>
      </c>
      <c r="S1114">
        <v>1</v>
      </c>
      <c r="T1114" t="str">
        <f t="shared" si="127"/>
        <v>e</v>
      </c>
      <c r="U1114" t="s">
        <v>17</v>
      </c>
      <c r="V1114" t="s">
        <v>206</v>
      </c>
      <c r="W1114" t="s">
        <v>102</v>
      </c>
      <c r="AF1114" t="s">
        <v>623</v>
      </c>
      <c r="AM1114" t="str">
        <f t="shared" si="130"/>
        <v>Save</v>
      </c>
      <c r="AN1114" t="str">
        <f t="shared" si="131"/>
        <v>Save_Freeze</v>
      </c>
      <c r="AP1114" t="str">
        <f t="shared" si="132"/>
        <v>Defensive</v>
      </c>
      <c r="BB1114" s="23"/>
      <c r="BD1114" s="21"/>
      <c r="BE1114" s="21"/>
      <c r="BF1114" s="21"/>
      <c r="BG1114" s="21"/>
      <c r="BH1114" s="21"/>
      <c r="BI1114" s="21"/>
    </row>
    <row r="1115" spans="1:61" x14ac:dyDescent="0.2">
      <c r="A1115">
        <v>592</v>
      </c>
      <c r="B1115">
        <v>100</v>
      </c>
      <c r="C1115">
        <f t="shared" si="128"/>
        <v>9100</v>
      </c>
      <c r="D1115">
        <f t="shared" si="133"/>
        <v>9100</v>
      </c>
      <c r="H1115">
        <f t="shared" si="129"/>
        <v>1</v>
      </c>
      <c r="R1115">
        <v>4</v>
      </c>
      <c r="S1115">
        <v>1</v>
      </c>
      <c r="T1115" t="str">
        <f t="shared" si="127"/>
        <v>e</v>
      </c>
      <c r="Y1115" t="s">
        <v>715</v>
      </c>
      <c r="AJ1115">
        <v>1</v>
      </c>
      <c r="AM1115" t="str">
        <f t="shared" si="130"/>
        <v>Save</v>
      </c>
      <c r="AN1115" t="str">
        <f t="shared" si="131"/>
        <v>Save_Freeze</v>
      </c>
      <c r="AP1115" t="str">
        <f t="shared" si="132"/>
        <v>Defensive</v>
      </c>
      <c r="BB1115" s="23"/>
      <c r="BD1115" s="21"/>
      <c r="BE1115" s="21"/>
      <c r="BF1115" s="21"/>
      <c r="BG1115" s="21"/>
      <c r="BH1115" s="21"/>
      <c r="BI1115" s="21"/>
    </row>
    <row r="1116" spans="1:61" x14ac:dyDescent="0.2">
      <c r="A1116">
        <v>592</v>
      </c>
      <c r="B1116">
        <v>100</v>
      </c>
      <c r="C1116">
        <f t="shared" si="128"/>
        <v>9100</v>
      </c>
      <c r="D1116">
        <f t="shared" si="133"/>
        <v>9100</v>
      </c>
      <c r="H1116">
        <f t="shared" si="129"/>
        <v>1</v>
      </c>
      <c r="R1116">
        <v>42</v>
      </c>
      <c r="T1116" t="str">
        <f t="shared" si="127"/>
        <v>o</v>
      </c>
      <c r="AJ1116">
        <v>1</v>
      </c>
      <c r="AM1116" t="str">
        <f t="shared" si="130"/>
        <v>Save</v>
      </c>
      <c r="AN1116" t="str">
        <f t="shared" si="131"/>
        <v>Save_Freeze</v>
      </c>
      <c r="AP1116" t="str">
        <f t="shared" si="132"/>
        <v>Offensive</v>
      </c>
      <c r="BB1116" s="23"/>
      <c r="BD1116" s="21"/>
      <c r="BE1116" s="21"/>
      <c r="BF1116" s="21"/>
      <c r="BG1116" s="21"/>
      <c r="BH1116" s="21"/>
      <c r="BI1116" s="21"/>
    </row>
    <row r="1117" spans="1:61" x14ac:dyDescent="0.2">
      <c r="A1117">
        <v>593</v>
      </c>
      <c r="B1117">
        <v>100</v>
      </c>
      <c r="C1117">
        <f t="shared" si="128"/>
        <v>9100</v>
      </c>
      <c r="D1117">
        <f t="shared" si="133"/>
        <v>9100</v>
      </c>
      <c r="H1117">
        <f t="shared" si="129"/>
        <v>1</v>
      </c>
      <c r="I1117" s="5" t="s">
        <v>905</v>
      </c>
      <c r="J1117" s="5" t="s">
        <v>778</v>
      </c>
      <c r="Q1117" t="s">
        <v>619</v>
      </c>
      <c r="R1117">
        <v>30</v>
      </c>
      <c r="S1117">
        <v>1</v>
      </c>
      <c r="T1117" t="str">
        <f t="shared" si="127"/>
        <v>e</v>
      </c>
      <c r="U1117" t="s">
        <v>13</v>
      </c>
      <c r="V1117" t="s">
        <v>204</v>
      </c>
      <c r="W1117" t="s">
        <v>110</v>
      </c>
      <c r="AF1117" t="s">
        <v>623</v>
      </c>
      <c r="AM1117" t="str">
        <f t="shared" si="130"/>
        <v>Stoppage</v>
      </c>
      <c r="AN1117" t="str">
        <f t="shared" si="131"/>
        <v>Stoppage_Play</v>
      </c>
      <c r="AP1117" t="str">
        <f t="shared" si="132"/>
        <v/>
      </c>
      <c r="BB1117" s="23"/>
      <c r="BD1117" s="21"/>
      <c r="BE1117" s="21"/>
      <c r="BF1117" s="21"/>
      <c r="BG1117" s="21"/>
      <c r="BH1117" s="21"/>
      <c r="BI1117" s="21"/>
    </row>
    <row r="1118" spans="1:61" x14ac:dyDescent="0.2">
      <c r="A1118">
        <v>594</v>
      </c>
      <c r="B1118">
        <v>100</v>
      </c>
      <c r="C1118">
        <f t="shared" si="128"/>
        <v>9100</v>
      </c>
      <c r="D1118">
        <f t="shared" si="133"/>
        <v>9100</v>
      </c>
      <c r="H1118">
        <f t="shared" si="129"/>
        <v>1</v>
      </c>
      <c r="I1118" s="5" t="s">
        <v>905</v>
      </c>
      <c r="J1118" s="5" t="s">
        <v>778</v>
      </c>
      <c r="K1118" s="5" t="s">
        <v>905</v>
      </c>
      <c r="L1118" s="7" t="s">
        <v>734</v>
      </c>
      <c r="Q1118" t="s">
        <v>619</v>
      </c>
      <c r="R1118">
        <v>30</v>
      </c>
      <c r="S1118">
        <v>1</v>
      </c>
      <c r="T1118" t="str">
        <f t="shared" si="127"/>
        <v>e</v>
      </c>
      <c r="U1118" t="s">
        <v>262</v>
      </c>
      <c r="AF1118" t="s">
        <v>623</v>
      </c>
      <c r="AM1118" t="str">
        <f t="shared" si="130"/>
        <v>DeadIce</v>
      </c>
      <c r="AN1118" t="str">
        <f t="shared" si="131"/>
        <v/>
      </c>
      <c r="AP1118" t="str">
        <f t="shared" si="132"/>
        <v/>
      </c>
      <c r="BB1118" s="23"/>
      <c r="BD1118" s="21"/>
      <c r="BE1118" s="21"/>
      <c r="BF1118" s="21"/>
      <c r="BG1118" s="21"/>
      <c r="BH1118" s="21"/>
      <c r="BI1118" s="21"/>
    </row>
    <row r="1119" spans="1:61" x14ac:dyDescent="0.2">
      <c r="A1119">
        <v>595</v>
      </c>
      <c r="B1119" t="s">
        <v>887</v>
      </c>
      <c r="C1119" t="str">
        <f t="shared" si="128"/>
        <v/>
      </c>
      <c r="D1119" t="str">
        <f t="shared" si="133"/>
        <v/>
      </c>
      <c r="H1119">
        <f t="shared" si="129"/>
        <v>1</v>
      </c>
      <c r="I1119" s="5" t="s">
        <v>905</v>
      </c>
      <c r="J1119" s="5" t="s">
        <v>734</v>
      </c>
      <c r="Q1119" t="s">
        <v>619</v>
      </c>
      <c r="R1119">
        <v>77</v>
      </c>
      <c r="S1119">
        <v>1</v>
      </c>
      <c r="T1119" t="str">
        <f t="shared" si="127"/>
        <v>e</v>
      </c>
      <c r="U1119" t="s">
        <v>6</v>
      </c>
      <c r="V1119" t="s">
        <v>255</v>
      </c>
      <c r="AF1119" t="s">
        <v>623</v>
      </c>
      <c r="AM1119" t="str">
        <f t="shared" si="130"/>
        <v>Faceoff</v>
      </c>
      <c r="AN1119" t="str">
        <f t="shared" si="131"/>
        <v>Faceoff_AfterStoppage</v>
      </c>
      <c r="AP1119" t="str">
        <f t="shared" si="132"/>
        <v>Offensive</v>
      </c>
      <c r="BB1119" s="23"/>
      <c r="BD1119" s="21"/>
      <c r="BE1119" s="21"/>
      <c r="BF1119" s="21"/>
      <c r="BG1119" s="21"/>
      <c r="BH1119" s="21"/>
      <c r="BI1119" s="21"/>
    </row>
    <row r="1120" spans="1:61" x14ac:dyDescent="0.2">
      <c r="A1120">
        <v>595</v>
      </c>
      <c r="B1120" t="s">
        <v>887</v>
      </c>
      <c r="C1120" t="str">
        <f t="shared" si="128"/>
        <v/>
      </c>
      <c r="D1120" t="str">
        <f t="shared" si="133"/>
        <v/>
      </c>
      <c r="H1120">
        <f t="shared" si="129"/>
        <v>1</v>
      </c>
      <c r="R1120">
        <v>42</v>
      </c>
      <c r="T1120" t="str">
        <f t="shared" si="127"/>
        <v>o</v>
      </c>
      <c r="AM1120" t="str">
        <f t="shared" si="130"/>
        <v>Faceoff</v>
      </c>
      <c r="AN1120" t="str">
        <f t="shared" si="131"/>
        <v>Faceoff_AfterStoppage</v>
      </c>
      <c r="AP1120" t="str">
        <f t="shared" si="132"/>
        <v>Defensive</v>
      </c>
      <c r="BB1120" s="23"/>
      <c r="BD1120" s="21"/>
      <c r="BE1120" s="21"/>
      <c r="BF1120" s="21"/>
      <c r="BG1120" s="21"/>
      <c r="BH1120" s="21"/>
      <c r="BI1120" s="21"/>
    </row>
    <row r="1121" spans="1:61" x14ac:dyDescent="0.2">
      <c r="A1121">
        <v>596</v>
      </c>
      <c r="B1121" t="s">
        <v>887</v>
      </c>
      <c r="C1121" t="str">
        <f t="shared" si="128"/>
        <v/>
      </c>
      <c r="D1121" t="str">
        <f t="shared" si="133"/>
        <v/>
      </c>
      <c r="H1121">
        <f t="shared" si="129"/>
        <v>1</v>
      </c>
      <c r="I1121" s="5" t="s">
        <v>905</v>
      </c>
      <c r="J1121" s="5" t="s">
        <v>735</v>
      </c>
      <c r="Q1121" t="s">
        <v>619</v>
      </c>
      <c r="R1121">
        <v>4</v>
      </c>
      <c r="S1121">
        <v>1</v>
      </c>
      <c r="T1121" t="str">
        <f t="shared" si="127"/>
        <v>e</v>
      </c>
      <c r="U1121" t="s">
        <v>257</v>
      </c>
      <c r="V1121" t="s">
        <v>201</v>
      </c>
      <c r="W1121" t="s">
        <v>413</v>
      </c>
      <c r="AF1121" t="s">
        <v>623</v>
      </c>
      <c r="AM1121" t="str">
        <f t="shared" si="130"/>
        <v>Zone_Entry_Exit</v>
      </c>
      <c r="AN1121" t="str">
        <f t="shared" si="131"/>
        <v>Zone_Exit</v>
      </c>
      <c r="AP1121" t="str">
        <f t="shared" si="132"/>
        <v>Offensive</v>
      </c>
      <c r="BB1121" s="23"/>
      <c r="BD1121" s="21"/>
      <c r="BE1121" s="21"/>
      <c r="BF1121" s="21"/>
      <c r="BG1121" s="21"/>
      <c r="BH1121" s="21"/>
      <c r="BI1121" s="21"/>
    </row>
    <row r="1122" spans="1:61" x14ac:dyDescent="0.2">
      <c r="A1122">
        <v>597</v>
      </c>
      <c r="B1122" t="s">
        <v>887</v>
      </c>
      <c r="C1122" t="str">
        <f t="shared" si="128"/>
        <v/>
      </c>
      <c r="D1122" t="str">
        <f t="shared" si="133"/>
        <v/>
      </c>
      <c r="H1122">
        <f t="shared" si="129"/>
        <v>1</v>
      </c>
      <c r="I1122" s="5" t="s">
        <v>905</v>
      </c>
      <c r="J1122" s="5" t="s">
        <v>735</v>
      </c>
      <c r="Q1122" t="s">
        <v>619</v>
      </c>
      <c r="R1122">
        <v>4</v>
      </c>
      <c r="S1122">
        <v>1</v>
      </c>
      <c r="T1122" t="str">
        <f t="shared" si="127"/>
        <v>e</v>
      </c>
      <c r="U1122" t="s">
        <v>257</v>
      </c>
      <c r="V1122" t="s">
        <v>191</v>
      </c>
      <c r="W1122" t="s">
        <v>408</v>
      </c>
      <c r="AF1122" t="s">
        <v>623</v>
      </c>
      <c r="AM1122" t="str">
        <f t="shared" si="130"/>
        <v>Zone_Entry_Exit</v>
      </c>
      <c r="AN1122" t="str">
        <f t="shared" si="131"/>
        <v>Zone_Entry</v>
      </c>
      <c r="AP1122" t="str">
        <f t="shared" si="132"/>
        <v>Offensive</v>
      </c>
      <c r="BB1122" s="23"/>
      <c r="BD1122" s="21"/>
      <c r="BE1122" s="21"/>
      <c r="BF1122" s="21"/>
      <c r="BG1122" s="21"/>
      <c r="BH1122" s="21"/>
      <c r="BI1122" s="21"/>
    </row>
    <row r="1123" spans="1:61" x14ac:dyDescent="0.2">
      <c r="A1123">
        <v>598</v>
      </c>
      <c r="B1123" t="s">
        <v>887</v>
      </c>
      <c r="C1123" t="str">
        <f t="shared" si="128"/>
        <v/>
      </c>
      <c r="D1123" t="str">
        <f t="shared" si="133"/>
        <v/>
      </c>
      <c r="H1123">
        <f t="shared" si="129"/>
        <v>1</v>
      </c>
      <c r="I1123" s="5" t="s">
        <v>905</v>
      </c>
      <c r="J1123" s="5" t="s">
        <v>785</v>
      </c>
      <c r="Q1123" t="s">
        <v>619</v>
      </c>
      <c r="R1123">
        <v>13</v>
      </c>
      <c r="S1123">
        <v>1</v>
      </c>
      <c r="T1123" t="str">
        <f t="shared" si="127"/>
        <v>e</v>
      </c>
      <c r="U1123" t="s">
        <v>15</v>
      </c>
      <c r="V1123" t="s">
        <v>698</v>
      </c>
      <c r="X1123" t="s">
        <v>706</v>
      </c>
      <c r="Y1123" t="s">
        <v>858</v>
      </c>
      <c r="AA1123" t="s">
        <v>706</v>
      </c>
      <c r="AF1123" t="s">
        <v>401</v>
      </c>
      <c r="AM1123" t="str">
        <f t="shared" si="130"/>
        <v>Possession</v>
      </c>
      <c r="AN1123" t="str">
        <f t="shared" si="131"/>
        <v>PuckRecovery</v>
      </c>
      <c r="AP1123" t="str">
        <f t="shared" si="132"/>
        <v>Offensive</v>
      </c>
      <c r="BB1123" s="23"/>
      <c r="BD1123" s="21"/>
      <c r="BE1123" s="21"/>
      <c r="BF1123" s="21"/>
      <c r="BG1123" s="21"/>
      <c r="BH1123" s="21"/>
      <c r="BI1123" s="21"/>
    </row>
    <row r="1124" spans="1:61" x14ac:dyDescent="0.2">
      <c r="A1124">
        <v>598</v>
      </c>
      <c r="B1124" t="s">
        <v>887</v>
      </c>
      <c r="C1124" t="str">
        <f t="shared" si="128"/>
        <v/>
      </c>
      <c r="D1124" t="str">
        <f t="shared" si="133"/>
        <v/>
      </c>
      <c r="H1124">
        <f t="shared" si="129"/>
        <v>1</v>
      </c>
      <c r="R1124">
        <v>68</v>
      </c>
      <c r="S1124">
        <v>1</v>
      </c>
      <c r="T1124" t="str">
        <f t="shared" si="127"/>
        <v>e</v>
      </c>
      <c r="Y1124" t="s">
        <v>858</v>
      </c>
      <c r="AA1124" t="s">
        <v>705</v>
      </c>
      <c r="AJ1124">
        <v>1</v>
      </c>
      <c r="AM1124" t="str">
        <f t="shared" si="130"/>
        <v>Possession</v>
      </c>
      <c r="AN1124" t="str">
        <f t="shared" si="131"/>
        <v>PuckRecovery</v>
      </c>
      <c r="AP1124" t="str">
        <f t="shared" si="132"/>
        <v>Offensive</v>
      </c>
      <c r="BB1124" s="23"/>
      <c r="BD1124" s="21"/>
      <c r="BE1124" s="21"/>
      <c r="BF1124" s="21"/>
      <c r="BG1124" s="21"/>
      <c r="BH1124" s="21"/>
      <c r="BI1124" s="21"/>
    </row>
    <row r="1125" spans="1:61" x14ac:dyDescent="0.2">
      <c r="A1125">
        <v>598</v>
      </c>
      <c r="B1125" t="s">
        <v>887</v>
      </c>
      <c r="C1125" t="str">
        <f t="shared" si="128"/>
        <v/>
      </c>
      <c r="D1125" t="str">
        <f t="shared" si="133"/>
        <v/>
      </c>
      <c r="H1125">
        <f t="shared" si="129"/>
        <v>1</v>
      </c>
      <c r="R1125">
        <v>22</v>
      </c>
      <c r="T1125" t="str">
        <f t="shared" si="127"/>
        <v>o</v>
      </c>
      <c r="Y1125" t="s">
        <v>845</v>
      </c>
      <c r="AA1125" t="s">
        <v>705</v>
      </c>
      <c r="AJ1125">
        <v>1</v>
      </c>
      <c r="AM1125" t="str">
        <f t="shared" si="130"/>
        <v>Possession</v>
      </c>
      <c r="AN1125" t="str">
        <f t="shared" si="131"/>
        <v>PuckRecovery</v>
      </c>
      <c r="AP1125" t="str">
        <f t="shared" si="132"/>
        <v>Defensive</v>
      </c>
      <c r="BB1125" s="23"/>
      <c r="BD1125" s="21"/>
      <c r="BE1125" s="21"/>
      <c r="BF1125" s="21"/>
      <c r="BG1125" s="21"/>
      <c r="BH1125" s="21"/>
      <c r="BI1125" s="21"/>
    </row>
    <row r="1126" spans="1:61" x14ac:dyDescent="0.2">
      <c r="A1126">
        <v>599</v>
      </c>
      <c r="B1126" t="s">
        <v>887</v>
      </c>
      <c r="C1126" t="str">
        <f t="shared" si="128"/>
        <v/>
      </c>
      <c r="D1126" t="str">
        <f t="shared" si="133"/>
        <v/>
      </c>
      <c r="H1126">
        <f t="shared" si="129"/>
        <v>1</v>
      </c>
      <c r="I1126" s="5" t="s">
        <v>905</v>
      </c>
      <c r="J1126" s="5" t="s">
        <v>786</v>
      </c>
      <c r="Q1126" t="s">
        <v>619</v>
      </c>
      <c r="R1126">
        <v>13</v>
      </c>
      <c r="S1126">
        <v>1</v>
      </c>
      <c r="T1126" t="str">
        <f t="shared" si="127"/>
        <v>e</v>
      </c>
      <c r="U1126" t="s">
        <v>7</v>
      </c>
      <c r="V1126" t="s">
        <v>198</v>
      </c>
      <c r="W1126" t="s">
        <v>55</v>
      </c>
      <c r="X1126" t="s">
        <v>705</v>
      </c>
      <c r="AF1126" t="s">
        <v>401</v>
      </c>
      <c r="AJ1126">
        <v>1</v>
      </c>
      <c r="AM1126" t="str">
        <f t="shared" si="130"/>
        <v>Shot</v>
      </c>
      <c r="AN1126" t="str">
        <f t="shared" si="131"/>
        <v>Shot_Missed</v>
      </c>
      <c r="AP1126" t="str">
        <f t="shared" si="132"/>
        <v>Offensive</v>
      </c>
      <c r="BB1126" s="23"/>
      <c r="BD1126" s="21"/>
      <c r="BE1126" s="21"/>
      <c r="BF1126" s="21"/>
      <c r="BG1126" s="21"/>
      <c r="BH1126" s="21"/>
      <c r="BI1126" s="21"/>
    </row>
    <row r="1127" spans="1:61" x14ac:dyDescent="0.2">
      <c r="A1127">
        <v>599</v>
      </c>
      <c r="B1127" t="s">
        <v>887</v>
      </c>
      <c r="C1127" t="str">
        <f t="shared" si="128"/>
        <v/>
      </c>
      <c r="D1127" t="str">
        <f t="shared" si="133"/>
        <v/>
      </c>
      <c r="H1127">
        <f t="shared" si="129"/>
        <v>1</v>
      </c>
      <c r="R1127">
        <v>9</v>
      </c>
      <c r="T1127" t="str">
        <f t="shared" si="127"/>
        <v>o</v>
      </c>
      <c r="Y1127" t="s">
        <v>715</v>
      </c>
      <c r="AA1127" t="s">
        <v>706</v>
      </c>
      <c r="AJ1127">
        <v>1</v>
      </c>
      <c r="AM1127" t="str">
        <f t="shared" si="130"/>
        <v>Shot</v>
      </c>
      <c r="AN1127" t="str">
        <f t="shared" si="131"/>
        <v>Shot_Missed</v>
      </c>
      <c r="AP1127" t="str">
        <f t="shared" si="132"/>
        <v>Defensive</v>
      </c>
      <c r="BB1127" s="23"/>
      <c r="BD1127" s="21"/>
      <c r="BE1127" s="21"/>
      <c r="BF1127" s="21"/>
      <c r="BG1127" s="21"/>
      <c r="BH1127" s="21"/>
      <c r="BI1127" s="21"/>
    </row>
    <row r="1128" spans="1:61" x14ac:dyDescent="0.2">
      <c r="A1128">
        <v>600</v>
      </c>
      <c r="B1128" t="s">
        <v>887</v>
      </c>
      <c r="C1128" t="str">
        <f t="shared" si="128"/>
        <v/>
      </c>
      <c r="D1128" t="str">
        <f t="shared" si="133"/>
        <v/>
      </c>
      <c r="H1128">
        <f t="shared" si="129"/>
        <v>1</v>
      </c>
      <c r="I1128" s="5" t="s">
        <v>905</v>
      </c>
      <c r="J1128" s="5" t="s">
        <v>446</v>
      </c>
      <c r="T1128" t="str">
        <f t="shared" si="127"/>
        <v>o</v>
      </c>
      <c r="U1128" t="s">
        <v>13</v>
      </c>
      <c r="V1128" t="s">
        <v>194</v>
      </c>
      <c r="W1128" t="s">
        <v>41</v>
      </c>
      <c r="AM1128" t="str">
        <f t="shared" si="130"/>
        <v>Stoppage</v>
      </c>
      <c r="AN1128" t="str">
        <f t="shared" si="131"/>
        <v>Stoppage_Period</v>
      </c>
      <c r="AP1128" t="str">
        <f t="shared" si="132"/>
        <v/>
      </c>
      <c r="BB1128" s="23"/>
      <c r="BD1128" s="21"/>
      <c r="BE1128" s="21"/>
      <c r="BF1128" s="21"/>
      <c r="BG1128" s="21"/>
      <c r="BH1128" s="21"/>
      <c r="BI1128" s="21"/>
    </row>
    <row r="1129" spans="1:61" x14ac:dyDescent="0.2">
      <c r="A1129">
        <v>601</v>
      </c>
      <c r="B1129" t="s">
        <v>887</v>
      </c>
      <c r="C1129" t="str">
        <f t="shared" si="128"/>
        <v/>
      </c>
      <c r="D1129" t="str">
        <f t="shared" si="133"/>
        <v/>
      </c>
      <c r="H1129">
        <f t="shared" si="129"/>
        <v>2</v>
      </c>
      <c r="I1129" s="5" t="s">
        <v>750</v>
      </c>
      <c r="J1129" s="5" t="s">
        <v>673</v>
      </c>
      <c r="K1129" s="5" t="s">
        <v>637</v>
      </c>
      <c r="L1129" s="7" t="s">
        <v>716</v>
      </c>
      <c r="T1129" t="str">
        <f t="shared" si="127"/>
        <v>o</v>
      </c>
      <c r="U1129" t="s">
        <v>426</v>
      </c>
      <c r="AM1129" t="str">
        <f t="shared" si="130"/>
        <v>Intermission</v>
      </c>
      <c r="AN1129" t="str">
        <f t="shared" si="131"/>
        <v/>
      </c>
      <c r="AP1129" t="str">
        <f t="shared" si="132"/>
        <v/>
      </c>
      <c r="BB1129" s="23"/>
      <c r="BD1129" s="21"/>
      <c r="BE1129" s="21"/>
      <c r="BF1129" s="21"/>
      <c r="BG1129" s="21"/>
      <c r="BH1129" s="21"/>
      <c r="BI1129" s="21"/>
    </row>
    <row r="1130" spans="1:61" x14ac:dyDescent="0.2">
      <c r="A1130">
        <v>602</v>
      </c>
      <c r="B1130" t="s">
        <v>887</v>
      </c>
      <c r="C1130" t="str">
        <f t="shared" si="128"/>
        <v/>
      </c>
      <c r="D1130" t="str">
        <f t="shared" si="133"/>
        <v/>
      </c>
      <c r="H1130">
        <f t="shared" si="129"/>
        <v>2</v>
      </c>
      <c r="I1130" s="5" t="s">
        <v>782</v>
      </c>
      <c r="J1130" s="5" t="s">
        <v>446</v>
      </c>
      <c r="Q1130" t="s">
        <v>620</v>
      </c>
      <c r="R1130">
        <v>70</v>
      </c>
      <c r="S1130">
        <v>1</v>
      </c>
      <c r="T1130" t="str">
        <f t="shared" si="127"/>
        <v>e</v>
      </c>
      <c r="U1130" t="s">
        <v>6</v>
      </c>
      <c r="V1130" t="s">
        <v>214</v>
      </c>
      <c r="AF1130" t="s">
        <v>635</v>
      </c>
      <c r="AM1130" t="str">
        <f t="shared" si="130"/>
        <v>Faceoff</v>
      </c>
      <c r="AN1130" t="str">
        <f t="shared" si="131"/>
        <v>Faceoff_PeriodStart</v>
      </c>
      <c r="AP1130" t="str">
        <f t="shared" si="132"/>
        <v>Offensive</v>
      </c>
      <c r="BB1130" s="23"/>
      <c r="BD1130" s="21"/>
      <c r="BE1130" s="21"/>
      <c r="BF1130" s="21"/>
      <c r="BG1130" s="21"/>
      <c r="BH1130" s="21"/>
      <c r="BI1130" s="21"/>
    </row>
    <row r="1131" spans="1:61" x14ac:dyDescent="0.2">
      <c r="A1131">
        <v>602</v>
      </c>
      <c r="B1131" t="s">
        <v>887</v>
      </c>
      <c r="C1131" t="str">
        <f t="shared" si="128"/>
        <v/>
      </c>
      <c r="D1131" t="str">
        <f t="shared" si="133"/>
        <v/>
      </c>
      <c r="H1131">
        <f t="shared" si="129"/>
        <v>2</v>
      </c>
      <c r="R1131">
        <v>91</v>
      </c>
      <c r="S1131">
        <v>1</v>
      </c>
      <c r="T1131" t="str">
        <f t="shared" si="127"/>
        <v>e</v>
      </c>
      <c r="AM1131" t="str">
        <f t="shared" si="130"/>
        <v>Faceoff</v>
      </c>
      <c r="AN1131" t="str">
        <f t="shared" si="131"/>
        <v>Faceoff_PeriodStart</v>
      </c>
      <c r="AP1131" t="str">
        <f t="shared" si="132"/>
        <v>Offensive</v>
      </c>
      <c r="BB1131" s="23"/>
      <c r="BD1131" s="21"/>
      <c r="BE1131" s="21"/>
      <c r="BF1131" s="21"/>
      <c r="BG1131" s="21"/>
      <c r="BH1131" s="21"/>
      <c r="BI1131" s="21"/>
    </row>
    <row r="1132" spans="1:61" x14ac:dyDescent="0.2">
      <c r="A1132">
        <v>602</v>
      </c>
      <c r="B1132" t="s">
        <v>887</v>
      </c>
      <c r="C1132" t="str">
        <f t="shared" si="128"/>
        <v/>
      </c>
      <c r="D1132" t="str">
        <f t="shared" si="133"/>
        <v/>
      </c>
      <c r="H1132">
        <f t="shared" si="129"/>
        <v>2</v>
      </c>
      <c r="R1132">
        <v>77</v>
      </c>
      <c r="T1132" t="str">
        <f t="shared" si="127"/>
        <v>o</v>
      </c>
      <c r="AM1132" t="str">
        <f t="shared" si="130"/>
        <v>Faceoff</v>
      </c>
      <c r="AN1132" t="str">
        <f t="shared" si="131"/>
        <v>Faceoff_PeriodStart</v>
      </c>
      <c r="AP1132" t="str">
        <f t="shared" si="132"/>
        <v>Defensive</v>
      </c>
      <c r="BB1132" s="23"/>
      <c r="BD1132" s="21"/>
      <c r="BE1132" s="21"/>
      <c r="BF1132" s="21"/>
      <c r="BG1132" s="21"/>
      <c r="BH1132" s="21"/>
      <c r="BI1132" s="21"/>
    </row>
    <row r="1133" spans="1:61" x14ac:dyDescent="0.2">
      <c r="A1133">
        <v>603</v>
      </c>
      <c r="B1133" t="s">
        <v>887</v>
      </c>
      <c r="C1133" t="str">
        <f t="shared" si="128"/>
        <v/>
      </c>
      <c r="D1133" t="str">
        <f t="shared" si="133"/>
        <v/>
      </c>
      <c r="H1133">
        <f t="shared" si="129"/>
        <v>2</v>
      </c>
      <c r="I1133" s="5" t="s">
        <v>621</v>
      </c>
      <c r="J1133" s="5" t="s">
        <v>896</v>
      </c>
      <c r="K1133" s="5" t="s">
        <v>621</v>
      </c>
      <c r="L1133" s="7" t="s">
        <v>762</v>
      </c>
      <c r="Q1133" t="s">
        <v>620</v>
      </c>
      <c r="R1133">
        <v>91</v>
      </c>
      <c r="S1133">
        <v>1</v>
      </c>
      <c r="T1133" t="str">
        <f t="shared" si="127"/>
        <v>e</v>
      </c>
      <c r="U1133" t="s">
        <v>15</v>
      </c>
      <c r="AF1133" t="s">
        <v>635</v>
      </c>
      <c r="AJ1133">
        <v>1</v>
      </c>
      <c r="AM1133" t="str">
        <f t="shared" si="130"/>
        <v>Possession</v>
      </c>
      <c r="AN1133" t="str">
        <f t="shared" si="131"/>
        <v/>
      </c>
      <c r="AP1133" t="str">
        <f t="shared" si="132"/>
        <v>Offensive</v>
      </c>
      <c r="BB1133" s="23"/>
      <c r="BD1133" s="21"/>
      <c r="BE1133" s="21"/>
      <c r="BF1133" s="21"/>
      <c r="BG1133" s="21"/>
      <c r="BH1133" s="21"/>
      <c r="BI1133" s="21"/>
    </row>
    <row r="1134" spans="1:61" x14ac:dyDescent="0.2">
      <c r="A1134">
        <v>603</v>
      </c>
      <c r="B1134" t="s">
        <v>887</v>
      </c>
      <c r="C1134" t="str">
        <f t="shared" si="128"/>
        <v/>
      </c>
      <c r="D1134" t="str">
        <f t="shared" si="133"/>
        <v/>
      </c>
      <c r="H1134">
        <f t="shared" si="129"/>
        <v>2</v>
      </c>
      <c r="R1134">
        <v>68</v>
      </c>
      <c r="T1134" t="str">
        <f t="shared" si="127"/>
        <v>o</v>
      </c>
      <c r="AJ1134">
        <v>1</v>
      </c>
      <c r="AM1134" t="str">
        <f t="shared" si="130"/>
        <v>Possession</v>
      </c>
      <c r="AN1134" t="str">
        <f t="shared" si="131"/>
        <v/>
      </c>
      <c r="AP1134" t="str">
        <f t="shared" si="132"/>
        <v>Defensive</v>
      </c>
      <c r="BB1134" s="23"/>
      <c r="BD1134" s="21"/>
      <c r="BE1134" s="21"/>
      <c r="BF1134" s="21"/>
      <c r="BG1134" s="21"/>
      <c r="BH1134" s="21"/>
      <c r="BI1134" s="21"/>
    </row>
    <row r="1135" spans="1:61" x14ac:dyDescent="0.2">
      <c r="A1135">
        <v>604</v>
      </c>
      <c r="B1135" t="s">
        <v>887</v>
      </c>
      <c r="C1135" t="str">
        <f t="shared" si="128"/>
        <v/>
      </c>
      <c r="D1135" t="str">
        <f t="shared" si="133"/>
        <v/>
      </c>
      <c r="H1135">
        <f t="shared" si="129"/>
        <v>2</v>
      </c>
      <c r="I1135" s="5" t="s">
        <v>621</v>
      </c>
      <c r="J1135" s="5" t="s">
        <v>762</v>
      </c>
      <c r="Q1135" t="s">
        <v>619</v>
      </c>
      <c r="R1135">
        <v>68</v>
      </c>
      <c r="S1135">
        <v>1</v>
      </c>
      <c r="T1135" t="str">
        <f t="shared" si="127"/>
        <v>e</v>
      </c>
      <c r="U1135" t="s">
        <v>247</v>
      </c>
      <c r="V1135" t="s">
        <v>422</v>
      </c>
      <c r="W1135" t="s">
        <v>467</v>
      </c>
      <c r="X1135" t="s">
        <v>706</v>
      </c>
      <c r="Y1135" t="s">
        <v>714</v>
      </c>
      <c r="AA1135" t="s">
        <v>706</v>
      </c>
      <c r="AF1135" t="s">
        <v>635</v>
      </c>
      <c r="AM1135" t="str">
        <f t="shared" si="130"/>
        <v>Play</v>
      </c>
      <c r="AN1135" t="str">
        <f t="shared" si="131"/>
        <v>Play_Defensive</v>
      </c>
      <c r="AP1135" t="str">
        <f t="shared" si="132"/>
        <v>Defensive</v>
      </c>
      <c r="BB1135" s="23"/>
      <c r="BD1135" s="21"/>
      <c r="BE1135" s="21"/>
      <c r="BF1135" s="21"/>
      <c r="BG1135" s="21"/>
      <c r="BH1135" s="21"/>
      <c r="BI1135" s="21"/>
    </row>
    <row r="1136" spans="1:61" x14ac:dyDescent="0.2">
      <c r="A1136">
        <v>604</v>
      </c>
      <c r="B1136" t="s">
        <v>887</v>
      </c>
      <c r="C1136" t="str">
        <f t="shared" si="128"/>
        <v/>
      </c>
      <c r="D1136" t="str">
        <f t="shared" si="133"/>
        <v/>
      </c>
      <c r="H1136">
        <f t="shared" si="129"/>
        <v>2</v>
      </c>
      <c r="R1136">
        <v>91</v>
      </c>
      <c r="T1136" t="str">
        <f t="shared" si="127"/>
        <v>o</v>
      </c>
      <c r="AM1136" t="str">
        <f t="shared" si="130"/>
        <v>Play</v>
      </c>
      <c r="AN1136" t="str">
        <f t="shared" si="131"/>
        <v>Play_Defensive</v>
      </c>
      <c r="AP1136" t="str">
        <f t="shared" si="132"/>
        <v>Offensive</v>
      </c>
      <c r="BB1136" s="23"/>
      <c r="BD1136" s="21"/>
      <c r="BE1136" s="21"/>
      <c r="BF1136" s="21"/>
      <c r="BG1136" s="21"/>
      <c r="BH1136" s="21"/>
      <c r="BI1136" s="21"/>
    </row>
    <row r="1137" spans="1:61" x14ac:dyDescent="0.2">
      <c r="A1137">
        <v>605</v>
      </c>
      <c r="B1137" t="s">
        <v>887</v>
      </c>
      <c r="C1137" t="str">
        <f t="shared" si="128"/>
        <v/>
      </c>
      <c r="D1137" t="str">
        <f t="shared" si="133"/>
        <v/>
      </c>
      <c r="H1137">
        <f t="shared" si="129"/>
        <v>2</v>
      </c>
      <c r="I1137" s="5" t="s">
        <v>621</v>
      </c>
      <c r="J1137" s="5" t="s">
        <v>751</v>
      </c>
      <c r="Q1137" t="s">
        <v>620</v>
      </c>
      <c r="R1137">
        <v>55</v>
      </c>
      <c r="S1137">
        <v>1</v>
      </c>
      <c r="T1137" t="str">
        <f t="shared" si="127"/>
        <v>e</v>
      </c>
      <c r="U1137" t="s">
        <v>15</v>
      </c>
      <c r="V1137" t="s">
        <v>698</v>
      </c>
      <c r="X1137" t="s">
        <v>705</v>
      </c>
      <c r="Y1137" t="s">
        <v>752</v>
      </c>
      <c r="AA1137" t="s">
        <v>705</v>
      </c>
      <c r="AF1137" t="s">
        <v>635</v>
      </c>
      <c r="AM1137" t="str">
        <f t="shared" si="130"/>
        <v>Possession</v>
      </c>
      <c r="AN1137" t="str">
        <f t="shared" si="131"/>
        <v>PuckRecovery</v>
      </c>
      <c r="AP1137" t="str">
        <f t="shared" si="132"/>
        <v>Offensive</v>
      </c>
      <c r="BB1137" s="23"/>
      <c r="BD1137" s="21"/>
      <c r="BE1137" s="21"/>
      <c r="BF1137" s="21"/>
      <c r="BG1137" s="21"/>
      <c r="BH1137" s="21"/>
      <c r="BI1137" s="21"/>
    </row>
    <row r="1138" spans="1:61" x14ac:dyDescent="0.2">
      <c r="A1138">
        <v>606</v>
      </c>
      <c r="B1138" t="s">
        <v>887</v>
      </c>
      <c r="C1138" t="str">
        <f t="shared" si="128"/>
        <v/>
      </c>
      <c r="D1138" t="str">
        <f t="shared" si="133"/>
        <v/>
      </c>
      <c r="H1138">
        <f t="shared" si="129"/>
        <v>2</v>
      </c>
      <c r="I1138" s="5" t="s">
        <v>621</v>
      </c>
      <c r="J1138" s="5" t="s">
        <v>788</v>
      </c>
      <c r="Q1138" t="s">
        <v>620</v>
      </c>
      <c r="R1138">
        <v>55</v>
      </c>
      <c r="S1138">
        <v>1</v>
      </c>
      <c r="T1138" t="str">
        <f t="shared" si="127"/>
        <v>e</v>
      </c>
      <c r="U1138" t="s">
        <v>10</v>
      </c>
      <c r="V1138" t="s">
        <v>190</v>
      </c>
      <c r="W1138" t="s">
        <v>73</v>
      </c>
      <c r="AF1138" t="s">
        <v>635</v>
      </c>
      <c r="AJ1138">
        <v>1</v>
      </c>
      <c r="AM1138" t="str">
        <f t="shared" si="130"/>
        <v>Turnover</v>
      </c>
      <c r="AN1138" t="str">
        <f t="shared" si="131"/>
        <v>Turnover_Giveaway</v>
      </c>
      <c r="AP1138" t="str">
        <f t="shared" si="132"/>
        <v>Offensive</v>
      </c>
      <c r="BB1138" s="23"/>
      <c r="BD1138" s="21"/>
      <c r="BE1138" s="21"/>
      <c r="BF1138" s="21"/>
      <c r="BG1138" s="21"/>
      <c r="BH1138" s="21"/>
      <c r="BI1138" s="21"/>
    </row>
    <row r="1139" spans="1:61" x14ac:dyDescent="0.2">
      <c r="A1139">
        <v>606</v>
      </c>
      <c r="B1139" t="s">
        <v>887</v>
      </c>
      <c r="C1139" t="str">
        <f t="shared" si="128"/>
        <v/>
      </c>
      <c r="D1139" t="str">
        <f t="shared" si="133"/>
        <v/>
      </c>
      <c r="H1139">
        <f t="shared" si="129"/>
        <v>2</v>
      </c>
      <c r="R1139">
        <v>68</v>
      </c>
      <c r="T1139" t="str">
        <f t="shared" si="127"/>
        <v>o</v>
      </c>
      <c r="Y1139" t="s">
        <v>714</v>
      </c>
      <c r="AA1139" t="s">
        <v>706</v>
      </c>
      <c r="AJ1139">
        <v>1</v>
      </c>
      <c r="AM1139" t="str">
        <f t="shared" si="130"/>
        <v>Turnover</v>
      </c>
      <c r="AN1139" t="str">
        <f t="shared" si="131"/>
        <v>Turnover_Giveaway</v>
      </c>
      <c r="AP1139" t="str">
        <f t="shared" si="132"/>
        <v>Defensive</v>
      </c>
      <c r="BB1139" s="23"/>
      <c r="BD1139" s="21"/>
      <c r="BE1139" s="21"/>
      <c r="BF1139" s="21"/>
      <c r="BG1139" s="21"/>
      <c r="BH1139" s="21"/>
      <c r="BI1139" s="21"/>
    </row>
    <row r="1140" spans="1:61" x14ac:dyDescent="0.2">
      <c r="A1140">
        <v>607</v>
      </c>
      <c r="B1140" t="s">
        <v>887</v>
      </c>
      <c r="C1140" t="str">
        <f t="shared" si="128"/>
        <v/>
      </c>
      <c r="D1140" t="str">
        <f t="shared" si="133"/>
        <v/>
      </c>
      <c r="H1140">
        <f t="shared" si="129"/>
        <v>2</v>
      </c>
      <c r="I1140" s="5" t="s">
        <v>621</v>
      </c>
      <c r="J1140" s="5" t="s">
        <v>788</v>
      </c>
      <c r="K1140" s="5" t="s">
        <v>621</v>
      </c>
      <c r="L1140" s="7" t="s">
        <v>773</v>
      </c>
      <c r="Q1140" t="s">
        <v>619</v>
      </c>
      <c r="R1140">
        <v>68</v>
      </c>
      <c r="S1140">
        <v>1</v>
      </c>
      <c r="T1140" t="str">
        <f t="shared" si="127"/>
        <v>e</v>
      </c>
      <c r="U1140" t="s">
        <v>15</v>
      </c>
      <c r="V1140" t="s">
        <v>697</v>
      </c>
      <c r="X1140" t="s">
        <v>706</v>
      </c>
      <c r="Y1140" t="s">
        <v>712</v>
      </c>
      <c r="AA1140" t="s">
        <v>706</v>
      </c>
      <c r="AF1140" t="s">
        <v>635</v>
      </c>
      <c r="AM1140" t="str">
        <f t="shared" si="130"/>
        <v>Possession</v>
      </c>
      <c r="AN1140" t="str">
        <f t="shared" si="131"/>
        <v>PuckRetrieval</v>
      </c>
      <c r="AP1140" t="str">
        <f t="shared" si="132"/>
        <v>Offensive</v>
      </c>
      <c r="BB1140" s="23"/>
      <c r="BD1140" s="21"/>
      <c r="BE1140" s="21"/>
      <c r="BF1140" s="21"/>
      <c r="BG1140" s="21"/>
      <c r="BH1140" s="21"/>
      <c r="BI1140" s="21"/>
    </row>
    <row r="1141" spans="1:61" x14ac:dyDescent="0.2">
      <c r="A1141">
        <v>608</v>
      </c>
      <c r="B1141" t="s">
        <v>887</v>
      </c>
      <c r="C1141" t="str">
        <f t="shared" si="128"/>
        <v/>
      </c>
      <c r="D1141" t="str">
        <f t="shared" si="133"/>
        <v/>
      </c>
      <c r="H1141">
        <f t="shared" si="129"/>
        <v>2</v>
      </c>
      <c r="I1141" s="5" t="s">
        <v>621</v>
      </c>
      <c r="J1141" s="5" t="s">
        <v>639</v>
      </c>
      <c r="Q1141" t="s">
        <v>619</v>
      </c>
      <c r="R1141">
        <v>68</v>
      </c>
      <c r="S1141">
        <v>1</v>
      </c>
      <c r="T1141" t="str">
        <f t="shared" si="127"/>
        <v>e</v>
      </c>
      <c r="U1141" t="s">
        <v>8</v>
      </c>
      <c r="V1141" t="s">
        <v>189</v>
      </c>
      <c r="W1141" t="s">
        <v>69</v>
      </c>
      <c r="X1141" t="s">
        <v>706</v>
      </c>
      <c r="Y1141" t="s">
        <v>840</v>
      </c>
      <c r="AA1141" t="s">
        <v>706</v>
      </c>
      <c r="AF1141" t="s">
        <v>635</v>
      </c>
      <c r="AM1141" t="str">
        <f t="shared" si="130"/>
        <v>Pass</v>
      </c>
      <c r="AN1141" t="str">
        <f t="shared" si="131"/>
        <v>Pass_Completed</v>
      </c>
      <c r="AP1141" t="str">
        <f t="shared" si="132"/>
        <v>Offensive</v>
      </c>
      <c r="BB1141" s="23"/>
      <c r="BD1141" s="21"/>
      <c r="BE1141" s="21"/>
      <c r="BF1141" s="21"/>
      <c r="BG1141" s="21"/>
      <c r="BH1141" s="21"/>
      <c r="BI1141" s="21"/>
    </row>
    <row r="1142" spans="1:61" x14ac:dyDescent="0.2">
      <c r="A1142">
        <v>608</v>
      </c>
      <c r="B1142" t="s">
        <v>887</v>
      </c>
      <c r="C1142" t="str">
        <f t="shared" si="128"/>
        <v/>
      </c>
      <c r="D1142" t="str">
        <f t="shared" si="133"/>
        <v/>
      </c>
      <c r="H1142">
        <f t="shared" si="129"/>
        <v>2</v>
      </c>
      <c r="R1142">
        <v>4</v>
      </c>
      <c r="S1142">
        <v>1</v>
      </c>
      <c r="T1142" t="str">
        <f t="shared" si="127"/>
        <v>e</v>
      </c>
      <c r="AM1142" t="str">
        <f t="shared" si="130"/>
        <v>Pass</v>
      </c>
      <c r="AN1142" t="str">
        <f t="shared" si="131"/>
        <v>Pass_Completed</v>
      </c>
      <c r="AP1142" t="str">
        <f t="shared" si="132"/>
        <v>Offensive</v>
      </c>
      <c r="BB1142" s="23"/>
      <c r="BD1142" s="21"/>
      <c r="BE1142" s="21"/>
      <c r="BF1142" s="21"/>
      <c r="BG1142" s="21"/>
      <c r="BH1142" s="21"/>
      <c r="BI1142" s="21"/>
    </row>
    <row r="1143" spans="1:61" x14ac:dyDescent="0.2">
      <c r="A1143">
        <v>609</v>
      </c>
      <c r="B1143" t="s">
        <v>887</v>
      </c>
      <c r="C1143" t="str">
        <f t="shared" si="128"/>
        <v/>
      </c>
      <c r="D1143" t="str">
        <f t="shared" si="133"/>
        <v/>
      </c>
      <c r="H1143">
        <f t="shared" si="129"/>
        <v>2</v>
      </c>
      <c r="I1143" s="5" t="s">
        <v>621</v>
      </c>
      <c r="J1143" s="5" t="s">
        <v>753</v>
      </c>
      <c r="Q1143" t="s">
        <v>619</v>
      </c>
      <c r="R1143">
        <v>4</v>
      </c>
      <c r="S1143">
        <v>1</v>
      </c>
      <c r="T1143" t="str">
        <f t="shared" si="127"/>
        <v>e</v>
      </c>
      <c r="U1143" t="s">
        <v>8</v>
      </c>
      <c r="V1143" t="s">
        <v>189</v>
      </c>
      <c r="W1143" t="s">
        <v>71</v>
      </c>
      <c r="X1143" t="s">
        <v>706</v>
      </c>
      <c r="Y1143" t="s">
        <v>814</v>
      </c>
      <c r="AA1143" t="s">
        <v>706</v>
      </c>
      <c r="AF1143" t="s">
        <v>635</v>
      </c>
      <c r="AM1143" t="str">
        <f t="shared" si="130"/>
        <v>Pass</v>
      </c>
      <c r="AN1143" t="str">
        <f t="shared" si="131"/>
        <v>Pass_Completed</v>
      </c>
      <c r="AP1143" t="str">
        <f t="shared" si="132"/>
        <v>Offensive</v>
      </c>
      <c r="BB1143" s="23"/>
      <c r="BD1143" s="21"/>
      <c r="BE1143" s="21"/>
      <c r="BF1143" s="21"/>
      <c r="BG1143" s="21"/>
      <c r="BH1143" s="21"/>
      <c r="BI1143" s="21"/>
    </row>
    <row r="1144" spans="1:61" x14ac:dyDescent="0.2">
      <c r="A1144">
        <v>609</v>
      </c>
      <c r="B1144" t="s">
        <v>887</v>
      </c>
      <c r="C1144" t="str">
        <f t="shared" si="128"/>
        <v/>
      </c>
      <c r="D1144" t="str">
        <f t="shared" si="133"/>
        <v/>
      </c>
      <c r="H1144">
        <f t="shared" si="129"/>
        <v>2</v>
      </c>
      <c r="R1144">
        <v>68</v>
      </c>
      <c r="S1144">
        <v>1</v>
      </c>
      <c r="T1144" t="str">
        <f t="shared" si="127"/>
        <v>e</v>
      </c>
      <c r="AM1144" t="str">
        <f t="shared" si="130"/>
        <v>Pass</v>
      </c>
      <c r="AN1144" t="str">
        <f t="shared" si="131"/>
        <v>Pass_Completed</v>
      </c>
      <c r="AP1144" t="str">
        <f t="shared" si="132"/>
        <v>Offensive</v>
      </c>
      <c r="BB1144" s="23"/>
      <c r="BD1144" s="21"/>
      <c r="BE1144" s="21"/>
      <c r="BF1144" s="21"/>
      <c r="BG1144" s="21"/>
      <c r="BH1144" s="21"/>
      <c r="BI1144" s="21"/>
    </row>
    <row r="1145" spans="1:61" x14ac:dyDescent="0.2">
      <c r="A1145">
        <v>610</v>
      </c>
      <c r="B1145" t="s">
        <v>887</v>
      </c>
      <c r="C1145" t="str">
        <f t="shared" si="128"/>
        <v/>
      </c>
      <c r="D1145" t="str">
        <f t="shared" si="133"/>
        <v/>
      </c>
      <c r="H1145">
        <f t="shared" si="129"/>
        <v>2</v>
      </c>
      <c r="I1145" s="5" t="s">
        <v>621</v>
      </c>
      <c r="J1145" s="5" t="s">
        <v>672</v>
      </c>
      <c r="Q1145" t="s">
        <v>619</v>
      </c>
      <c r="R1145">
        <v>68</v>
      </c>
      <c r="S1145">
        <v>1</v>
      </c>
      <c r="T1145" t="str">
        <f t="shared" si="127"/>
        <v>e</v>
      </c>
      <c r="U1145" t="s">
        <v>257</v>
      </c>
      <c r="V1145" t="s">
        <v>191</v>
      </c>
      <c r="W1145" t="s">
        <v>89</v>
      </c>
      <c r="X1145" t="s">
        <v>706</v>
      </c>
      <c r="Y1145" t="s">
        <v>718</v>
      </c>
      <c r="AA1145" t="s">
        <v>706</v>
      </c>
      <c r="AF1145" t="s">
        <v>635</v>
      </c>
      <c r="AM1145" t="str">
        <f t="shared" si="130"/>
        <v>Zone_Entry_Exit</v>
      </c>
      <c r="AN1145" t="str">
        <f t="shared" si="131"/>
        <v>Zone_Entry</v>
      </c>
      <c r="AP1145" t="str">
        <f t="shared" si="132"/>
        <v>Offensive</v>
      </c>
      <c r="BB1145" s="23"/>
      <c r="BD1145" s="21"/>
      <c r="BE1145" s="21"/>
      <c r="BF1145" s="21"/>
      <c r="BG1145" s="21"/>
      <c r="BH1145" s="21"/>
      <c r="BI1145" s="21"/>
    </row>
    <row r="1146" spans="1:61" x14ac:dyDescent="0.2">
      <c r="A1146">
        <v>611</v>
      </c>
      <c r="B1146" t="s">
        <v>887</v>
      </c>
      <c r="C1146" t="str">
        <f t="shared" si="128"/>
        <v/>
      </c>
      <c r="D1146" t="str">
        <f t="shared" si="133"/>
        <v/>
      </c>
      <c r="H1146">
        <f t="shared" si="129"/>
        <v>2</v>
      </c>
      <c r="I1146" s="5" t="s">
        <v>621</v>
      </c>
      <c r="J1146" s="5" t="s">
        <v>711</v>
      </c>
      <c r="Q1146" t="s">
        <v>619</v>
      </c>
      <c r="R1146">
        <v>13</v>
      </c>
      <c r="S1146">
        <v>1</v>
      </c>
      <c r="T1146" t="str">
        <f t="shared" si="127"/>
        <v>e</v>
      </c>
      <c r="U1146" t="s">
        <v>15</v>
      </c>
      <c r="V1146" t="s">
        <v>698</v>
      </c>
      <c r="X1146" t="s">
        <v>705</v>
      </c>
      <c r="Y1146" t="s">
        <v>858</v>
      </c>
      <c r="Z1146" t="s">
        <v>849</v>
      </c>
      <c r="AA1146" t="s">
        <v>705</v>
      </c>
      <c r="AF1146" t="s">
        <v>401</v>
      </c>
      <c r="AJ1146">
        <v>1</v>
      </c>
      <c r="AM1146" t="str">
        <f t="shared" si="130"/>
        <v>Possession</v>
      </c>
      <c r="AN1146" t="str">
        <f t="shared" si="131"/>
        <v>PuckRecovery</v>
      </c>
      <c r="AP1146" t="str">
        <f t="shared" si="132"/>
        <v>Offensive</v>
      </c>
      <c r="BB1146" s="23"/>
      <c r="BD1146" s="21"/>
      <c r="BE1146" s="21"/>
      <c r="BF1146" s="21"/>
      <c r="BG1146" s="21"/>
      <c r="BH1146" s="21"/>
      <c r="BI1146" s="21"/>
    </row>
    <row r="1147" spans="1:61" x14ac:dyDescent="0.2">
      <c r="A1147">
        <v>611</v>
      </c>
      <c r="B1147" t="s">
        <v>887</v>
      </c>
      <c r="C1147" t="str">
        <f t="shared" si="128"/>
        <v/>
      </c>
      <c r="D1147" t="str">
        <f t="shared" si="133"/>
        <v/>
      </c>
      <c r="H1147">
        <f t="shared" si="129"/>
        <v>2</v>
      </c>
      <c r="R1147">
        <v>84</v>
      </c>
      <c r="T1147" t="str">
        <f t="shared" si="127"/>
        <v>o</v>
      </c>
      <c r="Y1147" t="s">
        <v>765</v>
      </c>
      <c r="Z1147" t="s">
        <v>845</v>
      </c>
      <c r="AA1147" t="s">
        <v>705</v>
      </c>
      <c r="AJ1147">
        <v>1</v>
      </c>
      <c r="AM1147" t="str">
        <f t="shared" si="130"/>
        <v>Possession</v>
      </c>
      <c r="AN1147" t="str">
        <f t="shared" si="131"/>
        <v>PuckRecovery</v>
      </c>
      <c r="AP1147" t="str">
        <f t="shared" si="132"/>
        <v>Defensive</v>
      </c>
      <c r="BB1147" s="23"/>
      <c r="BD1147" s="21"/>
      <c r="BE1147" s="21"/>
      <c r="BF1147" s="21"/>
      <c r="BG1147" s="21"/>
      <c r="BH1147" s="21"/>
      <c r="BI1147" s="21"/>
    </row>
    <row r="1148" spans="1:61" x14ac:dyDescent="0.2">
      <c r="A1148">
        <v>612</v>
      </c>
      <c r="B1148">
        <v>101</v>
      </c>
      <c r="C1148">
        <f t="shared" si="128"/>
        <v>9101</v>
      </c>
      <c r="D1148">
        <f t="shared" si="133"/>
        <v>9101</v>
      </c>
      <c r="H1148">
        <f t="shared" si="129"/>
        <v>2</v>
      </c>
      <c r="I1148" s="5" t="s">
        <v>621</v>
      </c>
      <c r="J1148" s="5" t="s">
        <v>716</v>
      </c>
      <c r="Q1148" t="s">
        <v>619</v>
      </c>
      <c r="R1148">
        <v>13</v>
      </c>
      <c r="S1148">
        <v>1</v>
      </c>
      <c r="T1148" t="str">
        <f t="shared" si="127"/>
        <v>e</v>
      </c>
      <c r="U1148" t="s">
        <v>8</v>
      </c>
      <c r="V1148" t="s">
        <v>216</v>
      </c>
      <c r="W1148" t="s">
        <v>70</v>
      </c>
      <c r="X1148" t="s">
        <v>705</v>
      </c>
      <c r="AF1148" t="s">
        <v>401</v>
      </c>
      <c r="AJ1148">
        <v>1</v>
      </c>
      <c r="AM1148" t="str">
        <f t="shared" si="130"/>
        <v>Pass</v>
      </c>
      <c r="AN1148" t="str">
        <f t="shared" si="131"/>
        <v>Pass_Intercepted</v>
      </c>
      <c r="AP1148" t="str">
        <f t="shared" si="132"/>
        <v>Offensive</v>
      </c>
      <c r="BB1148" s="23"/>
      <c r="BD1148" s="21"/>
      <c r="BE1148" s="21"/>
      <c r="BF1148" s="21"/>
      <c r="BG1148" s="21"/>
      <c r="BH1148" s="21"/>
      <c r="BI1148" s="21"/>
    </row>
    <row r="1149" spans="1:61" x14ac:dyDescent="0.2">
      <c r="A1149">
        <v>612</v>
      </c>
      <c r="B1149">
        <v>101</v>
      </c>
      <c r="C1149">
        <f t="shared" si="128"/>
        <v>9101</v>
      </c>
      <c r="D1149">
        <f t="shared" si="133"/>
        <v>9101</v>
      </c>
      <c r="H1149">
        <f t="shared" si="129"/>
        <v>2</v>
      </c>
      <c r="R1149">
        <v>68</v>
      </c>
      <c r="S1149">
        <v>1</v>
      </c>
      <c r="T1149" t="str">
        <f t="shared" si="127"/>
        <v>e</v>
      </c>
      <c r="AM1149" t="str">
        <f t="shared" si="130"/>
        <v>Pass</v>
      </c>
      <c r="AN1149" t="str">
        <f t="shared" si="131"/>
        <v>Pass_Intercepted</v>
      </c>
      <c r="AP1149" t="str">
        <f t="shared" si="132"/>
        <v>Offensive</v>
      </c>
      <c r="BB1149" s="23"/>
      <c r="BD1149" s="21"/>
      <c r="BE1149" s="21"/>
      <c r="BF1149" s="21"/>
      <c r="BG1149" s="21"/>
      <c r="BH1149" s="21"/>
      <c r="BI1149" s="21"/>
    </row>
    <row r="1150" spans="1:61" x14ac:dyDescent="0.2">
      <c r="A1150">
        <v>612</v>
      </c>
      <c r="B1150">
        <v>101</v>
      </c>
      <c r="C1150">
        <f t="shared" si="128"/>
        <v>9101</v>
      </c>
      <c r="D1150">
        <f t="shared" si="133"/>
        <v>9101</v>
      </c>
      <c r="H1150">
        <f t="shared" si="129"/>
        <v>2</v>
      </c>
      <c r="R1150">
        <v>84</v>
      </c>
      <c r="T1150" t="str">
        <f t="shared" si="127"/>
        <v>o</v>
      </c>
      <c r="Y1150" t="s">
        <v>832</v>
      </c>
      <c r="AJ1150">
        <v>1</v>
      </c>
      <c r="AM1150" t="str">
        <f t="shared" si="130"/>
        <v>Pass</v>
      </c>
      <c r="AN1150" t="str">
        <f t="shared" si="131"/>
        <v>Pass_Intercepted</v>
      </c>
      <c r="AP1150" t="str">
        <f t="shared" si="132"/>
        <v>Defensive</v>
      </c>
      <c r="BB1150" s="23"/>
      <c r="BD1150" s="21"/>
      <c r="BE1150" s="21"/>
      <c r="BF1150" s="21"/>
      <c r="BG1150" s="21"/>
      <c r="BH1150" s="21"/>
      <c r="BI1150" s="21"/>
    </row>
    <row r="1151" spans="1:61" x14ac:dyDescent="0.2">
      <c r="A1151">
        <v>612</v>
      </c>
      <c r="B1151">
        <v>101</v>
      </c>
      <c r="C1151">
        <f t="shared" si="128"/>
        <v>9101</v>
      </c>
      <c r="D1151">
        <f t="shared" si="133"/>
        <v>9101</v>
      </c>
      <c r="H1151">
        <f t="shared" si="129"/>
        <v>2</v>
      </c>
      <c r="R1151">
        <v>14</v>
      </c>
      <c r="T1151" t="str">
        <f t="shared" si="127"/>
        <v>o</v>
      </c>
      <c r="Y1151" t="s">
        <v>715</v>
      </c>
      <c r="AJ1151">
        <v>1</v>
      </c>
      <c r="AM1151" t="str">
        <f t="shared" si="130"/>
        <v>Pass</v>
      </c>
      <c r="AN1151" t="str">
        <f t="shared" si="131"/>
        <v>Pass_Intercepted</v>
      </c>
      <c r="AP1151" t="str">
        <f t="shared" si="132"/>
        <v>Defensive</v>
      </c>
      <c r="BB1151" s="23"/>
      <c r="BD1151" s="21"/>
      <c r="BE1151" s="21"/>
      <c r="BF1151" s="21"/>
      <c r="BG1151" s="21"/>
      <c r="BH1151" s="21"/>
      <c r="BI1151" s="21"/>
    </row>
    <row r="1152" spans="1:61" x14ac:dyDescent="0.2">
      <c r="A1152">
        <v>612</v>
      </c>
      <c r="B1152">
        <v>101</v>
      </c>
      <c r="C1152">
        <f t="shared" si="128"/>
        <v>9101</v>
      </c>
      <c r="D1152">
        <f t="shared" si="133"/>
        <v>9101</v>
      </c>
      <c r="H1152">
        <f t="shared" si="129"/>
        <v>2</v>
      </c>
      <c r="R1152">
        <v>70</v>
      </c>
      <c r="T1152" t="str">
        <f t="shared" si="127"/>
        <v>o</v>
      </c>
      <c r="Y1152" t="s">
        <v>723</v>
      </c>
      <c r="AA1152" t="s">
        <v>706</v>
      </c>
      <c r="AM1152" t="str">
        <f t="shared" si="130"/>
        <v>Pass</v>
      </c>
      <c r="AN1152" t="str">
        <f t="shared" si="131"/>
        <v>Pass_Intercepted</v>
      </c>
      <c r="AP1152" t="str">
        <f t="shared" si="132"/>
        <v>Defensive</v>
      </c>
      <c r="BB1152" s="23"/>
      <c r="BD1152" s="21"/>
      <c r="BE1152" s="21"/>
      <c r="BF1152" s="21"/>
      <c r="BG1152" s="21"/>
      <c r="BH1152" s="21"/>
      <c r="BI1152" s="21"/>
    </row>
    <row r="1153" spans="1:61" x14ac:dyDescent="0.2">
      <c r="A1153">
        <v>613</v>
      </c>
      <c r="B1153">
        <v>101</v>
      </c>
      <c r="C1153">
        <f t="shared" si="128"/>
        <v>9101</v>
      </c>
      <c r="D1153">
        <f t="shared" si="133"/>
        <v>9101</v>
      </c>
      <c r="H1153">
        <f t="shared" si="129"/>
        <v>2</v>
      </c>
      <c r="I1153" s="5" t="s">
        <v>621</v>
      </c>
      <c r="J1153" s="5" t="s">
        <v>716</v>
      </c>
      <c r="Q1153" t="s">
        <v>619</v>
      </c>
      <c r="R1153">
        <v>13</v>
      </c>
      <c r="S1153">
        <v>1</v>
      </c>
      <c r="T1153" t="str">
        <f t="shared" si="127"/>
        <v>e</v>
      </c>
      <c r="U1153" t="s">
        <v>10</v>
      </c>
      <c r="V1153" t="s">
        <v>190</v>
      </c>
      <c r="W1153" t="s">
        <v>75</v>
      </c>
      <c r="AF1153" t="s">
        <v>401</v>
      </c>
      <c r="AJ1153">
        <v>1</v>
      </c>
      <c r="AM1153" t="str">
        <f t="shared" si="130"/>
        <v>Turnover</v>
      </c>
      <c r="AN1153" t="str">
        <f t="shared" si="131"/>
        <v>Turnover_Giveaway</v>
      </c>
      <c r="AP1153" t="str">
        <f t="shared" si="132"/>
        <v>Offensive</v>
      </c>
      <c r="BB1153" s="23"/>
      <c r="BD1153" s="21"/>
      <c r="BE1153" s="21"/>
      <c r="BF1153" s="21"/>
      <c r="BG1153" s="21"/>
      <c r="BH1153" s="21"/>
      <c r="BI1153" s="21"/>
    </row>
    <row r="1154" spans="1:61" x14ac:dyDescent="0.2">
      <c r="A1154">
        <v>613</v>
      </c>
      <c r="B1154">
        <v>101</v>
      </c>
      <c r="C1154">
        <f t="shared" si="128"/>
        <v>9101</v>
      </c>
      <c r="D1154">
        <f t="shared" si="133"/>
        <v>9101</v>
      </c>
      <c r="H1154">
        <f t="shared" si="129"/>
        <v>2</v>
      </c>
      <c r="R1154">
        <v>68</v>
      </c>
      <c r="S1154">
        <v>1</v>
      </c>
      <c r="T1154" t="str">
        <f t="shared" si="127"/>
        <v>e</v>
      </c>
      <c r="AM1154" t="str">
        <f t="shared" si="130"/>
        <v>Turnover</v>
      </c>
      <c r="AN1154" t="str">
        <f t="shared" si="131"/>
        <v>Turnover_Giveaway</v>
      </c>
      <c r="AP1154" t="str">
        <f t="shared" si="132"/>
        <v>Offensive</v>
      </c>
      <c r="BB1154" s="23"/>
      <c r="BD1154" s="21"/>
      <c r="BE1154" s="21"/>
      <c r="BF1154" s="21"/>
      <c r="BG1154" s="21"/>
      <c r="BH1154" s="21"/>
      <c r="BI1154" s="21"/>
    </row>
    <row r="1155" spans="1:61" x14ac:dyDescent="0.2">
      <c r="A1155">
        <v>613</v>
      </c>
      <c r="B1155">
        <v>101</v>
      </c>
      <c r="C1155">
        <f t="shared" si="128"/>
        <v>9101</v>
      </c>
      <c r="D1155">
        <f t="shared" si="133"/>
        <v>9101</v>
      </c>
      <c r="H1155">
        <f t="shared" si="129"/>
        <v>2</v>
      </c>
      <c r="R1155">
        <v>70</v>
      </c>
      <c r="T1155" t="str">
        <f t="shared" ref="T1155:T1218" si="134">IF(S1155="x","",IF(S1155=1,"e","o"))</f>
        <v>o</v>
      </c>
      <c r="Y1155" t="s">
        <v>723</v>
      </c>
      <c r="AA1155" t="s">
        <v>706</v>
      </c>
      <c r="AJ1155">
        <v>1</v>
      </c>
      <c r="AM1155" t="str">
        <f t="shared" si="130"/>
        <v>Turnover</v>
      </c>
      <c r="AN1155" t="str">
        <f t="shared" si="131"/>
        <v>Turnover_Giveaway</v>
      </c>
      <c r="AP1155" t="str">
        <f t="shared" si="132"/>
        <v>Defensive</v>
      </c>
      <c r="BB1155" s="23"/>
      <c r="BD1155" s="21"/>
      <c r="BE1155" s="21"/>
      <c r="BF1155" s="21"/>
      <c r="BG1155" s="21"/>
      <c r="BH1155" s="21"/>
      <c r="BI1155" s="21"/>
    </row>
    <row r="1156" spans="1:61" x14ac:dyDescent="0.2">
      <c r="A1156">
        <v>613</v>
      </c>
      <c r="B1156">
        <v>101</v>
      </c>
      <c r="C1156">
        <f t="shared" ref="C1156:C1219" si="135">IF(B1156&lt;&gt;"",9000+B1156,"")</f>
        <v>9101</v>
      </c>
      <c r="D1156">
        <f t="shared" si="133"/>
        <v>9101</v>
      </c>
      <c r="H1156">
        <f t="shared" si="129"/>
        <v>2</v>
      </c>
      <c r="R1156">
        <v>84</v>
      </c>
      <c r="T1156" t="str">
        <f t="shared" si="134"/>
        <v>o</v>
      </c>
      <c r="Y1156" t="s">
        <v>832</v>
      </c>
      <c r="AJ1156">
        <v>1</v>
      </c>
      <c r="AM1156" t="str">
        <f t="shared" si="130"/>
        <v>Turnover</v>
      </c>
      <c r="AN1156" t="str">
        <f t="shared" si="131"/>
        <v>Turnover_Giveaway</v>
      </c>
      <c r="AP1156" t="str">
        <f t="shared" si="132"/>
        <v>Defensive</v>
      </c>
      <c r="BB1156" s="23"/>
      <c r="BD1156" s="21"/>
      <c r="BE1156" s="21"/>
      <c r="BF1156" s="21"/>
      <c r="BG1156" s="21"/>
      <c r="BH1156" s="21"/>
      <c r="BI1156" s="21"/>
    </row>
    <row r="1157" spans="1:61" x14ac:dyDescent="0.2">
      <c r="A1157">
        <v>613</v>
      </c>
      <c r="B1157">
        <v>101</v>
      </c>
      <c r="C1157">
        <f t="shared" si="135"/>
        <v>9101</v>
      </c>
      <c r="D1157">
        <f t="shared" si="133"/>
        <v>9101</v>
      </c>
      <c r="H1157">
        <f t="shared" ref="H1157:H1220" si="136">IF(U1157="Intermission",H1156+1,H1156)</f>
        <v>2</v>
      </c>
      <c r="R1157">
        <v>14</v>
      </c>
      <c r="T1157" t="str">
        <f t="shared" si="134"/>
        <v>o</v>
      </c>
      <c r="Y1157" t="s">
        <v>715</v>
      </c>
      <c r="AM1157" t="str">
        <f t="shared" ref="AM1157:AM1220" si="137">IF(U1157&lt;&gt;"",U1157,IF($A1157=$A1156,AM1156,""))</f>
        <v>Turnover</v>
      </c>
      <c r="AN1157" t="str">
        <f t="shared" ref="AN1157:AN1220" si="138">IF(V1157&lt;&gt;"",V1157,IF($A1157=$A1156,AN1156,""))</f>
        <v>Turnover_Giveaway</v>
      </c>
      <c r="AP1157" t="str">
        <f t="shared" si="132"/>
        <v>Defensive</v>
      </c>
      <c r="BB1157" s="23"/>
      <c r="BD1157" s="21"/>
      <c r="BE1157" s="21"/>
      <c r="BF1157" s="21"/>
      <c r="BG1157" s="21"/>
      <c r="BH1157" s="21"/>
      <c r="BI1157" s="21"/>
    </row>
    <row r="1158" spans="1:61" x14ac:dyDescent="0.2">
      <c r="A1158">
        <v>614</v>
      </c>
      <c r="B1158" t="s">
        <v>887</v>
      </c>
      <c r="C1158" t="str">
        <f t="shared" si="135"/>
        <v/>
      </c>
      <c r="D1158" t="str">
        <f t="shared" si="133"/>
        <v/>
      </c>
      <c r="H1158">
        <f t="shared" si="136"/>
        <v>2</v>
      </c>
      <c r="I1158" s="5" t="s">
        <v>621</v>
      </c>
      <c r="J1158" s="5" t="s">
        <v>790</v>
      </c>
      <c r="K1158" s="5" t="s">
        <v>621</v>
      </c>
      <c r="L1158" s="7" t="s">
        <v>717</v>
      </c>
      <c r="Q1158" t="s">
        <v>620</v>
      </c>
      <c r="R1158">
        <v>70</v>
      </c>
      <c r="S1158">
        <v>1</v>
      </c>
      <c r="T1158" t="str">
        <f t="shared" si="134"/>
        <v>e</v>
      </c>
      <c r="U1158" t="s">
        <v>15</v>
      </c>
      <c r="V1158" t="s">
        <v>684</v>
      </c>
      <c r="AF1158" t="s">
        <v>623</v>
      </c>
      <c r="AM1158" t="str">
        <f t="shared" si="137"/>
        <v>Possession</v>
      </c>
      <c r="AN1158" t="str">
        <f t="shared" si="138"/>
        <v>Regroup</v>
      </c>
      <c r="AP1158" t="str">
        <f t="shared" ref="AP1158:AP1221" si="139">IF(AND(T1158="e",OR(AM1158="Save",AN1158="Turnover_Takeaway",AN1158="Play_Defensive")),"Defensive",IF(AND(T1158="o",OR(AM1158="Save",AN1158="Turnover_Takeaway",AN1158="Play_Defensive")),"Offensive",IF(OR(AM1158="Deadice",AM1158="Stoppage",AM1158="Intermission"),"",IF(T1158="e","Offensive",IF(T1158="o","Defensive","")))))</f>
        <v>Offensive</v>
      </c>
      <c r="BB1158" s="23"/>
      <c r="BD1158" s="21"/>
      <c r="BE1158" s="21"/>
      <c r="BF1158" s="21"/>
      <c r="BG1158" s="21"/>
      <c r="BH1158" s="21"/>
      <c r="BI1158" s="21"/>
    </row>
    <row r="1159" spans="1:61" x14ac:dyDescent="0.2">
      <c r="A1159">
        <v>615</v>
      </c>
      <c r="B1159">
        <v>102</v>
      </c>
      <c r="C1159">
        <f t="shared" si="135"/>
        <v>9102</v>
      </c>
      <c r="D1159">
        <f t="shared" si="133"/>
        <v>9102</v>
      </c>
      <c r="H1159">
        <f t="shared" si="136"/>
        <v>2</v>
      </c>
      <c r="I1159" s="5" t="s">
        <v>621</v>
      </c>
      <c r="J1159" s="5" t="s">
        <v>717</v>
      </c>
      <c r="Q1159" t="s">
        <v>620</v>
      </c>
      <c r="R1159">
        <v>70</v>
      </c>
      <c r="S1159">
        <v>1</v>
      </c>
      <c r="T1159" t="str">
        <f t="shared" si="134"/>
        <v>e</v>
      </c>
      <c r="U1159" t="s">
        <v>257</v>
      </c>
      <c r="V1159" t="s">
        <v>201</v>
      </c>
      <c r="W1159" t="s">
        <v>413</v>
      </c>
      <c r="AF1159" t="s">
        <v>623</v>
      </c>
      <c r="AM1159" t="str">
        <f t="shared" si="137"/>
        <v>Zone_Entry_Exit</v>
      </c>
      <c r="AN1159" t="str">
        <f t="shared" si="138"/>
        <v>Zone_Exit</v>
      </c>
      <c r="AP1159" t="str">
        <f t="shared" si="139"/>
        <v>Offensive</v>
      </c>
      <c r="BB1159" s="23"/>
      <c r="BD1159" s="21"/>
      <c r="BE1159" s="21"/>
      <c r="BF1159" s="21"/>
      <c r="BG1159" s="21"/>
      <c r="BH1159" s="21"/>
      <c r="BI1159" s="21"/>
    </row>
    <row r="1160" spans="1:61" x14ac:dyDescent="0.2">
      <c r="A1160">
        <v>616</v>
      </c>
      <c r="B1160">
        <v>102</v>
      </c>
      <c r="C1160">
        <f t="shared" si="135"/>
        <v>9102</v>
      </c>
      <c r="D1160">
        <f t="shared" si="133"/>
        <v>9102</v>
      </c>
      <c r="H1160">
        <f t="shared" si="136"/>
        <v>2</v>
      </c>
      <c r="I1160" s="5" t="s">
        <v>621</v>
      </c>
      <c r="J1160" s="5" t="s">
        <v>717</v>
      </c>
      <c r="Q1160" t="s">
        <v>620</v>
      </c>
      <c r="R1160">
        <v>70</v>
      </c>
      <c r="S1160">
        <v>1</v>
      </c>
      <c r="T1160" t="str">
        <f t="shared" si="134"/>
        <v>e</v>
      </c>
      <c r="U1160" t="s">
        <v>257</v>
      </c>
      <c r="V1160" t="s">
        <v>191</v>
      </c>
      <c r="W1160" t="s">
        <v>408</v>
      </c>
      <c r="AF1160" t="s">
        <v>623</v>
      </c>
      <c r="AM1160" t="str">
        <f t="shared" si="137"/>
        <v>Zone_Entry_Exit</v>
      </c>
      <c r="AN1160" t="str">
        <f t="shared" si="138"/>
        <v>Zone_Entry</v>
      </c>
      <c r="AP1160" t="str">
        <f t="shared" si="139"/>
        <v>Offensive</v>
      </c>
      <c r="BB1160" s="23"/>
      <c r="BD1160" s="21"/>
      <c r="BE1160" s="21"/>
      <c r="BF1160" s="21"/>
      <c r="BG1160" s="21"/>
      <c r="BH1160" s="21"/>
      <c r="BI1160" s="21"/>
    </row>
    <row r="1161" spans="1:61" x14ac:dyDescent="0.2">
      <c r="A1161">
        <v>617</v>
      </c>
      <c r="B1161">
        <v>102</v>
      </c>
      <c r="C1161">
        <f t="shared" si="135"/>
        <v>9102</v>
      </c>
      <c r="D1161">
        <f t="shared" ref="D1161:D1224" si="140">IF(C1161&lt;&gt;"",C1161,B1161)</f>
        <v>9102</v>
      </c>
      <c r="H1161">
        <f t="shared" si="136"/>
        <v>2</v>
      </c>
      <c r="I1161" s="5" t="s">
        <v>621</v>
      </c>
      <c r="J1161" s="5" t="s">
        <v>717</v>
      </c>
      <c r="Q1161" t="s">
        <v>620</v>
      </c>
      <c r="R1161">
        <v>70</v>
      </c>
      <c r="S1161">
        <v>1</v>
      </c>
      <c r="T1161" t="str">
        <f t="shared" si="134"/>
        <v>e</v>
      </c>
      <c r="U1161" t="s">
        <v>10</v>
      </c>
      <c r="V1161" t="s">
        <v>190</v>
      </c>
      <c r="W1161" t="s">
        <v>387</v>
      </c>
      <c r="AF1161" t="s">
        <v>623</v>
      </c>
      <c r="AM1161" t="str">
        <f t="shared" si="137"/>
        <v>Turnover</v>
      </c>
      <c r="AN1161" t="str">
        <f t="shared" si="138"/>
        <v>Turnover_Giveaway</v>
      </c>
      <c r="AP1161" t="str">
        <f t="shared" si="139"/>
        <v>Offensive</v>
      </c>
      <c r="BB1161" s="23"/>
      <c r="BD1161" s="21"/>
      <c r="BE1161" s="21"/>
      <c r="BF1161" s="21"/>
      <c r="BG1161" s="21"/>
      <c r="BH1161" s="21"/>
      <c r="BI1161" s="21"/>
    </row>
    <row r="1162" spans="1:61" x14ac:dyDescent="0.2">
      <c r="A1162">
        <v>618</v>
      </c>
      <c r="B1162" t="s">
        <v>887</v>
      </c>
      <c r="C1162" t="str">
        <f t="shared" si="135"/>
        <v/>
      </c>
      <c r="D1162" t="str">
        <f t="shared" si="140"/>
        <v/>
      </c>
      <c r="H1162">
        <f t="shared" si="136"/>
        <v>2</v>
      </c>
      <c r="I1162" s="5" t="s">
        <v>621</v>
      </c>
      <c r="J1162" s="5" t="s">
        <v>721</v>
      </c>
      <c r="K1162" s="5" t="s">
        <v>621</v>
      </c>
      <c r="L1162" s="7" t="s">
        <v>726</v>
      </c>
      <c r="Q1162" t="s">
        <v>619</v>
      </c>
      <c r="R1162">
        <v>44</v>
      </c>
      <c r="S1162">
        <v>1</v>
      </c>
      <c r="T1162" t="str">
        <f t="shared" si="134"/>
        <v>e</v>
      </c>
      <c r="U1162" t="s">
        <v>15</v>
      </c>
      <c r="V1162" t="s">
        <v>697</v>
      </c>
      <c r="X1162" t="s">
        <v>706</v>
      </c>
      <c r="Y1162" t="s">
        <v>720</v>
      </c>
      <c r="AA1162" t="s">
        <v>706</v>
      </c>
      <c r="AF1162" t="s">
        <v>623</v>
      </c>
      <c r="AM1162" t="str">
        <f t="shared" si="137"/>
        <v>Possession</v>
      </c>
      <c r="AN1162" t="str">
        <f t="shared" si="138"/>
        <v>PuckRetrieval</v>
      </c>
      <c r="AP1162" t="str">
        <f t="shared" si="139"/>
        <v>Offensive</v>
      </c>
      <c r="BB1162" s="23"/>
      <c r="BD1162" s="21"/>
      <c r="BE1162" s="21"/>
      <c r="BF1162" s="21"/>
      <c r="BG1162" s="21"/>
      <c r="BH1162" s="21"/>
      <c r="BI1162" s="21"/>
    </row>
    <row r="1163" spans="1:61" x14ac:dyDescent="0.2">
      <c r="A1163">
        <v>619</v>
      </c>
      <c r="B1163" t="s">
        <v>887</v>
      </c>
      <c r="C1163" t="str">
        <f t="shared" si="135"/>
        <v/>
      </c>
      <c r="D1163" t="str">
        <f t="shared" si="140"/>
        <v/>
      </c>
      <c r="H1163">
        <f t="shared" si="136"/>
        <v>2</v>
      </c>
      <c r="I1163" s="5" t="s">
        <v>621</v>
      </c>
      <c r="J1163" s="5" t="s">
        <v>726</v>
      </c>
      <c r="K1163" s="5" t="s">
        <v>621</v>
      </c>
      <c r="L1163" s="7" t="s">
        <v>759</v>
      </c>
      <c r="Q1163" t="s">
        <v>619</v>
      </c>
      <c r="R1163">
        <v>44</v>
      </c>
      <c r="S1163">
        <v>1</v>
      </c>
      <c r="T1163" t="str">
        <f t="shared" si="134"/>
        <v>e</v>
      </c>
      <c r="U1163" t="s">
        <v>15</v>
      </c>
      <c r="AF1163" t="s">
        <v>623</v>
      </c>
      <c r="AJ1163">
        <v>1</v>
      </c>
      <c r="AM1163" t="str">
        <f t="shared" si="137"/>
        <v>Possession</v>
      </c>
      <c r="AN1163" t="str">
        <f t="shared" si="138"/>
        <v/>
      </c>
      <c r="AP1163" t="str">
        <f t="shared" si="139"/>
        <v>Offensive</v>
      </c>
      <c r="BB1163" s="23"/>
      <c r="BD1163" s="21"/>
      <c r="BE1163" s="21"/>
      <c r="BF1163" s="21"/>
      <c r="BG1163" s="21"/>
      <c r="BH1163" s="21"/>
      <c r="BI1163" s="21"/>
    </row>
    <row r="1164" spans="1:61" x14ac:dyDescent="0.2">
      <c r="A1164">
        <v>619</v>
      </c>
      <c r="B1164" t="s">
        <v>887</v>
      </c>
      <c r="C1164" t="str">
        <f t="shared" si="135"/>
        <v/>
      </c>
      <c r="D1164" t="str">
        <f t="shared" si="140"/>
        <v/>
      </c>
      <c r="H1164">
        <f t="shared" si="136"/>
        <v>2</v>
      </c>
      <c r="R1164">
        <v>14</v>
      </c>
      <c r="T1164" t="str">
        <f t="shared" si="134"/>
        <v>o</v>
      </c>
      <c r="AJ1164">
        <v>1</v>
      </c>
      <c r="AM1164" t="str">
        <f t="shared" si="137"/>
        <v>Possession</v>
      </c>
      <c r="AN1164" t="str">
        <f t="shared" si="138"/>
        <v/>
      </c>
      <c r="AP1164" t="str">
        <f t="shared" si="139"/>
        <v>Defensive</v>
      </c>
      <c r="BB1164" s="23"/>
      <c r="BD1164" s="21"/>
      <c r="BE1164" s="21"/>
      <c r="BF1164" s="21"/>
      <c r="BG1164" s="21"/>
      <c r="BH1164" s="21"/>
      <c r="BI1164" s="21"/>
    </row>
    <row r="1165" spans="1:61" x14ac:dyDescent="0.2">
      <c r="A1165">
        <v>620</v>
      </c>
      <c r="B1165">
        <v>103</v>
      </c>
      <c r="C1165">
        <f t="shared" si="135"/>
        <v>9103</v>
      </c>
      <c r="D1165">
        <f t="shared" si="140"/>
        <v>9103</v>
      </c>
      <c r="H1165">
        <f t="shared" si="136"/>
        <v>2</v>
      </c>
      <c r="I1165" s="5" t="s">
        <v>621</v>
      </c>
      <c r="J1165" s="5" t="s">
        <v>759</v>
      </c>
      <c r="Q1165" t="s">
        <v>619</v>
      </c>
      <c r="R1165">
        <v>44</v>
      </c>
      <c r="S1165">
        <v>1</v>
      </c>
      <c r="T1165" t="str">
        <f t="shared" si="134"/>
        <v>e</v>
      </c>
      <c r="U1165" t="s">
        <v>8</v>
      </c>
      <c r="V1165" t="s">
        <v>199</v>
      </c>
      <c r="W1165" t="s">
        <v>70</v>
      </c>
      <c r="X1165" t="s">
        <v>705</v>
      </c>
      <c r="AF1165" t="s">
        <v>623</v>
      </c>
      <c r="AJ1165">
        <v>1</v>
      </c>
      <c r="AM1165" t="str">
        <f t="shared" si="137"/>
        <v>Pass</v>
      </c>
      <c r="AN1165" t="str">
        <f t="shared" si="138"/>
        <v>Pass_Missed</v>
      </c>
      <c r="AP1165" t="str">
        <f t="shared" si="139"/>
        <v>Offensive</v>
      </c>
      <c r="BB1165" s="23"/>
      <c r="BD1165" s="21"/>
      <c r="BE1165" s="21"/>
      <c r="BF1165" s="21"/>
      <c r="BG1165" s="21"/>
      <c r="BH1165" s="21"/>
      <c r="BI1165" s="21"/>
    </row>
    <row r="1166" spans="1:61" x14ac:dyDescent="0.2">
      <c r="A1166">
        <v>620</v>
      </c>
      <c r="B1166">
        <v>103</v>
      </c>
      <c r="C1166">
        <f t="shared" si="135"/>
        <v>9103</v>
      </c>
      <c r="D1166">
        <f t="shared" si="140"/>
        <v>9103</v>
      </c>
      <c r="H1166">
        <f t="shared" si="136"/>
        <v>2</v>
      </c>
      <c r="R1166">
        <v>13</v>
      </c>
      <c r="S1166">
        <v>1</v>
      </c>
      <c r="T1166" t="str">
        <f t="shared" si="134"/>
        <v>e</v>
      </c>
      <c r="AM1166" t="str">
        <f t="shared" si="137"/>
        <v>Pass</v>
      </c>
      <c r="AN1166" t="str">
        <f t="shared" si="138"/>
        <v>Pass_Missed</v>
      </c>
      <c r="AP1166" t="str">
        <f t="shared" si="139"/>
        <v>Offensive</v>
      </c>
      <c r="BB1166" s="23"/>
      <c r="BD1166" s="21"/>
      <c r="BE1166" s="21"/>
      <c r="BF1166" s="21"/>
      <c r="BG1166" s="21"/>
      <c r="BH1166" s="21"/>
      <c r="BI1166" s="21"/>
    </row>
    <row r="1167" spans="1:61" x14ac:dyDescent="0.2">
      <c r="A1167">
        <v>620</v>
      </c>
      <c r="B1167">
        <v>103</v>
      </c>
      <c r="C1167">
        <f t="shared" si="135"/>
        <v>9103</v>
      </c>
      <c r="D1167">
        <f t="shared" si="140"/>
        <v>9103</v>
      </c>
      <c r="H1167">
        <f t="shared" si="136"/>
        <v>2</v>
      </c>
      <c r="R1167">
        <v>14</v>
      </c>
      <c r="T1167" t="str">
        <f t="shared" si="134"/>
        <v>o</v>
      </c>
      <c r="AJ1167">
        <v>1</v>
      </c>
      <c r="AM1167" t="str">
        <f t="shared" si="137"/>
        <v>Pass</v>
      </c>
      <c r="AN1167" t="str">
        <f t="shared" si="138"/>
        <v>Pass_Missed</v>
      </c>
      <c r="AP1167" t="str">
        <f t="shared" si="139"/>
        <v>Defensive</v>
      </c>
      <c r="BB1167" s="23"/>
      <c r="BD1167" s="21"/>
      <c r="BE1167" s="21"/>
      <c r="BF1167" s="21"/>
      <c r="BG1167" s="21"/>
      <c r="BH1167" s="21"/>
      <c r="BI1167" s="21"/>
    </row>
    <row r="1168" spans="1:61" x14ac:dyDescent="0.2">
      <c r="A1168">
        <v>621</v>
      </c>
      <c r="B1168">
        <v>103</v>
      </c>
      <c r="C1168">
        <f t="shared" si="135"/>
        <v>9103</v>
      </c>
      <c r="D1168">
        <f t="shared" si="140"/>
        <v>9103</v>
      </c>
      <c r="H1168">
        <f t="shared" si="136"/>
        <v>2</v>
      </c>
      <c r="I1168" s="5" t="s">
        <v>621</v>
      </c>
      <c r="J1168" s="5" t="s">
        <v>759</v>
      </c>
      <c r="Q1168" t="s">
        <v>619</v>
      </c>
      <c r="R1168">
        <v>44</v>
      </c>
      <c r="S1168">
        <v>1</v>
      </c>
      <c r="T1168" t="str">
        <f t="shared" si="134"/>
        <v>e</v>
      </c>
      <c r="U1168" t="s">
        <v>10</v>
      </c>
      <c r="V1168" t="s">
        <v>190</v>
      </c>
      <c r="W1168" t="s">
        <v>76</v>
      </c>
      <c r="AF1168" t="s">
        <v>623</v>
      </c>
      <c r="AJ1168">
        <v>1</v>
      </c>
      <c r="AM1168" t="str">
        <f t="shared" si="137"/>
        <v>Turnover</v>
      </c>
      <c r="AN1168" t="str">
        <f t="shared" si="138"/>
        <v>Turnover_Giveaway</v>
      </c>
      <c r="AP1168" t="str">
        <f t="shared" si="139"/>
        <v>Offensive</v>
      </c>
      <c r="BB1168" s="23"/>
      <c r="BD1168" s="21"/>
      <c r="BE1168" s="21"/>
      <c r="BF1168" s="21"/>
      <c r="BG1168" s="21"/>
      <c r="BH1168" s="21"/>
      <c r="BI1168" s="21"/>
    </row>
    <row r="1169" spans="1:61" x14ac:dyDescent="0.2">
      <c r="A1169">
        <v>621</v>
      </c>
      <c r="B1169">
        <v>103</v>
      </c>
      <c r="C1169">
        <f t="shared" si="135"/>
        <v>9103</v>
      </c>
      <c r="D1169">
        <f t="shared" si="140"/>
        <v>9103</v>
      </c>
      <c r="H1169">
        <f t="shared" si="136"/>
        <v>2</v>
      </c>
      <c r="R1169">
        <v>13</v>
      </c>
      <c r="S1169">
        <v>1</v>
      </c>
      <c r="T1169" t="str">
        <f t="shared" si="134"/>
        <v>e</v>
      </c>
      <c r="AM1169" t="str">
        <f t="shared" si="137"/>
        <v>Turnover</v>
      </c>
      <c r="AN1169" t="str">
        <f t="shared" si="138"/>
        <v>Turnover_Giveaway</v>
      </c>
      <c r="AP1169" t="str">
        <f t="shared" si="139"/>
        <v>Offensive</v>
      </c>
      <c r="BB1169" s="23"/>
      <c r="BD1169" s="21"/>
      <c r="BE1169" s="21"/>
      <c r="BF1169" s="21"/>
      <c r="BG1169" s="21"/>
      <c r="BH1169" s="21"/>
      <c r="BI1169" s="21"/>
    </row>
    <row r="1170" spans="1:61" x14ac:dyDescent="0.2">
      <c r="A1170">
        <v>621</v>
      </c>
      <c r="B1170">
        <v>103</v>
      </c>
      <c r="C1170">
        <f t="shared" si="135"/>
        <v>9103</v>
      </c>
      <c r="D1170">
        <f t="shared" si="140"/>
        <v>9103</v>
      </c>
      <c r="H1170">
        <f t="shared" si="136"/>
        <v>2</v>
      </c>
      <c r="R1170">
        <v>14</v>
      </c>
      <c r="T1170" t="str">
        <f t="shared" si="134"/>
        <v>o</v>
      </c>
      <c r="AJ1170">
        <v>1</v>
      </c>
      <c r="AM1170" t="str">
        <f t="shared" si="137"/>
        <v>Turnover</v>
      </c>
      <c r="AN1170" t="str">
        <f t="shared" si="138"/>
        <v>Turnover_Giveaway</v>
      </c>
      <c r="AP1170" t="str">
        <f t="shared" si="139"/>
        <v>Defensive</v>
      </c>
      <c r="BB1170" s="23"/>
      <c r="BD1170" s="21"/>
      <c r="BE1170" s="21"/>
      <c r="BF1170" s="21"/>
      <c r="BG1170" s="21"/>
      <c r="BH1170" s="21"/>
      <c r="BI1170" s="21"/>
    </row>
    <row r="1171" spans="1:61" x14ac:dyDescent="0.2">
      <c r="A1171">
        <v>622</v>
      </c>
      <c r="B1171" t="s">
        <v>887</v>
      </c>
      <c r="C1171" t="str">
        <f t="shared" si="135"/>
        <v/>
      </c>
      <c r="D1171" t="str">
        <f t="shared" si="140"/>
        <v/>
      </c>
      <c r="H1171">
        <f t="shared" si="136"/>
        <v>2</v>
      </c>
      <c r="I1171" s="5" t="s">
        <v>621</v>
      </c>
      <c r="J1171" s="5" t="s">
        <v>766</v>
      </c>
      <c r="Q1171" t="s">
        <v>620</v>
      </c>
      <c r="R1171">
        <v>70</v>
      </c>
      <c r="S1171">
        <v>1</v>
      </c>
      <c r="T1171" t="str">
        <f t="shared" si="134"/>
        <v>e</v>
      </c>
      <c r="U1171" t="s">
        <v>15</v>
      </c>
      <c r="V1171" t="s">
        <v>697</v>
      </c>
      <c r="X1171" t="s">
        <v>706</v>
      </c>
      <c r="Y1171" t="s">
        <v>712</v>
      </c>
      <c r="AA1171" t="s">
        <v>706</v>
      </c>
      <c r="AF1171" t="s">
        <v>401</v>
      </c>
      <c r="AJ1171">
        <v>1</v>
      </c>
      <c r="AM1171" t="str">
        <f t="shared" si="137"/>
        <v>Possession</v>
      </c>
      <c r="AN1171" t="str">
        <f t="shared" si="138"/>
        <v>PuckRetrieval</v>
      </c>
      <c r="AP1171" t="str">
        <f t="shared" si="139"/>
        <v>Offensive</v>
      </c>
      <c r="BB1171" s="23"/>
      <c r="BD1171" s="21"/>
      <c r="BE1171" s="21"/>
      <c r="BF1171" s="21"/>
      <c r="BG1171" s="21"/>
      <c r="BH1171" s="21"/>
      <c r="BI1171" s="21"/>
    </row>
    <row r="1172" spans="1:61" x14ac:dyDescent="0.2">
      <c r="A1172">
        <v>622</v>
      </c>
      <c r="B1172" t="s">
        <v>887</v>
      </c>
      <c r="C1172" t="str">
        <f t="shared" si="135"/>
        <v/>
      </c>
      <c r="D1172" t="str">
        <f t="shared" si="140"/>
        <v/>
      </c>
      <c r="H1172">
        <f t="shared" si="136"/>
        <v>2</v>
      </c>
      <c r="R1172">
        <v>77</v>
      </c>
      <c r="T1172" t="str">
        <f t="shared" si="134"/>
        <v>o</v>
      </c>
      <c r="AJ1172">
        <v>1</v>
      </c>
      <c r="AM1172" t="str">
        <f t="shared" si="137"/>
        <v>Possession</v>
      </c>
      <c r="AN1172" t="str">
        <f t="shared" si="138"/>
        <v>PuckRetrieval</v>
      </c>
      <c r="AP1172" t="str">
        <f t="shared" si="139"/>
        <v>Defensive</v>
      </c>
      <c r="BB1172" s="23"/>
      <c r="BD1172" s="21"/>
      <c r="BE1172" s="21"/>
      <c r="BF1172" s="21"/>
      <c r="BG1172" s="21"/>
      <c r="BH1172" s="21"/>
      <c r="BI1172" s="21"/>
    </row>
    <row r="1173" spans="1:61" x14ac:dyDescent="0.2">
      <c r="A1173">
        <v>622</v>
      </c>
      <c r="B1173" t="s">
        <v>887</v>
      </c>
      <c r="C1173" t="str">
        <f t="shared" si="135"/>
        <v/>
      </c>
      <c r="D1173" t="str">
        <f t="shared" si="140"/>
        <v/>
      </c>
      <c r="H1173">
        <f t="shared" si="136"/>
        <v>2</v>
      </c>
      <c r="R1173">
        <v>13</v>
      </c>
      <c r="T1173" t="str">
        <f t="shared" si="134"/>
        <v>o</v>
      </c>
      <c r="AJ1173">
        <v>1</v>
      </c>
      <c r="AM1173" t="str">
        <f t="shared" si="137"/>
        <v>Possession</v>
      </c>
      <c r="AN1173" t="str">
        <f t="shared" si="138"/>
        <v>PuckRetrieval</v>
      </c>
      <c r="AP1173" t="str">
        <f t="shared" si="139"/>
        <v>Defensive</v>
      </c>
      <c r="BB1173" s="23"/>
      <c r="BD1173" s="21"/>
      <c r="BE1173" s="21"/>
      <c r="BF1173" s="21"/>
      <c r="BG1173" s="21"/>
      <c r="BH1173" s="21"/>
      <c r="BI1173" s="21"/>
    </row>
    <row r="1174" spans="1:61" x14ac:dyDescent="0.2">
      <c r="A1174">
        <v>623</v>
      </c>
      <c r="B1174" t="s">
        <v>887</v>
      </c>
      <c r="C1174" t="str">
        <f t="shared" si="135"/>
        <v/>
      </c>
      <c r="D1174" t="str">
        <f t="shared" si="140"/>
        <v/>
      </c>
      <c r="H1174">
        <f t="shared" si="136"/>
        <v>2</v>
      </c>
      <c r="I1174" s="5" t="s">
        <v>621</v>
      </c>
      <c r="J1174" s="5" t="s">
        <v>730</v>
      </c>
      <c r="Q1174" t="s">
        <v>620</v>
      </c>
      <c r="R1174">
        <v>70</v>
      </c>
      <c r="S1174">
        <v>1</v>
      </c>
      <c r="T1174" t="str">
        <f t="shared" si="134"/>
        <v>e</v>
      </c>
      <c r="U1174" t="s">
        <v>8</v>
      </c>
      <c r="V1174" t="s">
        <v>199</v>
      </c>
      <c r="W1174" t="s">
        <v>70</v>
      </c>
      <c r="X1174" t="s">
        <v>705</v>
      </c>
      <c r="AA1174" t="s">
        <v>705</v>
      </c>
      <c r="AF1174" t="s">
        <v>401</v>
      </c>
      <c r="AJ1174">
        <v>1</v>
      </c>
      <c r="AM1174" t="str">
        <f t="shared" si="137"/>
        <v>Pass</v>
      </c>
      <c r="AN1174" t="str">
        <f t="shared" si="138"/>
        <v>Pass_Missed</v>
      </c>
      <c r="AP1174" t="str">
        <f t="shared" si="139"/>
        <v>Offensive</v>
      </c>
      <c r="BB1174" s="23"/>
      <c r="BD1174" s="21"/>
      <c r="BE1174" s="21"/>
      <c r="BF1174" s="21"/>
      <c r="BG1174" s="21"/>
      <c r="BH1174" s="21"/>
      <c r="BI1174" s="21"/>
    </row>
    <row r="1175" spans="1:61" x14ac:dyDescent="0.2">
      <c r="A1175">
        <v>623</v>
      </c>
      <c r="B1175" t="s">
        <v>887</v>
      </c>
      <c r="C1175" t="str">
        <f t="shared" si="135"/>
        <v/>
      </c>
      <c r="D1175" t="str">
        <f t="shared" si="140"/>
        <v/>
      </c>
      <c r="H1175">
        <f t="shared" si="136"/>
        <v>2</v>
      </c>
      <c r="R1175">
        <v>14</v>
      </c>
      <c r="S1175">
        <v>1</v>
      </c>
      <c r="T1175" t="str">
        <f t="shared" si="134"/>
        <v>e</v>
      </c>
      <c r="AJ1175">
        <v>1</v>
      </c>
      <c r="AM1175" t="str">
        <f t="shared" si="137"/>
        <v>Pass</v>
      </c>
      <c r="AN1175" t="str">
        <f t="shared" si="138"/>
        <v>Pass_Missed</v>
      </c>
      <c r="AP1175" t="str">
        <f t="shared" si="139"/>
        <v>Offensive</v>
      </c>
      <c r="BB1175" s="23"/>
      <c r="BD1175" s="21"/>
      <c r="BE1175" s="21"/>
      <c r="BF1175" s="21"/>
      <c r="BG1175" s="21"/>
      <c r="BH1175" s="21"/>
      <c r="BI1175" s="21"/>
    </row>
    <row r="1176" spans="1:61" x14ac:dyDescent="0.2">
      <c r="A1176">
        <v>623</v>
      </c>
      <c r="B1176" t="s">
        <v>887</v>
      </c>
      <c r="C1176" t="str">
        <f t="shared" si="135"/>
        <v/>
      </c>
      <c r="D1176" t="str">
        <f t="shared" si="140"/>
        <v/>
      </c>
      <c r="H1176">
        <f t="shared" si="136"/>
        <v>2</v>
      </c>
      <c r="R1176">
        <v>77</v>
      </c>
      <c r="T1176" t="str">
        <f t="shared" si="134"/>
        <v>o</v>
      </c>
      <c r="Y1176" t="s">
        <v>715</v>
      </c>
      <c r="AJ1176">
        <v>1</v>
      </c>
      <c r="AM1176" t="str">
        <f t="shared" si="137"/>
        <v>Pass</v>
      </c>
      <c r="AN1176" t="str">
        <f t="shared" si="138"/>
        <v>Pass_Missed</v>
      </c>
      <c r="AP1176" t="str">
        <f t="shared" si="139"/>
        <v>Defensive</v>
      </c>
      <c r="BB1176" s="23"/>
      <c r="BD1176" s="21"/>
      <c r="BE1176" s="21"/>
      <c r="BF1176" s="21"/>
      <c r="BG1176" s="21"/>
      <c r="BH1176" s="21"/>
      <c r="BI1176" s="21"/>
    </row>
    <row r="1177" spans="1:61" x14ac:dyDescent="0.2">
      <c r="A1177">
        <v>623</v>
      </c>
      <c r="B1177" t="s">
        <v>887</v>
      </c>
      <c r="C1177" t="str">
        <f t="shared" si="135"/>
        <v/>
      </c>
      <c r="D1177" t="str">
        <f t="shared" si="140"/>
        <v/>
      </c>
      <c r="H1177">
        <f t="shared" si="136"/>
        <v>2</v>
      </c>
      <c r="R1177">
        <v>44</v>
      </c>
      <c r="T1177" t="str">
        <f t="shared" si="134"/>
        <v>o</v>
      </c>
      <c r="Y1177" t="s">
        <v>715</v>
      </c>
      <c r="AJ1177">
        <v>1</v>
      </c>
      <c r="AM1177" t="str">
        <f t="shared" si="137"/>
        <v>Pass</v>
      </c>
      <c r="AN1177" t="str">
        <f t="shared" si="138"/>
        <v>Pass_Missed</v>
      </c>
      <c r="AP1177" t="str">
        <f t="shared" si="139"/>
        <v>Defensive</v>
      </c>
      <c r="BB1177" s="23"/>
      <c r="BD1177" s="21"/>
      <c r="BE1177" s="21"/>
      <c r="BF1177" s="21"/>
      <c r="BG1177" s="21"/>
      <c r="BH1177" s="21"/>
      <c r="BI1177" s="21"/>
    </row>
    <row r="1178" spans="1:61" x14ac:dyDescent="0.2">
      <c r="A1178">
        <v>623</v>
      </c>
      <c r="B1178" t="s">
        <v>887</v>
      </c>
      <c r="C1178" t="str">
        <f t="shared" si="135"/>
        <v/>
      </c>
      <c r="D1178" t="str">
        <f t="shared" si="140"/>
        <v/>
      </c>
      <c r="H1178">
        <f t="shared" si="136"/>
        <v>2</v>
      </c>
      <c r="R1178">
        <v>18</v>
      </c>
      <c r="T1178" t="str">
        <f t="shared" si="134"/>
        <v>o</v>
      </c>
      <c r="Y1178" t="s">
        <v>715</v>
      </c>
      <c r="AM1178" t="str">
        <f t="shared" si="137"/>
        <v>Pass</v>
      </c>
      <c r="AN1178" t="str">
        <f t="shared" si="138"/>
        <v>Pass_Missed</v>
      </c>
      <c r="AP1178" t="str">
        <f t="shared" si="139"/>
        <v>Defensive</v>
      </c>
      <c r="BB1178" s="23"/>
      <c r="BD1178" s="21"/>
      <c r="BE1178" s="21"/>
      <c r="BF1178" s="21"/>
      <c r="BG1178" s="21"/>
      <c r="BH1178" s="21"/>
      <c r="BI1178" s="21"/>
    </row>
    <row r="1179" spans="1:61" x14ac:dyDescent="0.2">
      <c r="A1179">
        <v>624</v>
      </c>
      <c r="B1179" t="s">
        <v>887</v>
      </c>
      <c r="C1179" t="str">
        <f t="shared" si="135"/>
        <v/>
      </c>
      <c r="D1179" t="str">
        <f t="shared" si="140"/>
        <v/>
      </c>
      <c r="H1179">
        <f t="shared" si="136"/>
        <v>2</v>
      </c>
      <c r="I1179" s="5" t="s">
        <v>621</v>
      </c>
      <c r="J1179" s="5" t="s">
        <v>760</v>
      </c>
      <c r="Q1179" t="s">
        <v>619</v>
      </c>
      <c r="R1179">
        <v>30</v>
      </c>
      <c r="S1179">
        <v>1</v>
      </c>
      <c r="T1179" t="str">
        <f t="shared" si="134"/>
        <v>e</v>
      </c>
      <c r="U1179" t="s">
        <v>13</v>
      </c>
      <c r="V1179" t="s">
        <v>204</v>
      </c>
      <c r="W1179" t="s">
        <v>110</v>
      </c>
      <c r="AF1179" t="s">
        <v>623</v>
      </c>
      <c r="AM1179" t="str">
        <f t="shared" si="137"/>
        <v>Stoppage</v>
      </c>
      <c r="AN1179" t="str">
        <f t="shared" si="138"/>
        <v>Stoppage_Play</v>
      </c>
      <c r="AP1179" t="str">
        <f t="shared" si="139"/>
        <v/>
      </c>
      <c r="BB1179" s="23"/>
      <c r="BD1179" s="21"/>
      <c r="BE1179" s="21"/>
      <c r="BF1179" s="21"/>
      <c r="BG1179" s="21"/>
      <c r="BH1179" s="21"/>
      <c r="BI1179" s="21"/>
    </row>
    <row r="1180" spans="1:61" x14ac:dyDescent="0.2">
      <c r="A1180">
        <v>625</v>
      </c>
      <c r="B1180" t="s">
        <v>887</v>
      </c>
      <c r="C1180" t="str">
        <f t="shared" si="135"/>
        <v/>
      </c>
      <c r="D1180" t="str">
        <f t="shared" si="140"/>
        <v/>
      </c>
      <c r="H1180">
        <f t="shared" si="136"/>
        <v>2</v>
      </c>
      <c r="I1180" s="5" t="s">
        <v>621</v>
      </c>
      <c r="J1180" s="5" t="s">
        <v>760</v>
      </c>
      <c r="K1180" s="5" t="s">
        <v>743</v>
      </c>
      <c r="L1180" s="7" t="s">
        <v>896</v>
      </c>
      <c r="Q1180" t="s">
        <v>619</v>
      </c>
      <c r="R1180">
        <v>30</v>
      </c>
      <c r="S1180">
        <v>1</v>
      </c>
      <c r="T1180" t="str">
        <f t="shared" si="134"/>
        <v>e</v>
      </c>
      <c r="U1180" t="s">
        <v>262</v>
      </c>
      <c r="AF1180" t="s">
        <v>623</v>
      </c>
      <c r="AM1180" t="str">
        <f t="shared" si="137"/>
        <v>DeadIce</v>
      </c>
      <c r="AN1180" t="str">
        <f t="shared" si="138"/>
        <v/>
      </c>
      <c r="AP1180" t="str">
        <f t="shared" si="139"/>
        <v/>
      </c>
      <c r="BB1180" s="23"/>
      <c r="BD1180" s="21"/>
      <c r="BE1180" s="21"/>
      <c r="BF1180" s="21"/>
      <c r="BG1180" s="21"/>
      <c r="BH1180" s="21"/>
      <c r="BI1180" s="21"/>
    </row>
    <row r="1181" spans="1:61" x14ac:dyDescent="0.2">
      <c r="A1181">
        <v>626</v>
      </c>
      <c r="B1181" t="s">
        <v>887</v>
      </c>
      <c r="C1181" t="str">
        <f t="shared" si="135"/>
        <v/>
      </c>
      <c r="D1181" t="str">
        <f t="shared" si="140"/>
        <v/>
      </c>
      <c r="H1181">
        <f t="shared" si="136"/>
        <v>2</v>
      </c>
      <c r="I1181" s="5" t="s">
        <v>743</v>
      </c>
      <c r="J1181" s="5" t="s">
        <v>896</v>
      </c>
      <c r="Q1181" t="s">
        <v>619</v>
      </c>
      <c r="R1181">
        <v>77</v>
      </c>
      <c r="S1181">
        <v>1</v>
      </c>
      <c r="T1181" t="str">
        <f t="shared" si="134"/>
        <v>e</v>
      </c>
      <c r="U1181" t="s">
        <v>6</v>
      </c>
      <c r="V1181" t="s">
        <v>255</v>
      </c>
      <c r="AF1181" t="s">
        <v>623</v>
      </c>
      <c r="AM1181" t="str">
        <f t="shared" si="137"/>
        <v>Faceoff</v>
      </c>
      <c r="AN1181" t="str">
        <f t="shared" si="138"/>
        <v>Faceoff_AfterStoppage</v>
      </c>
      <c r="AP1181" t="str">
        <f t="shared" si="139"/>
        <v>Offensive</v>
      </c>
      <c r="BB1181" s="23"/>
      <c r="BD1181" s="21"/>
      <c r="BE1181" s="21"/>
      <c r="BF1181" s="21"/>
      <c r="BG1181" s="21"/>
      <c r="BH1181" s="21"/>
      <c r="BI1181" s="21"/>
    </row>
    <row r="1182" spans="1:61" x14ac:dyDescent="0.2">
      <c r="A1182">
        <v>626</v>
      </c>
      <c r="B1182" t="s">
        <v>887</v>
      </c>
      <c r="C1182" t="str">
        <f t="shared" si="135"/>
        <v/>
      </c>
      <c r="D1182" t="str">
        <f t="shared" si="140"/>
        <v/>
      </c>
      <c r="H1182">
        <f t="shared" si="136"/>
        <v>2</v>
      </c>
      <c r="R1182">
        <v>70</v>
      </c>
      <c r="T1182" t="str">
        <f t="shared" si="134"/>
        <v>o</v>
      </c>
      <c r="AM1182" t="str">
        <f t="shared" si="137"/>
        <v>Faceoff</v>
      </c>
      <c r="AN1182" t="str">
        <f t="shared" si="138"/>
        <v>Faceoff_AfterStoppage</v>
      </c>
      <c r="AP1182" t="str">
        <f t="shared" si="139"/>
        <v>Defensive</v>
      </c>
      <c r="BB1182" s="23"/>
      <c r="BD1182" s="21"/>
      <c r="BE1182" s="21"/>
      <c r="BF1182" s="21"/>
      <c r="BG1182" s="21"/>
      <c r="BH1182" s="21"/>
      <c r="BI1182" s="21"/>
    </row>
    <row r="1183" spans="1:61" x14ac:dyDescent="0.2">
      <c r="A1183">
        <v>627</v>
      </c>
      <c r="B1183" t="s">
        <v>887</v>
      </c>
      <c r="C1183" t="str">
        <f t="shared" si="135"/>
        <v/>
      </c>
      <c r="D1183" t="str">
        <f t="shared" si="140"/>
        <v/>
      </c>
      <c r="H1183">
        <f t="shared" si="136"/>
        <v>2</v>
      </c>
      <c r="I1183" s="5" t="s">
        <v>743</v>
      </c>
      <c r="J1183" s="5" t="s">
        <v>762</v>
      </c>
      <c r="K1183" s="5" t="s">
        <v>743</v>
      </c>
      <c r="L1183" s="7" t="s">
        <v>788</v>
      </c>
      <c r="Q1183" t="s">
        <v>619</v>
      </c>
      <c r="R1183">
        <v>77</v>
      </c>
      <c r="S1183">
        <v>1</v>
      </c>
      <c r="T1183" t="str">
        <f t="shared" si="134"/>
        <v>e</v>
      </c>
      <c r="U1183" t="s">
        <v>257</v>
      </c>
      <c r="V1183" t="s">
        <v>201</v>
      </c>
      <c r="W1183" t="s">
        <v>90</v>
      </c>
      <c r="X1183" t="s">
        <v>706</v>
      </c>
      <c r="AF1183" t="s">
        <v>623</v>
      </c>
      <c r="AJ1183">
        <v>1</v>
      </c>
      <c r="AM1183" t="str">
        <f t="shared" si="137"/>
        <v>Zone_Entry_Exit</v>
      </c>
      <c r="AN1183" t="str">
        <f t="shared" si="138"/>
        <v>Zone_Exit</v>
      </c>
      <c r="AP1183" t="str">
        <f t="shared" si="139"/>
        <v>Offensive</v>
      </c>
      <c r="BB1183" s="23"/>
      <c r="BD1183" s="21"/>
      <c r="BE1183" s="21"/>
      <c r="BF1183" s="21"/>
      <c r="BG1183" s="21"/>
      <c r="BH1183" s="21"/>
      <c r="BI1183" s="21"/>
    </row>
    <row r="1184" spans="1:61" x14ac:dyDescent="0.2">
      <c r="A1184">
        <v>627</v>
      </c>
      <c r="B1184" t="s">
        <v>887</v>
      </c>
      <c r="C1184" t="str">
        <f t="shared" si="135"/>
        <v/>
      </c>
      <c r="D1184" t="str">
        <f t="shared" si="140"/>
        <v/>
      </c>
      <c r="H1184">
        <f t="shared" si="136"/>
        <v>2</v>
      </c>
      <c r="R1184">
        <v>75</v>
      </c>
      <c r="T1184" t="str">
        <f t="shared" si="134"/>
        <v>o</v>
      </c>
      <c r="AJ1184">
        <v>1</v>
      </c>
      <c r="AM1184" t="str">
        <f t="shared" si="137"/>
        <v>Zone_Entry_Exit</v>
      </c>
      <c r="AN1184" t="str">
        <f t="shared" si="138"/>
        <v>Zone_Exit</v>
      </c>
      <c r="AP1184" t="str">
        <f t="shared" si="139"/>
        <v>Defensive</v>
      </c>
      <c r="BB1184" s="23"/>
      <c r="BD1184" s="21"/>
      <c r="BE1184" s="21"/>
      <c r="BF1184" s="21"/>
      <c r="BG1184" s="21"/>
      <c r="BH1184" s="21"/>
      <c r="BI1184" s="21"/>
    </row>
    <row r="1185" spans="1:61" x14ac:dyDescent="0.2">
      <c r="A1185">
        <v>628</v>
      </c>
      <c r="B1185" t="s">
        <v>887</v>
      </c>
      <c r="C1185" t="str">
        <f t="shared" si="135"/>
        <v/>
      </c>
      <c r="D1185" t="str">
        <f t="shared" si="140"/>
        <v/>
      </c>
      <c r="H1185">
        <f t="shared" si="136"/>
        <v>2</v>
      </c>
      <c r="I1185" s="5" t="s">
        <v>743</v>
      </c>
      <c r="J1185" s="5" t="s">
        <v>788</v>
      </c>
      <c r="K1185" s="5" t="s">
        <v>743</v>
      </c>
      <c r="L1185" s="7" t="s">
        <v>639</v>
      </c>
      <c r="Q1185" t="s">
        <v>619</v>
      </c>
      <c r="R1185">
        <v>77</v>
      </c>
      <c r="S1185">
        <v>1</v>
      </c>
      <c r="T1185" t="str">
        <f t="shared" si="134"/>
        <v>e</v>
      </c>
      <c r="U1185" t="s">
        <v>15</v>
      </c>
      <c r="Y1185" t="s">
        <v>728</v>
      </c>
      <c r="AF1185" t="s">
        <v>635</v>
      </c>
      <c r="AJ1185">
        <v>1</v>
      </c>
      <c r="AM1185" t="str">
        <f t="shared" si="137"/>
        <v>Possession</v>
      </c>
      <c r="AN1185" t="str">
        <f t="shared" si="138"/>
        <v/>
      </c>
      <c r="AP1185" t="str">
        <f t="shared" si="139"/>
        <v>Offensive</v>
      </c>
      <c r="BB1185" s="23"/>
      <c r="BD1185" s="21"/>
      <c r="BE1185" s="21"/>
      <c r="BF1185" s="21"/>
      <c r="BG1185" s="21"/>
      <c r="BH1185" s="21"/>
      <c r="BI1185" s="21"/>
    </row>
    <row r="1186" spans="1:61" x14ac:dyDescent="0.2">
      <c r="A1186">
        <v>628</v>
      </c>
      <c r="B1186" t="s">
        <v>887</v>
      </c>
      <c r="C1186" t="str">
        <f t="shared" si="135"/>
        <v/>
      </c>
      <c r="D1186" t="str">
        <f t="shared" si="140"/>
        <v/>
      </c>
      <c r="H1186">
        <f t="shared" si="136"/>
        <v>2</v>
      </c>
      <c r="R1186">
        <v>84</v>
      </c>
      <c r="T1186" t="str">
        <f t="shared" si="134"/>
        <v>o</v>
      </c>
      <c r="Y1186" t="s">
        <v>802</v>
      </c>
      <c r="AJ1186">
        <v>1</v>
      </c>
      <c r="AM1186" t="str">
        <f t="shared" si="137"/>
        <v>Possession</v>
      </c>
      <c r="AN1186" t="str">
        <f t="shared" si="138"/>
        <v/>
      </c>
      <c r="AP1186" t="str">
        <f t="shared" si="139"/>
        <v>Defensive</v>
      </c>
      <c r="BB1186" s="23"/>
      <c r="BD1186" s="21"/>
      <c r="BE1186" s="21"/>
      <c r="BF1186" s="21"/>
      <c r="BG1186" s="21"/>
      <c r="BH1186" s="21"/>
      <c r="BI1186" s="21"/>
    </row>
    <row r="1187" spans="1:61" x14ac:dyDescent="0.2">
      <c r="A1187">
        <v>629</v>
      </c>
      <c r="B1187" t="s">
        <v>887</v>
      </c>
      <c r="C1187" t="str">
        <f t="shared" si="135"/>
        <v/>
      </c>
      <c r="D1187" t="str">
        <f t="shared" si="140"/>
        <v/>
      </c>
      <c r="H1187">
        <f t="shared" si="136"/>
        <v>2</v>
      </c>
      <c r="I1187" s="5" t="s">
        <v>743</v>
      </c>
      <c r="J1187" s="5" t="s">
        <v>639</v>
      </c>
      <c r="K1187" s="5" t="s">
        <v>743</v>
      </c>
      <c r="L1187" s="7" t="s">
        <v>789</v>
      </c>
      <c r="Q1187" t="s">
        <v>619</v>
      </c>
      <c r="R1187">
        <v>77</v>
      </c>
      <c r="S1187">
        <v>1</v>
      </c>
      <c r="T1187" t="str">
        <f t="shared" si="134"/>
        <v>e</v>
      </c>
      <c r="U1187" t="s">
        <v>257</v>
      </c>
      <c r="V1187" t="s">
        <v>191</v>
      </c>
      <c r="W1187" t="s">
        <v>87</v>
      </c>
      <c r="X1187" t="s">
        <v>706</v>
      </c>
      <c r="Y1187" t="s">
        <v>728</v>
      </c>
      <c r="AF1187" t="s">
        <v>401</v>
      </c>
      <c r="AJ1187">
        <v>1</v>
      </c>
      <c r="AM1187" t="str">
        <f t="shared" si="137"/>
        <v>Zone_Entry_Exit</v>
      </c>
      <c r="AN1187" t="str">
        <f t="shared" si="138"/>
        <v>Zone_Entry</v>
      </c>
      <c r="AP1187" t="str">
        <f t="shared" si="139"/>
        <v>Offensive</v>
      </c>
      <c r="BB1187" s="23"/>
      <c r="BD1187" s="21"/>
      <c r="BE1187" s="21"/>
      <c r="BF1187" s="21"/>
      <c r="BG1187" s="21"/>
      <c r="BH1187" s="21"/>
      <c r="BI1187" s="21"/>
    </row>
    <row r="1188" spans="1:61" x14ac:dyDescent="0.2">
      <c r="A1188">
        <v>629</v>
      </c>
      <c r="B1188" t="s">
        <v>887</v>
      </c>
      <c r="C1188" t="str">
        <f t="shared" si="135"/>
        <v/>
      </c>
      <c r="D1188" t="str">
        <f t="shared" si="140"/>
        <v/>
      </c>
      <c r="H1188">
        <f t="shared" si="136"/>
        <v>2</v>
      </c>
      <c r="R1188">
        <v>84</v>
      </c>
      <c r="T1188" t="str">
        <f t="shared" si="134"/>
        <v>o</v>
      </c>
      <c r="Y1188" t="s">
        <v>729</v>
      </c>
      <c r="AJ1188">
        <v>1</v>
      </c>
      <c r="AM1188" t="str">
        <f t="shared" si="137"/>
        <v>Zone_Entry_Exit</v>
      </c>
      <c r="AN1188" t="str">
        <f t="shared" si="138"/>
        <v>Zone_Entry</v>
      </c>
      <c r="AP1188" t="str">
        <f t="shared" si="139"/>
        <v>Defensive</v>
      </c>
      <c r="BB1188" s="23"/>
      <c r="BD1188" s="21"/>
      <c r="BE1188" s="21"/>
      <c r="BF1188" s="21"/>
      <c r="BG1188" s="21"/>
      <c r="BH1188" s="21"/>
      <c r="BI1188" s="21"/>
    </row>
    <row r="1189" spans="1:61" x14ac:dyDescent="0.2">
      <c r="A1189">
        <v>629</v>
      </c>
      <c r="B1189" t="s">
        <v>887</v>
      </c>
      <c r="C1189" t="str">
        <f t="shared" si="135"/>
        <v/>
      </c>
      <c r="D1189" t="str">
        <f t="shared" si="140"/>
        <v/>
      </c>
      <c r="H1189">
        <f t="shared" si="136"/>
        <v>2</v>
      </c>
      <c r="R1189">
        <v>91</v>
      </c>
      <c r="T1189" t="str">
        <f t="shared" si="134"/>
        <v>o</v>
      </c>
      <c r="AM1189" t="str">
        <f t="shared" si="137"/>
        <v>Zone_Entry_Exit</v>
      </c>
      <c r="AN1189" t="str">
        <f t="shared" si="138"/>
        <v>Zone_Entry</v>
      </c>
      <c r="AP1189" t="str">
        <f t="shared" si="139"/>
        <v>Defensive</v>
      </c>
      <c r="BB1189" s="23"/>
      <c r="BD1189" s="21"/>
      <c r="BE1189" s="21"/>
      <c r="BF1189" s="21"/>
      <c r="BG1189" s="21"/>
      <c r="BH1189" s="21"/>
      <c r="BI1189" s="21"/>
    </row>
    <row r="1190" spans="1:61" x14ac:dyDescent="0.2">
      <c r="A1190">
        <v>630</v>
      </c>
      <c r="B1190">
        <v>104</v>
      </c>
      <c r="C1190">
        <f t="shared" si="135"/>
        <v>9104</v>
      </c>
      <c r="D1190">
        <f t="shared" si="140"/>
        <v>9104</v>
      </c>
      <c r="H1190">
        <f t="shared" si="136"/>
        <v>2</v>
      </c>
      <c r="I1190" s="5" t="s">
        <v>743</v>
      </c>
      <c r="J1190" s="5" t="s">
        <v>789</v>
      </c>
      <c r="Q1190" t="s">
        <v>619</v>
      </c>
      <c r="R1190">
        <v>77</v>
      </c>
      <c r="S1190">
        <v>1</v>
      </c>
      <c r="T1190" t="str">
        <f t="shared" si="134"/>
        <v>e</v>
      </c>
      <c r="U1190" t="s">
        <v>8</v>
      </c>
      <c r="V1190" t="s">
        <v>209</v>
      </c>
      <c r="W1190" t="s">
        <v>69</v>
      </c>
      <c r="X1190" t="s">
        <v>705</v>
      </c>
      <c r="AF1190" t="s">
        <v>401</v>
      </c>
      <c r="AJ1190">
        <v>1</v>
      </c>
      <c r="AM1190" t="str">
        <f t="shared" si="137"/>
        <v>Pass</v>
      </c>
      <c r="AN1190" t="str">
        <f t="shared" si="138"/>
        <v>Pass_Deflected</v>
      </c>
      <c r="AP1190" t="str">
        <f t="shared" si="139"/>
        <v>Offensive</v>
      </c>
      <c r="BB1190" s="23"/>
      <c r="BD1190" s="21"/>
      <c r="BE1190" s="21"/>
      <c r="BF1190" s="21"/>
      <c r="BG1190" s="21"/>
      <c r="BH1190" s="21"/>
      <c r="BI1190" s="21"/>
    </row>
    <row r="1191" spans="1:61" x14ac:dyDescent="0.2">
      <c r="A1191">
        <v>630</v>
      </c>
      <c r="B1191">
        <v>104</v>
      </c>
      <c r="C1191">
        <f t="shared" si="135"/>
        <v>9104</v>
      </c>
      <c r="D1191">
        <f t="shared" si="140"/>
        <v>9104</v>
      </c>
      <c r="H1191">
        <f t="shared" si="136"/>
        <v>2</v>
      </c>
      <c r="R1191">
        <v>13</v>
      </c>
      <c r="S1191">
        <v>1</v>
      </c>
      <c r="T1191" t="str">
        <f t="shared" si="134"/>
        <v>e</v>
      </c>
      <c r="AM1191" t="str">
        <f t="shared" si="137"/>
        <v>Pass</v>
      </c>
      <c r="AN1191" t="str">
        <f t="shared" si="138"/>
        <v>Pass_Deflected</v>
      </c>
      <c r="AP1191" t="str">
        <f t="shared" si="139"/>
        <v>Offensive</v>
      </c>
      <c r="BB1191" s="23"/>
      <c r="BD1191" s="21"/>
      <c r="BE1191" s="21"/>
      <c r="BF1191" s="21"/>
      <c r="BG1191" s="21"/>
      <c r="BH1191" s="21"/>
      <c r="BI1191" s="21"/>
    </row>
    <row r="1192" spans="1:61" x14ac:dyDescent="0.2">
      <c r="A1192">
        <v>630</v>
      </c>
      <c r="B1192">
        <v>104</v>
      </c>
      <c r="C1192">
        <f t="shared" si="135"/>
        <v>9104</v>
      </c>
      <c r="D1192">
        <f t="shared" si="140"/>
        <v>9104</v>
      </c>
      <c r="H1192">
        <f t="shared" si="136"/>
        <v>2</v>
      </c>
      <c r="R1192">
        <v>84</v>
      </c>
      <c r="T1192" t="str">
        <f t="shared" si="134"/>
        <v>o</v>
      </c>
      <c r="Y1192" t="s">
        <v>715</v>
      </c>
      <c r="AJ1192">
        <v>1</v>
      </c>
      <c r="AM1192" t="str">
        <f t="shared" si="137"/>
        <v>Pass</v>
      </c>
      <c r="AN1192" t="str">
        <f t="shared" si="138"/>
        <v>Pass_Deflected</v>
      </c>
      <c r="AP1192" t="str">
        <f t="shared" si="139"/>
        <v>Defensive</v>
      </c>
      <c r="BB1192" s="23"/>
      <c r="BD1192" s="21"/>
      <c r="BE1192" s="21"/>
      <c r="BF1192" s="21"/>
      <c r="BG1192" s="21"/>
      <c r="BH1192" s="21"/>
      <c r="BI1192" s="21"/>
    </row>
    <row r="1193" spans="1:61" x14ac:dyDescent="0.2">
      <c r="A1193">
        <v>630</v>
      </c>
      <c r="B1193">
        <v>104</v>
      </c>
      <c r="C1193">
        <f t="shared" si="135"/>
        <v>9104</v>
      </c>
      <c r="D1193">
        <f t="shared" si="140"/>
        <v>9104</v>
      </c>
      <c r="H1193">
        <f t="shared" si="136"/>
        <v>2</v>
      </c>
      <c r="R1193">
        <v>91</v>
      </c>
      <c r="T1193" t="str">
        <f t="shared" si="134"/>
        <v>o</v>
      </c>
      <c r="Y1193" t="s">
        <v>723</v>
      </c>
      <c r="AA1193" t="s">
        <v>706</v>
      </c>
      <c r="AM1193" t="str">
        <f t="shared" si="137"/>
        <v>Pass</v>
      </c>
      <c r="AN1193" t="str">
        <f t="shared" si="138"/>
        <v>Pass_Deflected</v>
      </c>
      <c r="AP1193" t="str">
        <f t="shared" si="139"/>
        <v>Defensive</v>
      </c>
      <c r="BB1193" s="23"/>
      <c r="BD1193" s="21"/>
      <c r="BE1193" s="21"/>
      <c r="BF1193" s="21"/>
      <c r="BG1193" s="21"/>
      <c r="BH1193" s="21"/>
      <c r="BI1193" s="21"/>
    </row>
    <row r="1194" spans="1:61" x14ac:dyDescent="0.2">
      <c r="A1194">
        <v>631</v>
      </c>
      <c r="B1194">
        <v>104</v>
      </c>
      <c r="C1194">
        <f t="shared" si="135"/>
        <v>9104</v>
      </c>
      <c r="D1194">
        <f t="shared" si="140"/>
        <v>9104</v>
      </c>
      <c r="H1194">
        <f t="shared" si="136"/>
        <v>2</v>
      </c>
      <c r="I1194" s="5" t="s">
        <v>743</v>
      </c>
      <c r="J1194" s="5" t="s">
        <v>789</v>
      </c>
      <c r="Q1194" t="s">
        <v>619</v>
      </c>
      <c r="R1194">
        <v>77</v>
      </c>
      <c r="S1194">
        <v>1</v>
      </c>
      <c r="T1194" t="str">
        <f>IF(S1194="x","",IF(S1194=1,"e","o"))</f>
        <v>e</v>
      </c>
      <c r="U1194" t="s">
        <v>10</v>
      </c>
      <c r="V1194" t="s">
        <v>190</v>
      </c>
      <c r="W1194" t="s">
        <v>77</v>
      </c>
      <c r="AF1194" t="s">
        <v>401</v>
      </c>
      <c r="AJ1194">
        <v>1</v>
      </c>
      <c r="AM1194" t="str">
        <f t="shared" si="137"/>
        <v>Turnover</v>
      </c>
      <c r="AN1194" t="str">
        <f t="shared" si="138"/>
        <v>Turnover_Giveaway</v>
      </c>
      <c r="AP1194" t="str">
        <f t="shared" si="139"/>
        <v>Offensive</v>
      </c>
      <c r="BB1194" s="23"/>
      <c r="BD1194" s="21"/>
      <c r="BE1194" s="21"/>
      <c r="BF1194" s="21"/>
      <c r="BG1194" s="21"/>
      <c r="BH1194" s="21"/>
      <c r="BI1194" s="21"/>
    </row>
    <row r="1195" spans="1:61" x14ac:dyDescent="0.2">
      <c r="A1195">
        <v>631</v>
      </c>
      <c r="B1195">
        <v>104</v>
      </c>
      <c r="C1195">
        <f t="shared" si="135"/>
        <v>9104</v>
      </c>
      <c r="D1195">
        <f t="shared" si="140"/>
        <v>9104</v>
      </c>
      <c r="H1195">
        <f t="shared" si="136"/>
        <v>2</v>
      </c>
      <c r="R1195">
        <v>13</v>
      </c>
      <c r="S1195">
        <v>1</v>
      </c>
      <c r="T1195" t="str">
        <f>IF(S1195="x","",IF(S1195=1,"e","o"))</f>
        <v>e</v>
      </c>
      <c r="AM1195" t="str">
        <f t="shared" si="137"/>
        <v>Turnover</v>
      </c>
      <c r="AN1195" t="str">
        <f t="shared" si="138"/>
        <v>Turnover_Giveaway</v>
      </c>
      <c r="AP1195" t="str">
        <f t="shared" si="139"/>
        <v>Offensive</v>
      </c>
      <c r="BB1195" s="23"/>
      <c r="BD1195" s="21"/>
      <c r="BE1195" s="21"/>
      <c r="BF1195" s="21"/>
      <c r="BG1195" s="21"/>
      <c r="BH1195" s="21"/>
      <c r="BI1195" s="21"/>
    </row>
    <row r="1196" spans="1:61" x14ac:dyDescent="0.2">
      <c r="A1196">
        <v>631</v>
      </c>
      <c r="B1196">
        <v>104</v>
      </c>
      <c r="C1196">
        <f t="shared" si="135"/>
        <v>9104</v>
      </c>
      <c r="D1196">
        <f t="shared" si="140"/>
        <v>9104</v>
      </c>
      <c r="H1196">
        <f t="shared" si="136"/>
        <v>2</v>
      </c>
      <c r="R1196">
        <v>84</v>
      </c>
      <c r="T1196" t="str">
        <f>IF(S1196="x","",IF(S1196=1,"e","o"))</f>
        <v>o</v>
      </c>
      <c r="Y1196" t="s">
        <v>715</v>
      </c>
      <c r="AJ1196">
        <v>1</v>
      </c>
      <c r="AM1196" t="str">
        <f t="shared" si="137"/>
        <v>Turnover</v>
      </c>
      <c r="AN1196" t="str">
        <f t="shared" si="138"/>
        <v>Turnover_Giveaway</v>
      </c>
      <c r="AP1196" t="str">
        <f t="shared" si="139"/>
        <v>Defensive</v>
      </c>
      <c r="BB1196" s="23"/>
      <c r="BD1196" s="21"/>
      <c r="BE1196" s="21"/>
      <c r="BF1196" s="21"/>
      <c r="BG1196" s="21"/>
      <c r="BH1196" s="21"/>
      <c r="BI1196" s="21"/>
    </row>
    <row r="1197" spans="1:61" x14ac:dyDescent="0.2">
      <c r="A1197">
        <v>631</v>
      </c>
      <c r="B1197" t="s">
        <v>887</v>
      </c>
      <c r="C1197" t="str">
        <f t="shared" si="135"/>
        <v/>
      </c>
      <c r="D1197" t="str">
        <f t="shared" si="140"/>
        <v/>
      </c>
      <c r="H1197">
        <f t="shared" si="136"/>
        <v>2</v>
      </c>
      <c r="R1197">
        <v>91</v>
      </c>
      <c r="T1197" t="str">
        <f>IF(S1197="x","",IF(S1197=1,"e","o"))</f>
        <v>o</v>
      </c>
      <c r="Y1197" t="s">
        <v>723</v>
      </c>
      <c r="AA1197" t="s">
        <v>706</v>
      </c>
      <c r="AM1197" t="str">
        <f t="shared" si="137"/>
        <v>Turnover</v>
      </c>
      <c r="AN1197" t="str">
        <f t="shared" si="138"/>
        <v>Turnover_Giveaway</v>
      </c>
      <c r="AP1197" t="str">
        <f t="shared" si="139"/>
        <v>Defensive</v>
      </c>
      <c r="BB1197" s="23"/>
      <c r="BD1197" s="21"/>
      <c r="BE1197" s="21"/>
      <c r="BF1197" s="21"/>
      <c r="BG1197" s="21"/>
      <c r="BH1197" s="21"/>
      <c r="BI1197" s="21"/>
    </row>
    <row r="1198" spans="1:61" x14ac:dyDescent="0.2">
      <c r="A1198">
        <v>632</v>
      </c>
      <c r="B1198" t="s">
        <v>887</v>
      </c>
      <c r="C1198" t="str">
        <f t="shared" si="135"/>
        <v/>
      </c>
      <c r="D1198" t="str">
        <f t="shared" si="140"/>
        <v/>
      </c>
      <c r="H1198">
        <f t="shared" si="136"/>
        <v>2</v>
      </c>
      <c r="I1198" s="5" t="s">
        <v>743</v>
      </c>
      <c r="J1198" s="5" t="s">
        <v>789</v>
      </c>
      <c r="Q1198" t="s">
        <v>620</v>
      </c>
      <c r="R1198">
        <v>70</v>
      </c>
      <c r="S1198">
        <v>1</v>
      </c>
      <c r="T1198" t="str">
        <f t="shared" si="134"/>
        <v>e</v>
      </c>
      <c r="U1198" t="s">
        <v>15</v>
      </c>
      <c r="V1198" t="s">
        <v>697</v>
      </c>
      <c r="X1198" t="s">
        <v>705</v>
      </c>
      <c r="Y1198" t="s">
        <v>712</v>
      </c>
      <c r="AA1198" t="s">
        <v>705</v>
      </c>
      <c r="AF1198" t="s">
        <v>623</v>
      </c>
      <c r="AJ1198">
        <v>1</v>
      </c>
      <c r="AM1198" t="str">
        <f t="shared" si="137"/>
        <v>Possession</v>
      </c>
      <c r="AN1198" t="str">
        <f t="shared" si="138"/>
        <v>PuckRetrieval</v>
      </c>
      <c r="AP1198" t="str">
        <f t="shared" si="139"/>
        <v>Offensive</v>
      </c>
      <c r="BB1198" s="23"/>
      <c r="BD1198" s="21"/>
      <c r="BE1198" s="21"/>
      <c r="BF1198" s="21"/>
      <c r="BG1198" s="21"/>
      <c r="BH1198" s="21"/>
      <c r="BI1198" s="21"/>
    </row>
    <row r="1199" spans="1:61" x14ac:dyDescent="0.2">
      <c r="A1199">
        <v>632</v>
      </c>
      <c r="B1199" t="s">
        <v>887</v>
      </c>
      <c r="C1199" t="str">
        <f t="shared" si="135"/>
        <v/>
      </c>
      <c r="D1199" t="str">
        <f t="shared" si="140"/>
        <v/>
      </c>
      <c r="H1199">
        <f t="shared" si="136"/>
        <v>2</v>
      </c>
      <c r="R1199">
        <v>13</v>
      </c>
      <c r="T1199" t="str">
        <f t="shared" si="134"/>
        <v>o</v>
      </c>
      <c r="Y1199" t="s">
        <v>775</v>
      </c>
      <c r="AA1199" t="s">
        <v>705</v>
      </c>
      <c r="AJ1199">
        <v>1</v>
      </c>
      <c r="AM1199" t="str">
        <f t="shared" si="137"/>
        <v>Possession</v>
      </c>
      <c r="AN1199" t="str">
        <f t="shared" si="138"/>
        <v>PuckRetrieval</v>
      </c>
      <c r="AP1199" t="str">
        <f t="shared" si="139"/>
        <v>Defensive</v>
      </c>
      <c r="BB1199" s="23"/>
      <c r="BD1199" s="21"/>
      <c r="BE1199" s="21"/>
      <c r="BF1199" s="21"/>
      <c r="BG1199" s="21"/>
      <c r="BH1199" s="21"/>
      <c r="BI1199" s="21"/>
    </row>
    <row r="1200" spans="1:61" x14ac:dyDescent="0.2">
      <c r="A1200">
        <v>633</v>
      </c>
      <c r="B1200">
        <v>105</v>
      </c>
      <c r="C1200">
        <f t="shared" si="135"/>
        <v>9105</v>
      </c>
      <c r="D1200">
        <f t="shared" si="140"/>
        <v>9105</v>
      </c>
      <c r="H1200">
        <f t="shared" si="136"/>
        <v>2</v>
      </c>
      <c r="I1200" s="5" t="s">
        <v>743</v>
      </c>
      <c r="J1200" s="5" t="s">
        <v>673</v>
      </c>
      <c r="Q1200" t="s">
        <v>620</v>
      </c>
      <c r="R1200">
        <v>70</v>
      </c>
      <c r="S1200">
        <v>1</v>
      </c>
      <c r="T1200" t="str">
        <f t="shared" si="134"/>
        <v>e</v>
      </c>
      <c r="U1200" t="s">
        <v>8</v>
      </c>
      <c r="V1200" t="s">
        <v>199</v>
      </c>
      <c r="W1200" t="s">
        <v>69</v>
      </c>
      <c r="X1200" t="s">
        <v>705</v>
      </c>
      <c r="AF1200" t="s">
        <v>623</v>
      </c>
      <c r="AM1200" t="str">
        <f t="shared" si="137"/>
        <v>Pass</v>
      </c>
      <c r="AN1200" t="str">
        <f t="shared" si="138"/>
        <v>Pass_Missed</v>
      </c>
      <c r="AP1200" t="str">
        <f t="shared" si="139"/>
        <v>Offensive</v>
      </c>
      <c r="BB1200" s="23"/>
      <c r="BD1200" s="21"/>
      <c r="BE1200" s="21"/>
      <c r="BF1200" s="21"/>
      <c r="BG1200" s="21"/>
      <c r="BH1200" s="21"/>
      <c r="BI1200" s="21"/>
    </row>
    <row r="1201" spans="1:61" x14ac:dyDescent="0.2">
      <c r="A1201">
        <v>633</v>
      </c>
      <c r="B1201">
        <v>105</v>
      </c>
      <c r="C1201">
        <f t="shared" si="135"/>
        <v>9105</v>
      </c>
      <c r="D1201">
        <f t="shared" si="140"/>
        <v>9105</v>
      </c>
      <c r="H1201">
        <f t="shared" si="136"/>
        <v>2</v>
      </c>
      <c r="R1201">
        <v>75</v>
      </c>
      <c r="S1201">
        <v>1</v>
      </c>
      <c r="T1201" t="str">
        <f t="shared" si="134"/>
        <v>e</v>
      </c>
      <c r="AM1201" t="str">
        <f t="shared" si="137"/>
        <v>Pass</v>
      </c>
      <c r="AN1201" t="str">
        <f t="shared" si="138"/>
        <v>Pass_Missed</v>
      </c>
      <c r="AP1201" t="str">
        <f t="shared" si="139"/>
        <v>Offensive</v>
      </c>
      <c r="BB1201" s="23"/>
      <c r="BD1201" s="21"/>
      <c r="BE1201" s="21"/>
      <c r="BF1201" s="21"/>
      <c r="BG1201" s="21"/>
      <c r="BH1201" s="21"/>
      <c r="BI1201" s="21"/>
    </row>
    <row r="1202" spans="1:61" x14ac:dyDescent="0.2">
      <c r="A1202">
        <v>634</v>
      </c>
      <c r="B1202">
        <v>105</v>
      </c>
      <c r="C1202">
        <f t="shared" si="135"/>
        <v>9105</v>
      </c>
      <c r="D1202">
        <f t="shared" si="140"/>
        <v>9105</v>
      </c>
      <c r="H1202">
        <f t="shared" si="136"/>
        <v>2</v>
      </c>
      <c r="I1202" s="5" t="s">
        <v>743</v>
      </c>
      <c r="J1202" s="5" t="s">
        <v>673</v>
      </c>
      <c r="Q1202" t="s">
        <v>620</v>
      </c>
      <c r="R1202">
        <v>70</v>
      </c>
      <c r="S1202">
        <v>1</v>
      </c>
      <c r="T1202" t="str">
        <f t="shared" si="134"/>
        <v>e</v>
      </c>
      <c r="U1202" t="s">
        <v>10</v>
      </c>
      <c r="V1202" t="s">
        <v>190</v>
      </c>
      <c r="W1202" t="s">
        <v>76</v>
      </c>
      <c r="AM1202" t="str">
        <f t="shared" si="137"/>
        <v>Turnover</v>
      </c>
      <c r="AN1202" t="str">
        <f t="shared" si="138"/>
        <v>Turnover_Giveaway</v>
      </c>
      <c r="AP1202" t="str">
        <f t="shared" si="139"/>
        <v>Offensive</v>
      </c>
      <c r="BB1202" s="23"/>
      <c r="BD1202" s="21"/>
      <c r="BE1202" s="21"/>
      <c r="BF1202" s="21"/>
      <c r="BG1202" s="21"/>
      <c r="BH1202" s="21"/>
      <c r="BI1202" s="21"/>
    </row>
    <row r="1203" spans="1:61" x14ac:dyDescent="0.2">
      <c r="A1203">
        <v>634</v>
      </c>
      <c r="B1203">
        <v>105</v>
      </c>
      <c r="C1203">
        <f t="shared" si="135"/>
        <v>9105</v>
      </c>
      <c r="D1203">
        <f t="shared" si="140"/>
        <v>9105</v>
      </c>
      <c r="H1203">
        <f t="shared" si="136"/>
        <v>2</v>
      </c>
      <c r="R1203">
        <v>75</v>
      </c>
      <c r="S1203">
        <v>1</v>
      </c>
      <c r="T1203" t="str">
        <f t="shared" si="134"/>
        <v>e</v>
      </c>
      <c r="AM1203" t="str">
        <f t="shared" si="137"/>
        <v>Turnover</v>
      </c>
      <c r="AN1203" t="str">
        <f t="shared" si="138"/>
        <v>Turnover_Giveaway</v>
      </c>
      <c r="AP1203" t="str">
        <f t="shared" si="139"/>
        <v>Offensive</v>
      </c>
      <c r="BB1203" s="23"/>
      <c r="BD1203" s="21"/>
      <c r="BE1203" s="21"/>
      <c r="BF1203" s="21"/>
      <c r="BG1203" s="21"/>
      <c r="BH1203" s="21"/>
      <c r="BI1203" s="21"/>
    </row>
    <row r="1204" spans="1:61" x14ac:dyDescent="0.2">
      <c r="A1204">
        <v>635</v>
      </c>
      <c r="B1204">
        <v>106</v>
      </c>
      <c r="C1204">
        <f t="shared" si="135"/>
        <v>9106</v>
      </c>
      <c r="D1204">
        <f t="shared" si="140"/>
        <v>9106</v>
      </c>
      <c r="H1204">
        <f t="shared" si="136"/>
        <v>2</v>
      </c>
      <c r="I1204" s="5" t="s">
        <v>743</v>
      </c>
      <c r="J1204" s="5" t="s">
        <v>755</v>
      </c>
      <c r="Q1204" t="s">
        <v>619</v>
      </c>
      <c r="R1204">
        <v>44</v>
      </c>
      <c r="S1204">
        <v>1</v>
      </c>
      <c r="T1204" t="str">
        <f t="shared" si="134"/>
        <v>e</v>
      </c>
      <c r="U1204" t="s">
        <v>15</v>
      </c>
      <c r="V1204" t="s">
        <v>697</v>
      </c>
      <c r="X1204" t="s">
        <v>705</v>
      </c>
      <c r="Y1204" t="s">
        <v>848</v>
      </c>
      <c r="AA1204" t="s">
        <v>705</v>
      </c>
      <c r="AF1204" t="s">
        <v>401</v>
      </c>
      <c r="AM1204" t="str">
        <f t="shared" si="137"/>
        <v>Possession</v>
      </c>
      <c r="AN1204" t="str">
        <f t="shared" si="138"/>
        <v>PuckRetrieval</v>
      </c>
      <c r="AP1204" t="str">
        <f t="shared" si="139"/>
        <v>Offensive</v>
      </c>
      <c r="BB1204" s="23"/>
      <c r="BD1204" s="21"/>
      <c r="BE1204" s="21"/>
      <c r="BF1204" s="21"/>
      <c r="BG1204" s="21"/>
      <c r="BH1204" s="21"/>
      <c r="BI1204" s="21"/>
    </row>
    <row r="1205" spans="1:61" x14ac:dyDescent="0.2">
      <c r="A1205">
        <v>636</v>
      </c>
      <c r="B1205">
        <v>106</v>
      </c>
      <c r="C1205">
        <f t="shared" si="135"/>
        <v>9106</v>
      </c>
      <c r="D1205">
        <f t="shared" si="140"/>
        <v>9106</v>
      </c>
      <c r="H1205">
        <f t="shared" si="136"/>
        <v>2</v>
      </c>
      <c r="I1205" s="5" t="s">
        <v>743</v>
      </c>
      <c r="J1205" s="5" t="s">
        <v>755</v>
      </c>
      <c r="Q1205" t="s">
        <v>619</v>
      </c>
      <c r="R1205">
        <v>44</v>
      </c>
      <c r="S1205">
        <v>1</v>
      </c>
      <c r="T1205" t="str">
        <f t="shared" si="134"/>
        <v>e</v>
      </c>
      <c r="U1205" t="s">
        <v>257</v>
      </c>
      <c r="V1205" t="s">
        <v>210</v>
      </c>
      <c r="W1205" t="s">
        <v>93</v>
      </c>
      <c r="X1205" t="s">
        <v>706</v>
      </c>
      <c r="AF1205" t="s">
        <v>401</v>
      </c>
      <c r="AM1205" t="str">
        <f t="shared" si="137"/>
        <v>Zone_Entry_Exit</v>
      </c>
      <c r="AN1205" t="str">
        <f t="shared" si="138"/>
        <v>Zone_Keepin</v>
      </c>
      <c r="AP1205" t="str">
        <f t="shared" si="139"/>
        <v>Offensive</v>
      </c>
      <c r="BB1205" s="23"/>
      <c r="BD1205" s="21"/>
      <c r="BE1205" s="21"/>
      <c r="BF1205" s="21"/>
      <c r="BG1205" s="21"/>
      <c r="BH1205" s="21"/>
      <c r="BI1205" s="21"/>
    </row>
    <row r="1206" spans="1:61" x14ac:dyDescent="0.2">
      <c r="A1206">
        <v>637</v>
      </c>
      <c r="B1206">
        <v>107</v>
      </c>
      <c r="C1206">
        <f t="shared" si="135"/>
        <v>9107</v>
      </c>
      <c r="D1206">
        <f t="shared" si="140"/>
        <v>9107</v>
      </c>
      <c r="H1206">
        <f t="shared" si="136"/>
        <v>2</v>
      </c>
      <c r="I1206" s="5" t="s">
        <v>743</v>
      </c>
      <c r="J1206" s="5" t="s">
        <v>682</v>
      </c>
      <c r="Q1206" t="s">
        <v>619</v>
      </c>
      <c r="R1206">
        <v>44</v>
      </c>
      <c r="S1206">
        <v>1</v>
      </c>
      <c r="T1206" t="str">
        <f t="shared" si="134"/>
        <v>e</v>
      </c>
      <c r="U1206" t="s">
        <v>247</v>
      </c>
      <c r="V1206" t="s">
        <v>421</v>
      </c>
      <c r="W1206" t="s">
        <v>466</v>
      </c>
      <c r="X1206" t="s">
        <v>705</v>
      </c>
      <c r="Y1206" t="s">
        <v>817</v>
      </c>
      <c r="AA1206" t="s">
        <v>705</v>
      </c>
      <c r="AF1206" t="s">
        <v>401</v>
      </c>
      <c r="AM1206" t="str">
        <f t="shared" si="137"/>
        <v>Play</v>
      </c>
      <c r="AN1206" t="str">
        <f t="shared" si="138"/>
        <v>Play_Offensive</v>
      </c>
      <c r="AP1206" t="str">
        <f t="shared" si="139"/>
        <v>Offensive</v>
      </c>
      <c r="BB1206" s="23"/>
      <c r="BD1206" s="21"/>
      <c r="BE1206" s="21"/>
      <c r="BF1206" s="21"/>
      <c r="BG1206" s="21"/>
      <c r="BH1206" s="21"/>
      <c r="BI1206" s="21"/>
    </row>
    <row r="1207" spans="1:61" x14ac:dyDescent="0.2">
      <c r="A1207">
        <v>638</v>
      </c>
      <c r="B1207">
        <v>107</v>
      </c>
      <c r="C1207">
        <f t="shared" si="135"/>
        <v>9107</v>
      </c>
      <c r="D1207">
        <f t="shared" si="140"/>
        <v>9107</v>
      </c>
      <c r="H1207">
        <f t="shared" si="136"/>
        <v>2</v>
      </c>
      <c r="I1207" s="5" t="s">
        <v>743</v>
      </c>
      <c r="J1207" s="5" t="s">
        <v>682</v>
      </c>
      <c r="Q1207" t="s">
        <v>619</v>
      </c>
      <c r="R1207">
        <v>44</v>
      </c>
      <c r="S1207">
        <v>1</v>
      </c>
      <c r="T1207" t="str">
        <f t="shared" si="134"/>
        <v>e</v>
      </c>
      <c r="U1207" t="s">
        <v>10</v>
      </c>
      <c r="V1207" t="s">
        <v>190</v>
      </c>
      <c r="W1207" t="s">
        <v>424</v>
      </c>
      <c r="AF1207" t="s">
        <v>401</v>
      </c>
      <c r="AM1207" t="str">
        <f t="shared" si="137"/>
        <v>Turnover</v>
      </c>
      <c r="AN1207" t="str">
        <f t="shared" si="138"/>
        <v>Turnover_Giveaway</v>
      </c>
      <c r="AP1207" t="str">
        <f t="shared" si="139"/>
        <v>Offensive</v>
      </c>
      <c r="BB1207" s="23"/>
      <c r="BD1207" s="21"/>
      <c r="BE1207" s="21"/>
      <c r="BF1207" s="21"/>
      <c r="BG1207" s="21"/>
      <c r="BH1207" s="21"/>
      <c r="BI1207" s="21"/>
    </row>
    <row r="1208" spans="1:61" x14ac:dyDescent="0.2">
      <c r="A1208">
        <v>639</v>
      </c>
      <c r="B1208" t="s">
        <v>887</v>
      </c>
      <c r="C1208" t="str">
        <f t="shared" si="135"/>
        <v/>
      </c>
      <c r="D1208" t="str">
        <f t="shared" si="140"/>
        <v/>
      </c>
      <c r="H1208">
        <f t="shared" si="136"/>
        <v>2</v>
      </c>
      <c r="I1208" s="5" t="s">
        <v>743</v>
      </c>
      <c r="J1208" s="5" t="s">
        <v>716</v>
      </c>
      <c r="K1208" s="5" t="s">
        <v>743</v>
      </c>
      <c r="L1208" s="7" t="s">
        <v>776</v>
      </c>
      <c r="Q1208" t="s">
        <v>620</v>
      </c>
      <c r="R1208">
        <v>91</v>
      </c>
      <c r="S1208">
        <v>1</v>
      </c>
      <c r="T1208" t="str">
        <f t="shared" si="134"/>
        <v>e</v>
      </c>
      <c r="U1208" t="s">
        <v>15</v>
      </c>
      <c r="V1208" t="s">
        <v>697</v>
      </c>
      <c r="X1208" t="s">
        <v>705</v>
      </c>
      <c r="Y1208" t="s">
        <v>720</v>
      </c>
      <c r="AA1208" t="s">
        <v>705</v>
      </c>
      <c r="AF1208" t="s">
        <v>623</v>
      </c>
      <c r="AJ1208">
        <v>1</v>
      </c>
      <c r="AM1208" t="str">
        <f t="shared" si="137"/>
        <v>Possession</v>
      </c>
      <c r="AN1208" t="str">
        <f t="shared" si="138"/>
        <v>PuckRetrieval</v>
      </c>
      <c r="AP1208" t="str">
        <f t="shared" si="139"/>
        <v>Offensive</v>
      </c>
      <c r="BB1208" s="23"/>
      <c r="BD1208" s="21"/>
      <c r="BE1208" s="21"/>
      <c r="BF1208" s="21"/>
      <c r="BG1208" s="21"/>
      <c r="BH1208" s="21"/>
      <c r="BI1208" s="21"/>
    </row>
    <row r="1209" spans="1:61" x14ac:dyDescent="0.2">
      <c r="A1209">
        <v>639</v>
      </c>
      <c r="B1209" t="s">
        <v>887</v>
      </c>
      <c r="C1209" t="str">
        <f t="shared" si="135"/>
        <v/>
      </c>
      <c r="D1209" t="str">
        <f t="shared" si="140"/>
        <v/>
      </c>
      <c r="H1209">
        <f t="shared" si="136"/>
        <v>2</v>
      </c>
      <c r="R1209">
        <v>13</v>
      </c>
      <c r="T1209" t="str">
        <f t="shared" si="134"/>
        <v>o</v>
      </c>
      <c r="Y1209" t="s">
        <v>761</v>
      </c>
      <c r="AA1209" t="s">
        <v>705</v>
      </c>
      <c r="AJ1209">
        <v>1</v>
      </c>
      <c r="AM1209" t="str">
        <f t="shared" si="137"/>
        <v>Possession</v>
      </c>
      <c r="AN1209" t="str">
        <f t="shared" si="138"/>
        <v>PuckRetrieval</v>
      </c>
      <c r="AP1209" t="str">
        <f t="shared" si="139"/>
        <v>Defensive</v>
      </c>
      <c r="BB1209" s="23"/>
      <c r="BD1209" s="21"/>
      <c r="BE1209" s="21"/>
      <c r="BF1209" s="21"/>
      <c r="BG1209" s="21"/>
      <c r="BH1209" s="21"/>
      <c r="BI1209" s="21"/>
    </row>
    <row r="1210" spans="1:61" x14ac:dyDescent="0.2">
      <c r="A1210">
        <v>639</v>
      </c>
      <c r="B1210" t="s">
        <v>887</v>
      </c>
      <c r="C1210" t="str">
        <f t="shared" si="135"/>
        <v/>
      </c>
      <c r="D1210" t="str">
        <f t="shared" si="140"/>
        <v/>
      </c>
      <c r="H1210">
        <f t="shared" si="136"/>
        <v>2</v>
      </c>
      <c r="R1210">
        <v>77</v>
      </c>
      <c r="T1210" t="str">
        <f t="shared" si="134"/>
        <v>o</v>
      </c>
      <c r="AJ1210">
        <v>1</v>
      </c>
      <c r="AM1210" t="str">
        <f t="shared" si="137"/>
        <v>Possession</v>
      </c>
      <c r="AN1210" t="str">
        <f t="shared" si="138"/>
        <v>PuckRetrieval</v>
      </c>
      <c r="AP1210" t="str">
        <f t="shared" si="139"/>
        <v>Defensive</v>
      </c>
      <c r="BB1210" s="23"/>
      <c r="BD1210" s="21"/>
      <c r="BE1210" s="21"/>
      <c r="BF1210" s="21"/>
      <c r="BG1210" s="21"/>
      <c r="BH1210" s="21"/>
      <c r="BI1210" s="21"/>
    </row>
    <row r="1211" spans="1:61" x14ac:dyDescent="0.2">
      <c r="A1211">
        <v>640</v>
      </c>
      <c r="B1211">
        <v>108</v>
      </c>
      <c r="C1211">
        <f t="shared" si="135"/>
        <v>9108</v>
      </c>
      <c r="D1211">
        <f t="shared" si="140"/>
        <v>9108</v>
      </c>
      <c r="H1211">
        <f t="shared" si="136"/>
        <v>2</v>
      </c>
      <c r="I1211" s="5" t="s">
        <v>743</v>
      </c>
      <c r="J1211" s="5" t="s">
        <v>776</v>
      </c>
      <c r="Q1211" t="s">
        <v>620</v>
      </c>
      <c r="R1211">
        <v>91</v>
      </c>
      <c r="S1211">
        <v>1</v>
      </c>
      <c r="T1211" t="str">
        <f t="shared" si="134"/>
        <v>e</v>
      </c>
      <c r="U1211" t="s">
        <v>257</v>
      </c>
      <c r="V1211" t="s">
        <v>819</v>
      </c>
      <c r="W1211" t="s">
        <v>92</v>
      </c>
      <c r="X1211" t="s">
        <v>705</v>
      </c>
      <c r="Y1211" t="s">
        <v>746</v>
      </c>
      <c r="AA1211" t="s">
        <v>705</v>
      </c>
      <c r="AF1211" t="s">
        <v>623</v>
      </c>
      <c r="AJ1211">
        <v>1</v>
      </c>
      <c r="AM1211" t="str">
        <f t="shared" si="137"/>
        <v>Zone_Entry_Exit</v>
      </c>
      <c r="AN1211" t="str">
        <f t="shared" si="138"/>
        <v>Zone_ExitFailed</v>
      </c>
      <c r="AP1211" t="str">
        <f t="shared" si="139"/>
        <v>Offensive</v>
      </c>
      <c r="BB1211" s="23"/>
      <c r="BD1211" s="21"/>
      <c r="BE1211" s="21"/>
      <c r="BF1211" s="21"/>
      <c r="BG1211" s="21"/>
      <c r="BH1211" s="21"/>
      <c r="BI1211" s="21"/>
    </row>
    <row r="1212" spans="1:61" x14ac:dyDescent="0.2">
      <c r="A1212">
        <v>640</v>
      </c>
      <c r="B1212">
        <v>108</v>
      </c>
      <c r="C1212">
        <f t="shared" si="135"/>
        <v>9108</v>
      </c>
      <c r="D1212">
        <f t="shared" si="140"/>
        <v>9108</v>
      </c>
      <c r="H1212">
        <f t="shared" si="136"/>
        <v>2</v>
      </c>
      <c r="R1212">
        <v>77</v>
      </c>
      <c r="T1212" t="str">
        <f t="shared" si="134"/>
        <v>o</v>
      </c>
      <c r="AJ1212">
        <v>1</v>
      </c>
      <c r="AM1212" t="str">
        <f t="shared" si="137"/>
        <v>Zone_Entry_Exit</v>
      </c>
      <c r="AN1212" t="str">
        <f t="shared" si="138"/>
        <v>Zone_ExitFailed</v>
      </c>
      <c r="AP1212" t="str">
        <f t="shared" si="139"/>
        <v>Defensive</v>
      </c>
      <c r="BB1212" s="23"/>
      <c r="BD1212" s="21"/>
      <c r="BE1212" s="21"/>
      <c r="BF1212" s="21"/>
      <c r="BG1212" s="21"/>
      <c r="BH1212" s="21"/>
      <c r="BI1212" s="21"/>
    </row>
    <row r="1213" spans="1:61" x14ac:dyDescent="0.2">
      <c r="A1213">
        <v>641</v>
      </c>
      <c r="B1213">
        <v>108</v>
      </c>
      <c r="C1213">
        <f t="shared" si="135"/>
        <v>9108</v>
      </c>
      <c r="D1213">
        <f t="shared" si="140"/>
        <v>9108</v>
      </c>
      <c r="H1213">
        <f t="shared" si="136"/>
        <v>2</v>
      </c>
      <c r="I1213" s="5" t="s">
        <v>743</v>
      </c>
      <c r="J1213" s="5" t="s">
        <v>776</v>
      </c>
      <c r="Q1213" t="s">
        <v>620</v>
      </c>
      <c r="R1213">
        <v>91</v>
      </c>
      <c r="S1213">
        <v>1</v>
      </c>
      <c r="T1213" t="str">
        <f t="shared" si="134"/>
        <v>e</v>
      </c>
      <c r="U1213" t="s">
        <v>10</v>
      </c>
      <c r="V1213" t="s">
        <v>190</v>
      </c>
      <c r="W1213" t="s">
        <v>398</v>
      </c>
      <c r="AF1213" t="s">
        <v>623</v>
      </c>
      <c r="AJ1213">
        <v>1</v>
      </c>
      <c r="AM1213" t="str">
        <f t="shared" si="137"/>
        <v>Turnover</v>
      </c>
      <c r="AN1213" t="str">
        <f t="shared" si="138"/>
        <v>Turnover_Giveaway</v>
      </c>
      <c r="AP1213" t="str">
        <f t="shared" si="139"/>
        <v>Offensive</v>
      </c>
      <c r="BB1213" s="23"/>
      <c r="BD1213" s="21"/>
      <c r="BE1213" s="21"/>
      <c r="BF1213" s="21"/>
      <c r="BG1213" s="21"/>
      <c r="BH1213" s="21"/>
      <c r="BI1213" s="21"/>
    </row>
    <row r="1214" spans="1:61" x14ac:dyDescent="0.2">
      <c r="A1214">
        <v>641</v>
      </c>
      <c r="B1214">
        <v>108</v>
      </c>
      <c r="C1214">
        <f t="shared" si="135"/>
        <v>9108</v>
      </c>
      <c r="D1214">
        <f t="shared" si="140"/>
        <v>9108</v>
      </c>
      <c r="H1214">
        <f t="shared" si="136"/>
        <v>2</v>
      </c>
      <c r="R1214">
        <v>77</v>
      </c>
      <c r="T1214" t="str">
        <f t="shared" si="134"/>
        <v>o</v>
      </c>
      <c r="AJ1214">
        <v>1</v>
      </c>
      <c r="AM1214" t="str">
        <f t="shared" si="137"/>
        <v>Turnover</v>
      </c>
      <c r="AN1214" t="str">
        <f t="shared" si="138"/>
        <v>Turnover_Giveaway</v>
      </c>
      <c r="AP1214" t="str">
        <f t="shared" si="139"/>
        <v>Defensive</v>
      </c>
      <c r="BB1214" s="23"/>
      <c r="BD1214" s="21"/>
      <c r="BE1214" s="21"/>
      <c r="BF1214" s="21"/>
      <c r="BG1214" s="21"/>
      <c r="BH1214" s="21"/>
      <c r="BI1214" s="21"/>
    </row>
    <row r="1215" spans="1:61" x14ac:dyDescent="0.2">
      <c r="A1215">
        <v>642</v>
      </c>
      <c r="B1215">
        <v>109</v>
      </c>
      <c r="C1215">
        <f t="shared" si="135"/>
        <v>9109</v>
      </c>
      <c r="D1215">
        <f t="shared" si="140"/>
        <v>9109</v>
      </c>
      <c r="H1215">
        <f t="shared" si="136"/>
        <v>2</v>
      </c>
      <c r="I1215" s="5" t="s">
        <v>743</v>
      </c>
      <c r="J1215" s="5" t="s">
        <v>717</v>
      </c>
      <c r="K1215" s="5" t="s">
        <v>743</v>
      </c>
      <c r="L1215" s="7" t="s">
        <v>778</v>
      </c>
      <c r="Q1215" t="s">
        <v>619</v>
      </c>
      <c r="R1215">
        <v>44</v>
      </c>
      <c r="S1215">
        <v>1</v>
      </c>
      <c r="T1215" t="str">
        <f t="shared" si="134"/>
        <v>e</v>
      </c>
      <c r="U1215" t="s">
        <v>15</v>
      </c>
      <c r="V1215" t="s">
        <v>697</v>
      </c>
      <c r="X1215" t="s">
        <v>706</v>
      </c>
      <c r="Y1215" t="s">
        <v>712</v>
      </c>
      <c r="AA1215" t="s">
        <v>706</v>
      </c>
      <c r="AF1215" t="s">
        <v>401</v>
      </c>
      <c r="AM1215" t="str">
        <f t="shared" si="137"/>
        <v>Possession</v>
      </c>
      <c r="AN1215" t="str">
        <f t="shared" si="138"/>
        <v>PuckRetrieval</v>
      </c>
      <c r="AP1215" t="str">
        <f t="shared" si="139"/>
        <v>Offensive</v>
      </c>
      <c r="BB1215" s="23"/>
      <c r="BD1215" s="21"/>
      <c r="BE1215" s="21"/>
      <c r="BF1215" s="21"/>
      <c r="BG1215" s="21"/>
      <c r="BH1215" s="21"/>
      <c r="BI1215" s="21"/>
    </row>
    <row r="1216" spans="1:61" x14ac:dyDescent="0.2">
      <c r="A1216">
        <v>643</v>
      </c>
      <c r="B1216">
        <v>109</v>
      </c>
      <c r="C1216">
        <f t="shared" si="135"/>
        <v>9109</v>
      </c>
      <c r="D1216">
        <f t="shared" si="140"/>
        <v>9109</v>
      </c>
      <c r="H1216">
        <f t="shared" si="136"/>
        <v>2</v>
      </c>
      <c r="I1216" s="5" t="s">
        <v>743</v>
      </c>
      <c r="J1216" s="5" t="s">
        <v>717</v>
      </c>
      <c r="Q1216" t="s">
        <v>619</v>
      </c>
      <c r="R1216">
        <v>44</v>
      </c>
      <c r="S1216">
        <v>1</v>
      </c>
      <c r="T1216" t="str">
        <f t="shared" si="134"/>
        <v>e</v>
      </c>
      <c r="U1216" t="s">
        <v>257</v>
      </c>
      <c r="V1216" t="s">
        <v>210</v>
      </c>
      <c r="W1216" t="s">
        <v>93</v>
      </c>
      <c r="X1216" t="s">
        <v>706</v>
      </c>
      <c r="AF1216" t="s">
        <v>401</v>
      </c>
      <c r="AM1216" t="str">
        <f t="shared" si="137"/>
        <v>Zone_Entry_Exit</v>
      </c>
      <c r="AN1216" t="str">
        <f t="shared" si="138"/>
        <v>Zone_Keepin</v>
      </c>
      <c r="AP1216" t="str">
        <f t="shared" si="139"/>
        <v>Offensive</v>
      </c>
      <c r="BB1216" s="23"/>
      <c r="BD1216" s="21"/>
      <c r="BE1216" s="21"/>
      <c r="BF1216" s="21"/>
      <c r="BG1216" s="21"/>
      <c r="BH1216" s="21"/>
      <c r="BI1216" s="21"/>
    </row>
    <row r="1217" spans="1:61" x14ac:dyDescent="0.2">
      <c r="A1217">
        <v>644</v>
      </c>
      <c r="B1217">
        <v>110</v>
      </c>
      <c r="C1217">
        <f t="shared" si="135"/>
        <v>9110</v>
      </c>
      <c r="D1217">
        <f t="shared" si="140"/>
        <v>9110</v>
      </c>
      <c r="H1217">
        <f t="shared" si="136"/>
        <v>2</v>
      </c>
      <c r="I1217" s="5" t="s">
        <v>743</v>
      </c>
      <c r="J1217" s="5" t="s">
        <v>717</v>
      </c>
      <c r="Q1217" t="s">
        <v>619</v>
      </c>
      <c r="R1217">
        <v>44</v>
      </c>
      <c r="S1217">
        <v>1</v>
      </c>
      <c r="T1217" t="str">
        <f t="shared" si="134"/>
        <v>e</v>
      </c>
      <c r="U1217" t="s">
        <v>7</v>
      </c>
      <c r="V1217" t="s">
        <v>208</v>
      </c>
      <c r="W1217" t="s">
        <v>53</v>
      </c>
      <c r="X1217" t="s">
        <v>705</v>
      </c>
      <c r="AF1217" t="s">
        <v>401</v>
      </c>
      <c r="AJ1217">
        <v>1</v>
      </c>
      <c r="AM1217" t="str">
        <f t="shared" si="137"/>
        <v>Shot</v>
      </c>
      <c r="AN1217" t="str">
        <f t="shared" si="138"/>
        <v>Shot_Blocked</v>
      </c>
      <c r="AP1217" t="str">
        <f t="shared" si="139"/>
        <v>Offensive</v>
      </c>
      <c r="BB1217" s="23"/>
      <c r="BD1217" s="21"/>
      <c r="BE1217" s="21"/>
      <c r="BF1217" s="21"/>
      <c r="BG1217" s="21"/>
      <c r="BH1217" s="21"/>
      <c r="BI1217" s="21"/>
    </row>
    <row r="1218" spans="1:61" x14ac:dyDescent="0.2">
      <c r="A1218">
        <v>644</v>
      </c>
      <c r="B1218">
        <v>110</v>
      </c>
      <c r="C1218">
        <f t="shared" si="135"/>
        <v>9110</v>
      </c>
      <c r="D1218">
        <f t="shared" si="140"/>
        <v>9110</v>
      </c>
      <c r="H1218">
        <f t="shared" si="136"/>
        <v>2</v>
      </c>
      <c r="R1218">
        <v>70</v>
      </c>
      <c r="T1218" t="str">
        <f t="shared" si="134"/>
        <v>o</v>
      </c>
      <c r="Y1218" t="s">
        <v>681</v>
      </c>
      <c r="AA1218" t="s">
        <v>706</v>
      </c>
      <c r="AJ1218">
        <v>1</v>
      </c>
      <c r="AM1218" t="str">
        <f t="shared" si="137"/>
        <v>Shot</v>
      </c>
      <c r="AN1218" t="str">
        <f t="shared" si="138"/>
        <v>Shot_Blocked</v>
      </c>
      <c r="AP1218" t="str">
        <f t="shared" si="139"/>
        <v>Defensive</v>
      </c>
      <c r="BB1218" s="23"/>
      <c r="BD1218" s="21"/>
      <c r="BE1218" s="21"/>
      <c r="BF1218" s="21"/>
      <c r="BG1218" s="21"/>
      <c r="BH1218" s="21"/>
      <c r="BI1218" s="21"/>
    </row>
    <row r="1219" spans="1:61" x14ac:dyDescent="0.2">
      <c r="A1219">
        <v>645</v>
      </c>
      <c r="B1219">
        <v>110</v>
      </c>
      <c r="C1219">
        <f t="shared" si="135"/>
        <v>9110</v>
      </c>
      <c r="D1219">
        <f t="shared" si="140"/>
        <v>9110</v>
      </c>
      <c r="H1219">
        <f t="shared" si="136"/>
        <v>2</v>
      </c>
      <c r="I1219" s="5" t="s">
        <v>743</v>
      </c>
      <c r="J1219" s="5" t="s">
        <v>724</v>
      </c>
      <c r="Q1219" t="s">
        <v>619</v>
      </c>
      <c r="R1219">
        <v>44</v>
      </c>
      <c r="S1219">
        <v>1</v>
      </c>
      <c r="T1219" t="str">
        <f t="shared" ref="T1219:T1282" si="141">IF(S1219="x","",IF(S1219=1,"e","o"))</f>
        <v>e</v>
      </c>
      <c r="U1219" t="s">
        <v>13</v>
      </c>
      <c r="V1219" t="s">
        <v>204</v>
      </c>
      <c r="W1219" t="s">
        <v>107</v>
      </c>
      <c r="AF1219" t="s">
        <v>401</v>
      </c>
      <c r="AM1219" t="str">
        <f t="shared" si="137"/>
        <v>Stoppage</v>
      </c>
      <c r="AN1219" t="str">
        <f t="shared" si="138"/>
        <v>Stoppage_Play</v>
      </c>
      <c r="AP1219" t="str">
        <f t="shared" si="139"/>
        <v/>
      </c>
      <c r="BB1219" s="23"/>
      <c r="BD1219" s="21"/>
      <c r="BE1219" s="21"/>
      <c r="BF1219" s="21"/>
      <c r="BG1219" s="21"/>
      <c r="BH1219" s="21"/>
      <c r="BI1219" s="21"/>
    </row>
    <row r="1220" spans="1:61" x14ac:dyDescent="0.2">
      <c r="A1220">
        <v>646</v>
      </c>
      <c r="B1220">
        <v>110</v>
      </c>
      <c r="C1220">
        <f t="shared" ref="C1220:C1283" si="142">IF(B1220&lt;&gt;"",9000+B1220,"")</f>
        <v>9110</v>
      </c>
      <c r="D1220">
        <f t="shared" si="140"/>
        <v>9110</v>
      </c>
      <c r="H1220">
        <f t="shared" si="136"/>
        <v>2</v>
      </c>
      <c r="I1220" s="5" t="s">
        <v>743</v>
      </c>
      <c r="J1220" s="5" t="s">
        <v>724</v>
      </c>
      <c r="K1220" s="5" t="s">
        <v>743</v>
      </c>
      <c r="L1220" s="7" t="s">
        <v>768</v>
      </c>
      <c r="Q1220" t="s">
        <v>619</v>
      </c>
      <c r="R1220">
        <v>44</v>
      </c>
      <c r="S1220">
        <v>1</v>
      </c>
      <c r="T1220" t="str">
        <f t="shared" si="141"/>
        <v>e</v>
      </c>
      <c r="U1220" t="s">
        <v>262</v>
      </c>
      <c r="AF1220" t="s">
        <v>401</v>
      </c>
      <c r="AM1220" t="str">
        <f t="shared" si="137"/>
        <v>DeadIce</v>
      </c>
      <c r="AN1220" t="str">
        <f t="shared" si="138"/>
        <v/>
      </c>
      <c r="AP1220" t="str">
        <f t="shared" si="139"/>
        <v/>
      </c>
      <c r="BB1220" s="23"/>
      <c r="BD1220" s="21"/>
      <c r="BE1220" s="21"/>
      <c r="BF1220" s="21"/>
      <c r="BG1220" s="21"/>
      <c r="BH1220" s="21"/>
      <c r="BI1220" s="21"/>
    </row>
    <row r="1221" spans="1:61" x14ac:dyDescent="0.2">
      <c r="A1221">
        <v>647</v>
      </c>
      <c r="B1221" t="s">
        <v>887</v>
      </c>
      <c r="C1221" t="str">
        <f t="shared" si="142"/>
        <v/>
      </c>
      <c r="D1221" t="str">
        <f t="shared" si="140"/>
        <v/>
      </c>
      <c r="H1221">
        <f t="shared" ref="H1221:H1284" si="143">IF(U1221="Intermission",H1220+1,H1220)</f>
        <v>2</v>
      </c>
      <c r="I1221" s="5" t="s">
        <v>743</v>
      </c>
      <c r="J1221" s="5" t="s">
        <v>768</v>
      </c>
      <c r="Q1221" t="s">
        <v>620</v>
      </c>
      <c r="R1221">
        <v>70</v>
      </c>
      <c r="S1221">
        <v>1</v>
      </c>
      <c r="T1221" t="str">
        <f t="shared" si="141"/>
        <v>e</v>
      </c>
      <c r="U1221" t="s">
        <v>6</v>
      </c>
      <c r="V1221" t="s">
        <v>255</v>
      </c>
      <c r="AF1221" t="s">
        <v>401</v>
      </c>
      <c r="AM1221" t="str">
        <f t="shared" ref="AM1221:AM1284" si="144">IF(U1221&lt;&gt;"",U1221,IF($A1221=$A1220,AM1220,""))</f>
        <v>Faceoff</v>
      </c>
      <c r="AN1221" t="str">
        <f t="shared" ref="AN1221:AN1284" si="145">IF(V1221&lt;&gt;"",V1221,IF($A1221=$A1220,AN1220,""))</f>
        <v>Faceoff_AfterStoppage</v>
      </c>
      <c r="AP1221" t="str">
        <f t="shared" si="139"/>
        <v>Offensive</v>
      </c>
      <c r="BB1221" s="23"/>
      <c r="BD1221" s="21"/>
      <c r="BE1221" s="21"/>
      <c r="BF1221" s="21"/>
      <c r="BG1221" s="21"/>
      <c r="BH1221" s="21"/>
      <c r="BI1221" s="21"/>
    </row>
    <row r="1222" spans="1:61" x14ac:dyDescent="0.2">
      <c r="A1222">
        <v>647</v>
      </c>
      <c r="B1222" t="s">
        <v>887</v>
      </c>
      <c r="C1222" t="str">
        <f t="shared" si="142"/>
        <v/>
      </c>
      <c r="D1222" t="str">
        <f t="shared" si="140"/>
        <v/>
      </c>
      <c r="H1222">
        <f t="shared" si="143"/>
        <v>2</v>
      </c>
      <c r="R1222">
        <v>3</v>
      </c>
      <c r="T1222" t="str">
        <f t="shared" si="141"/>
        <v>o</v>
      </c>
      <c r="AM1222" t="str">
        <f t="shared" si="144"/>
        <v>Faceoff</v>
      </c>
      <c r="AN1222" t="str">
        <f t="shared" si="145"/>
        <v>Faceoff_AfterStoppage</v>
      </c>
      <c r="AP1222" t="str">
        <f t="shared" ref="AP1222:AP1285" si="146">IF(AND(T1222="e",OR(AM1222="Save",AN1222="Turnover_Takeaway",AN1222="Play_Defensive")),"Defensive",IF(AND(T1222="o",OR(AM1222="Save",AN1222="Turnover_Takeaway",AN1222="Play_Defensive")),"Offensive",IF(OR(AM1222="Deadice",AM1222="Stoppage",AM1222="Intermission"),"",IF(T1222="e","Offensive",IF(T1222="o","Defensive","")))))</f>
        <v>Defensive</v>
      </c>
      <c r="BB1222" s="23"/>
      <c r="BD1222" s="21"/>
      <c r="BE1222" s="21"/>
      <c r="BF1222" s="21"/>
      <c r="BG1222" s="21"/>
      <c r="BH1222" s="21"/>
      <c r="BI1222" s="21"/>
    </row>
    <row r="1223" spans="1:61" x14ac:dyDescent="0.2">
      <c r="A1223">
        <v>648</v>
      </c>
      <c r="B1223" t="s">
        <v>887</v>
      </c>
      <c r="C1223" t="str">
        <f t="shared" si="142"/>
        <v/>
      </c>
      <c r="D1223" t="str">
        <f t="shared" si="140"/>
        <v/>
      </c>
      <c r="H1223">
        <f t="shared" si="143"/>
        <v>2</v>
      </c>
      <c r="I1223" s="5" t="s">
        <v>743</v>
      </c>
      <c r="J1223" s="5" t="s">
        <v>735</v>
      </c>
      <c r="Q1223" t="s">
        <v>620</v>
      </c>
      <c r="R1223">
        <v>70</v>
      </c>
      <c r="S1223">
        <v>1</v>
      </c>
      <c r="T1223" t="str">
        <f t="shared" si="141"/>
        <v>e</v>
      </c>
      <c r="U1223" t="s">
        <v>15</v>
      </c>
      <c r="V1223" t="s">
        <v>697</v>
      </c>
      <c r="X1223" t="s">
        <v>706</v>
      </c>
      <c r="Y1223" t="s">
        <v>907</v>
      </c>
      <c r="AA1223" t="s">
        <v>706</v>
      </c>
      <c r="AF1223" t="s">
        <v>623</v>
      </c>
      <c r="AM1223" t="str">
        <f t="shared" si="144"/>
        <v>Possession</v>
      </c>
      <c r="AN1223" t="str">
        <f t="shared" si="145"/>
        <v>PuckRetrieval</v>
      </c>
      <c r="AP1223" t="str">
        <f t="shared" si="146"/>
        <v>Offensive</v>
      </c>
      <c r="BB1223" s="23"/>
      <c r="BD1223" s="21"/>
      <c r="BE1223" s="21"/>
      <c r="BF1223" s="21"/>
      <c r="BG1223" s="21"/>
      <c r="BH1223" s="21"/>
      <c r="BI1223" s="21"/>
    </row>
    <row r="1224" spans="1:61" x14ac:dyDescent="0.2">
      <c r="A1224">
        <v>648</v>
      </c>
      <c r="B1224" t="s">
        <v>887</v>
      </c>
      <c r="C1224" t="str">
        <f t="shared" si="142"/>
        <v/>
      </c>
      <c r="D1224" t="str">
        <f t="shared" si="140"/>
        <v/>
      </c>
      <c r="H1224">
        <f t="shared" si="143"/>
        <v>2</v>
      </c>
      <c r="R1224">
        <v>75</v>
      </c>
      <c r="S1224">
        <v>1</v>
      </c>
      <c r="T1224" t="str">
        <f t="shared" si="141"/>
        <v>e</v>
      </c>
      <c r="Y1224" t="s">
        <v>907</v>
      </c>
      <c r="AA1224" t="s">
        <v>705</v>
      </c>
      <c r="AJ1224">
        <v>1</v>
      </c>
      <c r="AM1224" t="str">
        <f t="shared" si="144"/>
        <v>Possession</v>
      </c>
      <c r="AN1224" t="str">
        <f t="shared" si="145"/>
        <v>PuckRetrieval</v>
      </c>
      <c r="AP1224" t="str">
        <f t="shared" si="146"/>
        <v>Offensive</v>
      </c>
      <c r="BB1224" s="23"/>
      <c r="BD1224" s="21"/>
      <c r="BE1224" s="21"/>
      <c r="BF1224" s="21"/>
      <c r="BG1224" s="21"/>
      <c r="BH1224" s="21"/>
      <c r="BI1224" s="21"/>
    </row>
    <row r="1225" spans="1:61" x14ac:dyDescent="0.2">
      <c r="A1225">
        <v>648</v>
      </c>
      <c r="B1225" t="s">
        <v>887</v>
      </c>
      <c r="C1225" t="str">
        <f t="shared" si="142"/>
        <v/>
      </c>
      <c r="D1225" t="str">
        <f t="shared" ref="D1225:D1288" si="147">IF(C1225&lt;&gt;"",C1225,B1225)</f>
        <v/>
      </c>
      <c r="H1225">
        <f t="shared" si="143"/>
        <v>2</v>
      </c>
      <c r="R1225">
        <v>12</v>
      </c>
      <c r="T1225" t="str">
        <f t="shared" si="141"/>
        <v>o</v>
      </c>
      <c r="Y1225" t="s">
        <v>910</v>
      </c>
      <c r="AA1225" t="s">
        <v>705</v>
      </c>
      <c r="AJ1225">
        <v>1</v>
      </c>
      <c r="AM1225" t="str">
        <f t="shared" si="144"/>
        <v>Possession</v>
      </c>
      <c r="AN1225" t="str">
        <f t="shared" si="145"/>
        <v>PuckRetrieval</v>
      </c>
      <c r="AP1225" t="str">
        <f t="shared" si="146"/>
        <v>Defensive</v>
      </c>
      <c r="BB1225" s="23"/>
      <c r="BD1225" s="21"/>
      <c r="BE1225" s="21"/>
      <c r="BF1225" s="21"/>
      <c r="BG1225" s="21"/>
      <c r="BH1225" s="21"/>
      <c r="BI1225" s="21"/>
    </row>
    <row r="1226" spans="1:61" x14ac:dyDescent="0.2">
      <c r="A1226">
        <v>649</v>
      </c>
      <c r="B1226" t="s">
        <v>887</v>
      </c>
      <c r="C1226" t="str">
        <f t="shared" si="142"/>
        <v/>
      </c>
      <c r="D1226" t="str">
        <f t="shared" si="147"/>
        <v/>
      </c>
      <c r="H1226">
        <f t="shared" si="143"/>
        <v>2</v>
      </c>
      <c r="I1226" s="5" t="s">
        <v>743</v>
      </c>
      <c r="J1226" s="5" t="s">
        <v>735</v>
      </c>
      <c r="K1226" s="5" t="s">
        <v>743</v>
      </c>
      <c r="L1226" s="7" t="s">
        <v>736</v>
      </c>
      <c r="Q1226" t="s">
        <v>620</v>
      </c>
      <c r="R1226">
        <v>70</v>
      </c>
      <c r="S1226">
        <v>1</v>
      </c>
      <c r="T1226" t="str">
        <f t="shared" si="141"/>
        <v>e</v>
      </c>
      <c r="U1226" t="s">
        <v>257</v>
      </c>
      <c r="V1226" t="s">
        <v>201</v>
      </c>
      <c r="W1226" t="s">
        <v>90</v>
      </c>
      <c r="X1226" t="s">
        <v>706</v>
      </c>
      <c r="AF1226" t="s">
        <v>623</v>
      </c>
      <c r="AM1226" t="str">
        <f t="shared" si="144"/>
        <v>Zone_Entry_Exit</v>
      </c>
      <c r="AN1226" t="str">
        <f t="shared" si="145"/>
        <v>Zone_Exit</v>
      </c>
      <c r="AP1226" t="str">
        <f t="shared" si="146"/>
        <v>Offensive</v>
      </c>
      <c r="BB1226" s="23"/>
      <c r="BD1226" s="21"/>
      <c r="BE1226" s="21"/>
      <c r="BF1226" s="21"/>
      <c r="BG1226" s="21"/>
      <c r="BH1226" s="21"/>
      <c r="BI1226" s="21"/>
    </row>
    <row r="1227" spans="1:61" x14ac:dyDescent="0.2">
      <c r="A1227">
        <v>650</v>
      </c>
      <c r="B1227" t="s">
        <v>887</v>
      </c>
      <c r="C1227" t="str">
        <f t="shared" si="142"/>
        <v/>
      </c>
      <c r="D1227" t="str">
        <f t="shared" si="147"/>
        <v/>
      </c>
      <c r="H1227">
        <f t="shared" si="143"/>
        <v>2</v>
      </c>
      <c r="I1227" s="5" t="s">
        <v>743</v>
      </c>
      <c r="J1227" s="5" t="s">
        <v>736</v>
      </c>
      <c r="K1227" s="5" t="s">
        <v>743</v>
      </c>
      <c r="L1227" s="7" t="s">
        <v>738</v>
      </c>
      <c r="Q1227" t="s">
        <v>620</v>
      </c>
      <c r="R1227">
        <v>70</v>
      </c>
      <c r="S1227">
        <v>1</v>
      </c>
      <c r="T1227" t="str">
        <f t="shared" si="141"/>
        <v>e</v>
      </c>
      <c r="U1227" t="s">
        <v>15</v>
      </c>
      <c r="Y1227" t="s">
        <v>767</v>
      </c>
      <c r="AA1227" t="s">
        <v>706</v>
      </c>
      <c r="AF1227" t="s">
        <v>635</v>
      </c>
      <c r="AJ1227">
        <v>1</v>
      </c>
      <c r="AM1227" t="str">
        <f t="shared" si="144"/>
        <v>Possession</v>
      </c>
      <c r="AN1227" t="str">
        <f t="shared" si="145"/>
        <v/>
      </c>
      <c r="AP1227" t="str">
        <f t="shared" si="146"/>
        <v>Offensive</v>
      </c>
      <c r="BB1227" s="23"/>
      <c r="BD1227" s="21"/>
      <c r="BE1227" s="21"/>
      <c r="BF1227" s="21"/>
      <c r="BG1227" s="21"/>
      <c r="BH1227" s="21"/>
      <c r="BI1227" s="21"/>
    </row>
    <row r="1228" spans="1:61" x14ac:dyDescent="0.2">
      <c r="A1228">
        <v>650</v>
      </c>
      <c r="B1228" t="s">
        <v>887</v>
      </c>
      <c r="C1228" t="str">
        <f t="shared" si="142"/>
        <v/>
      </c>
      <c r="D1228" t="str">
        <f t="shared" si="147"/>
        <v/>
      </c>
      <c r="H1228">
        <f t="shared" si="143"/>
        <v>2</v>
      </c>
      <c r="R1228">
        <v>44</v>
      </c>
      <c r="T1228" t="str">
        <f t="shared" si="141"/>
        <v>o</v>
      </c>
      <c r="Y1228" t="s">
        <v>781</v>
      </c>
      <c r="AA1228" t="s">
        <v>705</v>
      </c>
      <c r="AJ1228">
        <v>1</v>
      </c>
      <c r="AM1228" t="str">
        <f t="shared" si="144"/>
        <v>Possession</v>
      </c>
      <c r="AN1228" t="str">
        <f t="shared" si="145"/>
        <v/>
      </c>
      <c r="AP1228" t="str">
        <f t="shared" si="146"/>
        <v>Defensive</v>
      </c>
      <c r="BB1228" s="23"/>
      <c r="BD1228" s="21"/>
      <c r="BE1228" s="21"/>
      <c r="BF1228" s="21"/>
      <c r="BG1228" s="21"/>
      <c r="BH1228" s="21"/>
      <c r="BI1228" s="21"/>
    </row>
    <row r="1229" spans="1:61" x14ac:dyDescent="0.2">
      <c r="A1229">
        <v>650</v>
      </c>
      <c r="B1229" t="s">
        <v>887</v>
      </c>
      <c r="C1229" t="str">
        <f t="shared" si="142"/>
        <v/>
      </c>
      <c r="D1229" t="str">
        <f t="shared" si="147"/>
        <v/>
      </c>
      <c r="H1229">
        <f t="shared" si="143"/>
        <v>2</v>
      </c>
      <c r="R1229">
        <v>56</v>
      </c>
      <c r="T1229" t="str">
        <f t="shared" si="141"/>
        <v>o</v>
      </c>
      <c r="Y1229" t="s">
        <v>824</v>
      </c>
      <c r="AJ1229">
        <v>1</v>
      </c>
      <c r="AM1229" t="str">
        <f t="shared" si="144"/>
        <v>Possession</v>
      </c>
      <c r="AN1229" t="str">
        <f t="shared" si="145"/>
        <v/>
      </c>
      <c r="AP1229" t="str">
        <f t="shared" si="146"/>
        <v>Defensive</v>
      </c>
      <c r="BB1229" s="23"/>
      <c r="BD1229" s="21"/>
      <c r="BE1229" s="21"/>
      <c r="BF1229" s="21"/>
      <c r="BG1229" s="21"/>
      <c r="BH1229" s="21"/>
      <c r="BI1229" s="21"/>
    </row>
    <row r="1230" spans="1:61" x14ac:dyDescent="0.2">
      <c r="A1230">
        <v>651</v>
      </c>
      <c r="B1230" t="s">
        <v>887</v>
      </c>
      <c r="C1230" t="str">
        <f t="shared" si="142"/>
        <v/>
      </c>
      <c r="D1230" t="str">
        <f t="shared" si="147"/>
        <v/>
      </c>
      <c r="H1230">
        <f t="shared" si="143"/>
        <v>2</v>
      </c>
      <c r="I1230" s="5" t="s">
        <v>743</v>
      </c>
      <c r="J1230" s="5" t="s">
        <v>738</v>
      </c>
      <c r="K1230" s="5" t="s">
        <v>743</v>
      </c>
      <c r="L1230" s="7" t="s">
        <v>785</v>
      </c>
      <c r="Q1230" t="s">
        <v>620</v>
      </c>
      <c r="R1230">
        <v>70</v>
      </c>
      <c r="S1230">
        <v>1</v>
      </c>
      <c r="T1230" t="str">
        <f t="shared" si="141"/>
        <v>e</v>
      </c>
      <c r="U1230" t="s">
        <v>257</v>
      </c>
      <c r="V1230" t="s">
        <v>191</v>
      </c>
      <c r="W1230" t="s">
        <v>415</v>
      </c>
      <c r="Y1230" t="s">
        <v>677</v>
      </c>
      <c r="AF1230" t="s">
        <v>401</v>
      </c>
      <c r="AJ1230">
        <v>1</v>
      </c>
      <c r="AM1230" t="str">
        <f t="shared" si="144"/>
        <v>Zone_Entry_Exit</v>
      </c>
      <c r="AN1230" t="str">
        <f t="shared" si="145"/>
        <v>Zone_Entry</v>
      </c>
      <c r="AP1230" t="str">
        <f t="shared" si="146"/>
        <v>Offensive</v>
      </c>
      <c r="BB1230" s="23"/>
      <c r="BD1230" s="21"/>
      <c r="BE1230" s="21"/>
      <c r="BF1230" s="21"/>
      <c r="BG1230" s="21"/>
      <c r="BH1230" s="21"/>
      <c r="BI1230" s="21"/>
    </row>
    <row r="1231" spans="1:61" x14ac:dyDescent="0.2">
      <c r="A1231">
        <v>651</v>
      </c>
      <c r="B1231" t="s">
        <v>887</v>
      </c>
      <c r="C1231" t="str">
        <f t="shared" si="142"/>
        <v/>
      </c>
      <c r="D1231" t="str">
        <f t="shared" si="147"/>
        <v/>
      </c>
      <c r="H1231">
        <f t="shared" si="143"/>
        <v>2</v>
      </c>
      <c r="R1231">
        <v>56</v>
      </c>
      <c r="T1231" t="str">
        <f t="shared" si="141"/>
        <v>o</v>
      </c>
      <c r="Y1231" t="s">
        <v>715</v>
      </c>
      <c r="AJ1231">
        <v>1</v>
      </c>
      <c r="AM1231" t="str">
        <f t="shared" si="144"/>
        <v>Zone_Entry_Exit</v>
      </c>
      <c r="AN1231" t="str">
        <f t="shared" si="145"/>
        <v>Zone_Entry</v>
      </c>
      <c r="AP1231" t="str">
        <f t="shared" si="146"/>
        <v>Defensive</v>
      </c>
      <c r="BB1231" s="23"/>
      <c r="BD1231" s="21"/>
      <c r="BE1231" s="21"/>
      <c r="BF1231" s="21"/>
      <c r="BG1231" s="21"/>
      <c r="BH1231" s="21"/>
      <c r="BI1231" s="21"/>
    </row>
    <row r="1232" spans="1:61" x14ac:dyDescent="0.2">
      <c r="A1232">
        <v>652</v>
      </c>
      <c r="B1232">
        <v>111</v>
      </c>
      <c r="C1232">
        <f t="shared" si="142"/>
        <v>9111</v>
      </c>
      <c r="D1232">
        <f t="shared" si="147"/>
        <v>9111</v>
      </c>
      <c r="H1232">
        <f t="shared" si="143"/>
        <v>2</v>
      </c>
      <c r="I1232" s="5" t="s">
        <v>743</v>
      </c>
      <c r="J1232" s="5" t="s">
        <v>785</v>
      </c>
      <c r="Q1232" t="s">
        <v>620</v>
      </c>
      <c r="R1232">
        <v>70</v>
      </c>
      <c r="S1232">
        <v>1</v>
      </c>
      <c r="T1232" t="str">
        <f t="shared" si="141"/>
        <v>e</v>
      </c>
      <c r="U1232" t="s">
        <v>7</v>
      </c>
      <c r="V1232" t="s">
        <v>198</v>
      </c>
      <c r="W1232" t="s">
        <v>53</v>
      </c>
      <c r="X1232" t="s">
        <v>705</v>
      </c>
      <c r="AF1232" t="s">
        <v>401</v>
      </c>
      <c r="AJ1232">
        <v>1</v>
      </c>
      <c r="AM1232" t="str">
        <f t="shared" si="144"/>
        <v>Shot</v>
      </c>
      <c r="AN1232" t="str">
        <f t="shared" si="145"/>
        <v>Shot_Missed</v>
      </c>
      <c r="AP1232" t="str">
        <f t="shared" si="146"/>
        <v>Offensive</v>
      </c>
      <c r="BB1232" s="23"/>
      <c r="BD1232" s="21"/>
      <c r="BE1232" s="21"/>
      <c r="BF1232" s="21"/>
      <c r="BG1232" s="21"/>
      <c r="BH1232" s="21"/>
      <c r="BI1232" s="21"/>
    </row>
    <row r="1233" spans="1:61" x14ac:dyDescent="0.2">
      <c r="A1233">
        <v>652</v>
      </c>
      <c r="B1233">
        <v>111</v>
      </c>
      <c r="C1233">
        <f t="shared" si="142"/>
        <v>9111</v>
      </c>
      <c r="D1233">
        <f t="shared" si="147"/>
        <v>9111</v>
      </c>
      <c r="H1233">
        <f t="shared" si="143"/>
        <v>2</v>
      </c>
      <c r="R1233">
        <v>30</v>
      </c>
      <c r="T1233" t="str">
        <f t="shared" si="141"/>
        <v>o</v>
      </c>
      <c r="AM1233" t="str">
        <f t="shared" si="144"/>
        <v>Shot</v>
      </c>
      <c r="AN1233" t="str">
        <f t="shared" si="145"/>
        <v>Shot_Missed</v>
      </c>
      <c r="AP1233" t="str">
        <f t="shared" si="146"/>
        <v>Defensive</v>
      </c>
      <c r="BB1233" s="23"/>
      <c r="BD1233" s="21"/>
      <c r="BE1233" s="21"/>
      <c r="BF1233" s="21"/>
      <c r="BG1233" s="21"/>
      <c r="BH1233" s="21"/>
      <c r="BI1233" s="21"/>
    </row>
    <row r="1234" spans="1:61" x14ac:dyDescent="0.2">
      <c r="A1234">
        <v>652</v>
      </c>
      <c r="B1234">
        <v>111</v>
      </c>
      <c r="C1234">
        <f t="shared" si="142"/>
        <v>9111</v>
      </c>
      <c r="D1234">
        <f t="shared" si="147"/>
        <v>9111</v>
      </c>
      <c r="H1234">
        <f t="shared" si="143"/>
        <v>2</v>
      </c>
      <c r="R1234">
        <v>56</v>
      </c>
      <c r="T1234" t="str">
        <f t="shared" si="141"/>
        <v>o</v>
      </c>
      <c r="Y1234" t="s">
        <v>715</v>
      </c>
      <c r="AJ1234">
        <v>1</v>
      </c>
      <c r="AM1234" t="str">
        <f t="shared" si="144"/>
        <v>Shot</v>
      </c>
      <c r="AN1234" t="str">
        <f t="shared" si="145"/>
        <v>Shot_Missed</v>
      </c>
      <c r="AP1234" t="str">
        <f t="shared" si="146"/>
        <v>Defensive</v>
      </c>
      <c r="BB1234" s="23"/>
      <c r="BD1234" s="21"/>
      <c r="BE1234" s="21"/>
      <c r="BF1234" s="21"/>
      <c r="BG1234" s="21"/>
      <c r="BH1234" s="21"/>
      <c r="BI1234" s="21"/>
    </row>
    <row r="1235" spans="1:61" x14ac:dyDescent="0.2">
      <c r="A1235">
        <v>653</v>
      </c>
      <c r="C1235" t="str">
        <f t="shared" si="142"/>
        <v/>
      </c>
      <c r="H1235">
        <f t="shared" si="143"/>
        <v>2</v>
      </c>
      <c r="I1235" s="5" t="s">
        <v>732</v>
      </c>
      <c r="J1235" s="5" t="s">
        <v>638</v>
      </c>
      <c r="Q1235" t="s">
        <v>620</v>
      </c>
      <c r="R1235">
        <v>55</v>
      </c>
      <c r="S1235">
        <v>1</v>
      </c>
      <c r="T1235" t="str">
        <f t="shared" si="141"/>
        <v>e</v>
      </c>
      <c r="U1235" t="s">
        <v>15</v>
      </c>
      <c r="V1235" t="s">
        <v>698</v>
      </c>
      <c r="X1235" t="s">
        <v>706</v>
      </c>
      <c r="Y1235" t="s">
        <v>909</v>
      </c>
      <c r="AA1235" t="s">
        <v>706</v>
      </c>
      <c r="AF1235" t="s">
        <v>401</v>
      </c>
      <c r="AJ1235">
        <v>1</v>
      </c>
      <c r="AM1235" t="str">
        <f t="shared" si="144"/>
        <v>Possession</v>
      </c>
      <c r="AN1235" t="str">
        <f t="shared" si="145"/>
        <v>PuckRecovery</v>
      </c>
      <c r="AP1235" t="str">
        <f t="shared" si="146"/>
        <v>Offensive</v>
      </c>
      <c r="BB1235" s="23"/>
      <c r="BD1235" s="21"/>
      <c r="BE1235" s="21"/>
      <c r="BF1235" s="21"/>
      <c r="BG1235" s="21"/>
      <c r="BH1235" s="21"/>
      <c r="BI1235" s="21"/>
    </row>
    <row r="1236" spans="1:61" x14ac:dyDescent="0.2">
      <c r="A1236">
        <v>653</v>
      </c>
      <c r="C1236" t="str">
        <f t="shared" si="142"/>
        <v/>
      </c>
      <c r="H1236">
        <f t="shared" si="143"/>
        <v>2</v>
      </c>
      <c r="R1236">
        <v>44</v>
      </c>
      <c r="T1236" t="str">
        <f t="shared" si="141"/>
        <v>o</v>
      </c>
      <c r="Y1236" t="s">
        <v>912</v>
      </c>
      <c r="AA1236" t="s">
        <v>705</v>
      </c>
      <c r="AJ1236">
        <v>1</v>
      </c>
      <c r="AM1236" t="str">
        <f t="shared" si="144"/>
        <v>Possession</v>
      </c>
      <c r="AN1236" t="str">
        <f t="shared" si="145"/>
        <v>PuckRecovery</v>
      </c>
      <c r="AP1236" t="str">
        <f t="shared" si="146"/>
        <v>Defensive</v>
      </c>
      <c r="BB1236" s="23"/>
      <c r="BD1236" s="21"/>
      <c r="BE1236" s="21"/>
      <c r="BF1236" s="21"/>
      <c r="BG1236" s="21"/>
      <c r="BH1236" s="21"/>
      <c r="BI1236" s="21"/>
    </row>
    <row r="1237" spans="1:61" x14ac:dyDescent="0.2">
      <c r="A1237">
        <v>654</v>
      </c>
      <c r="C1237" t="str">
        <f t="shared" si="142"/>
        <v/>
      </c>
      <c r="H1237">
        <f t="shared" si="143"/>
        <v>2</v>
      </c>
      <c r="I1237" s="5" t="s">
        <v>732</v>
      </c>
      <c r="J1237" s="5" t="s">
        <v>750</v>
      </c>
      <c r="Q1237" t="s">
        <v>620</v>
      </c>
      <c r="R1237">
        <v>55</v>
      </c>
      <c r="S1237">
        <v>1</v>
      </c>
      <c r="T1237" t="str">
        <f t="shared" si="141"/>
        <v>e</v>
      </c>
      <c r="U1237" t="s">
        <v>8</v>
      </c>
      <c r="V1237" t="s">
        <v>189</v>
      </c>
      <c r="W1237" t="s">
        <v>70</v>
      </c>
      <c r="X1237" t="s">
        <v>706</v>
      </c>
      <c r="Y1237" t="s">
        <v>814</v>
      </c>
      <c r="AA1237" t="s">
        <v>706</v>
      </c>
      <c r="AF1237" t="s">
        <v>401</v>
      </c>
      <c r="AM1237" t="str">
        <f t="shared" si="144"/>
        <v>Pass</v>
      </c>
      <c r="AN1237" t="str">
        <f t="shared" si="145"/>
        <v>Pass_Completed</v>
      </c>
      <c r="AP1237" t="str">
        <f t="shared" si="146"/>
        <v>Offensive</v>
      </c>
      <c r="BB1237" s="23"/>
      <c r="BD1237" s="21"/>
      <c r="BE1237" s="21"/>
      <c r="BF1237" s="21"/>
      <c r="BG1237" s="21"/>
      <c r="BH1237" s="21"/>
      <c r="BI1237" s="21"/>
    </row>
    <row r="1238" spans="1:61" x14ac:dyDescent="0.2">
      <c r="A1238">
        <v>654</v>
      </c>
      <c r="C1238" t="str">
        <f t="shared" si="142"/>
        <v/>
      </c>
      <c r="H1238">
        <f t="shared" si="143"/>
        <v>2</v>
      </c>
      <c r="R1238">
        <v>70</v>
      </c>
      <c r="S1238">
        <v>1</v>
      </c>
      <c r="T1238" t="str">
        <f t="shared" si="141"/>
        <v>e</v>
      </c>
      <c r="AM1238" t="str">
        <f t="shared" si="144"/>
        <v>Pass</v>
      </c>
      <c r="AN1238" t="str">
        <f t="shared" si="145"/>
        <v>Pass_Completed</v>
      </c>
      <c r="AP1238" t="str">
        <f t="shared" si="146"/>
        <v>Offensive</v>
      </c>
      <c r="BB1238" s="23"/>
      <c r="BD1238" s="21"/>
      <c r="BE1238" s="21"/>
      <c r="BF1238" s="21"/>
      <c r="BG1238" s="21"/>
      <c r="BH1238" s="21"/>
      <c r="BI1238" s="21"/>
    </row>
    <row r="1239" spans="1:61" x14ac:dyDescent="0.2">
      <c r="A1239">
        <v>655</v>
      </c>
      <c r="B1239" t="s">
        <v>887</v>
      </c>
      <c r="C1239" t="str">
        <f t="shared" si="142"/>
        <v/>
      </c>
      <c r="D1239" t="str">
        <f t="shared" si="147"/>
        <v/>
      </c>
      <c r="H1239">
        <f t="shared" si="143"/>
        <v>2</v>
      </c>
      <c r="I1239" s="5" t="s">
        <v>732</v>
      </c>
      <c r="J1239" s="5" t="s">
        <v>637</v>
      </c>
      <c r="Q1239" t="s">
        <v>620</v>
      </c>
      <c r="R1239">
        <v>70</v>
      </c>
      <c r="S1239">
        <v>1</v>
      </c>
      <c r="T1239" t="str">
        <f t="shared" si="141"/>
        <v>e</v>
      </c>
      <c r="U1239" t="s">
        <v>8</v>
      </c>
      <c r="V1239" t="s">
        <v>189</v>
      </c>
      <c r="W1239" t="s">
        <v>70</v>
      </c>
      <c r="X1239" t="s">
        <v>706</v>
      </c>
      <c r="Y1239" t="s">
        <v>814</v>
      </c>
      <c r="AA1239" t="s">
        <v>706</v>
      </c>
      <c r="AF1239" t="s">
        <v>401</v>
      </c>
      <c r="AM1239" t="str">
        <f t="shared" si="144"/>
        <v>Pass</v>
      </c>
      <c r="AN1239" t="str">
        <f t="shared" si="145"/>
        <v>Pass_Completed</v>
      </c>
      <c r="AP1239" t="str">
        <f t="shared" si="146"/>
        <v>Offensive</v>
      </c>
      <c r="BB1239" s="23"/>
      <c r="BD1239" s="21"/>
      <c r="BE1239" s="21"/>
      <c r="BF1239" s="21"/>
      <c r="BG1239" s="21"/>
      <c r="BH1239" s="21"/>
      <c r="BI1239" s="21"/>
    </row>
    <row r="1240" spans="1:61" x14ac:dyDescent="0.2">
      <c r="A1240">
        <v>655</v>
      </c>
      <c r="B1240" t="s">
        <v>887</v>
      </c>
      <c r="C1240" t="str">
        <f t="shared" si="142"/>
        <v/>
      </c>
      <c r="D1240" t="str">
        <f t="shared" si="147"/>
        <v/>
      </c>
      <c r="H1240">
        <f t="shared" si="143"/>
        <v>2</v>
      </c>
      <c r="R1240">
        <v>84</v>
      </c>
      <c r="S1240">
        <v>1</v>
      </c>
      <c r="T1240" t="str">
        <f t="shared" si="141"/>
        <v>e</v>
      </c>
      <c r="AM1240" t="str">
        <f t="shared" si="144"/>
        <v>Pass</v>
      </c>
      <c r="AN1240" t="str">
        <f t="shared" si="145"/>
        <v>Pass_Completed</v>
      </c>
      <c r="AP1240" t="str">
        <f t="shared" si="146"/>
        <v>Offensive</v>
      </c>
      <c r="BB1240" s="23"/>
      <c r="BD1240" s="21"/>
      <c r="BE1240" s="21"/>
      <c r="BF1240" s="21"/>
      <c r="BG1240" s="21"/>
      <c r="BH1240" s="21"/>
      <c r="BI1240" s="21"/>
    </row>
    <row r="1241" spans="1:61" x14ac:dyDescent="0.2">
      <c r="A1241">
        <v>656</v>
      </c>
      <c r="B1241" t="s">
        <v>887</v>
      </c>
      <c r="C1241" t="str">
        <f t="shared" si="142"/>
        <v/>
      </c>
      <c r="D1241" t="str">
        <f t="shared" si="147"/>
        <v/>
      </c>
      <c r="H1241">
        <f t="shared" si="143"/>
        <v>2</v>
      </c>
      <c r="I1241" s="5" t="s">
        <v>732</v>
      </c>
      <c r="J1241" s="5" t="s">
        <v>751</v>
      </c>
      <c r="Q1241" t="s">
        <v>620</v>
      </c>
      <c r="R1241">
        <v>84</v>
      </c>
      <c r="S1241">
        <v>1</v>
      </c>
      <c r="T1241" t="str">
        <f t="shared" si="141"/>
        <v>e</v>
      </c>
      <c r="U1241" t="s">
        <v>8</v>
      </c>
      <c r="V1241" t="s">
        <v>189</v>
      </c>
      <c r="W1241" t="s">
        <v>70</v>
      </c>
      <c r="X1241" t="s">
        <v>706</v>
      </c>
      <c r="Y1241" t="s">
        <v>814</v>
      </c>
      <c r="AA1241" t="s">
        <v>706</v>
      </c>
      <c r="AF1241" t="s">
        <v>401</v>
      </c>
      <c r="AM1241" t="str">
        <f t="shared" si="144"/>
        <v>Pass</v>
      </c>
      <c r="AN1241" t="str">
        <f t="shared" si="145"/>
        <v>Pass_Completed</v>
      </c>
      <c r="AP1241" t="str">
        <f t="shared" si="146"/>
        <v>Offensive</v>
      </c>
      <c r="BB1241" s="23"/>
      <c r="BD1241" s="21"/>
      <c r="BE1241" s="21"/>
      <c r="BF1241" s="21"/>
      <c r="BG1241" s="21"/>
      <c r="BH1241" s="21"/>
      <c r="BI1241" s="21"/>
    </row>
    <row r="1242" spans="1:61" x14ac:dyDescent="0.2">
      <c r="A1242">
        <v>656</v>
      </c>
      <c r="B1242" t="s">
        <v>887</v>
      </c>
      <c r="C1242" t="str">
        <f t="shared" si="142"/>
        <v/>
      </c>
      <c r="D1242" t="str">
        <f t="shared" si="147"/>
        <v/>
      </c>
      <c r="H1242">
        <f t="shared" si="143"/>
        <v>2</v>
      </c>
      <c r="R1242">
        <v>70</v>
      </c>
      <c r="S1242">
        <v>1</v>
      </c>
      <c r="T1242" t="str">
        <f t="shared" si="141"/>
        <v>e</v>
      </c>
      <c r="AM1242" t="str">
        <f t="shared" si="144"/>
        <v>Pass</v>
      </c>
      <c r="AN1242" t="str">
        <f t="shared" si="145"/>
        <v>Pass_Completed</v>
      </c>
      <c r="AP1242" t="str">
        <f t="shared" si="146"/>
        <v>Offensive</v>
      </c>
      <c r="BB1242" s="23"/>
      <c r="BD1242" s="21"/>
      <c r="BE1242" s="21"/>
      <c r="BF1242" s="21"/>
      <c r="BG1242" s="21"/>
      <c r="BH1242" s="21"/>
      <c r="BI1242" s="21"/>
    </row>
    <row r="1243" spans="1:61" x14ac:dyDescent="0.2">
      <c r="A1243">
        <v>657</v>
      </c>
      <c r="B1243" t="s">
        <v>887</v>
      </c>
      <c r="C1243" t="str">
        <f t="shared" si="142"/>
        <v/>
      </c>
      <c r="D1243" t="str">
        <f t="shared" si="147"/>
        <v/>
      </c>
      <c r="H1243">
        <f t="shared" si="143"/>
        <v>2</v>
      </c>
      <c r="I1243" s="5" t="s">
        <v>732</v>
      </c>
      <c r="J1243" s="5" t="s">
        <v>788</v>
      </c>
      <c r="K1243" s="5" t="s">
        <v>732</v>
      </c>
      <c r="L1243" s="7" t="s">
        <v>639</v>
      </c>
      <c r="Q1243" t="s">
        <v>620</v>
      </c>
      <c r="R1243">
        <v>70</v>
      </c>
      <c r="S1243">
        <v>1</v>
      </c>
      <c r="T1243" t="str">
        <f t="shared" si="141"/>
        <v>e</v>
      </c>
      <c r="U1243" t="s">
        <v>15</v>
      </c>
      <c r="Y1243" t="s">
        <v>777</v>
      </c>
      <c r="AF1243" t="s">
        <v>401</v>
      </c>
      <c r="AM1243" t="str">
        <f t="shared" si="144"/>
        <v>Possession</v>
      </c>
      <c r="AN1243" t="str">
        <f t="shared" si="145"/>
        <v/>
      </c>
      <c r="AP1243" t="str">
        <f t="shared" si="146"/>
        <v>Offensive</v>
      </c>
      <c r="BB1243" s="23"/>
      <c r="BD1243" s="21"/>
      <c r="BE1243" s="21"/>
      <c r="BF1243" s="21"/>
      <c r="BG1243" s="21"/>
      <c r="BH1243" s="21"/>
      <c r="BI1243" s="21"/>
    </row>
    <row r="1244" spans="1:61" x14ac:dyDescent="0.2">
      <c r="A1244">
        <v>658</v>
      </c>
      <c r="B1244" t="s">
        <v>887</v>
      </c>
      <c r="C1244" t="str">
        <f t="shared" si="142"/>
        <v/>
      </c>
      <c r="D1244" t="str">
        <f t="shared" si="147"/>
        <v/>
      </c>
      <c r="H1244">
        <f t="shared" si="143"/>
        <v>2</v>
      </c>
      <c r="I1244" s="5" t="s">
        <v>732</v>
      </c>
      <c r="J1244" s="5" t="s">
        <v>639</v>
      </c>
      <c r="Q1244" t="s">
        <v>620</v>
      </c>
      <c r="R1244">
        <v>70</v>
      </c>
      <c r="S1244">
        <v>1</v>
      </c>
      <c r="T1244" t="str">
        <f t="shared" si="141"/>
        <v>e</v>
      </c>
      <c r="U1244" t="s">
        <v>7</v>
      </c>
      <c r="V1244" t="s">
        <v>208</v>
      </c>
      <c r="W1244" t="s">
        <v>53</v>
      </c>
      <c r="X1244" t="s">
        <v>705</v>
      </c>
      <c r="AF1244" t="s">
        <v>401</v>
      </c>
      <c r="AM1244" t="str">
        <f t="shared" si="144"/>
        <v>Shot</v>
      </c>
      <c r="AN1244" t="str">
        <f t="shared" si="145"/>
        <v>Shot_Blocked</v>
      </c>
      <c r="AP1244" t="str">
        <f t="shared" si="146"/>
        <v>Offensive</v>
      </c>
      <c r="BB1244" s="23"/>
      <c r="BD1244" s="21"/>
      <c r="BE1244" s="21"/>
      <c r="BF1244" s="21"/>
      <c r="BG1244" s="21"/>
      <c r="BH1244" s="21"/>
      <c r="BI1244" s="21"/>
    </row>
    <row r="1245" spans="1:61" x14ac:dyDescent="0.2">
      <c r="A1245">
        <v>658</v>
      </c>
      <c r="B1245" t="s">
        <v>887</v>
      </c>
      <c r="C1245" t="str">
        <f t="shared" si="142"/>
        <v/>
      </c>
      <c r="D1245" t="str">
        <f t="shared" si="147"/>
        <v/>
      </c>
      <c r="H1245">
        <f t="shared" si="143"/>
        <v>2</v>
      </c>
      <c r="R1245">
        <v>44</v>
      </c>
      <c r="T1245" t="str">
        <f t="shared" si="141"/>
        <v>o</v>
      </c>
      <c r="Y1245" t="s">
        <v>681</v>
      </c>
      <c r="AA1245" t="s">
        <v>706</v>
      </c>
      <c r="AM1245" t="str">
        <f t="shared" si="144"/>
        <v>Shot</v>
      </c>
      <c r="AN1245" t="str">
        <f t="shared" si="145"/>
        <v>Shot_Blocked</v>
      </c>
      <c r="AP1245" t="str">
        <f t="shared" si="146"/>
        <v>Defensive</v>
      </c>
      <c r="BB1245" s="23"/>
      <c r="BD1245" s="21"/>
      <c r="BE1245" s="21"/>
      <c r="BF1245" s="21"/>
      <c r="BG1245" s="21"/>
      <c r="BH1245" s="21"/>
      <c r="BI1245" s="21"/>
    </row>
    <row r="1246" spans="1:61" x14ac:dyDescent="0.2">
      <c r="A1246">
        <v>659</v>
      </c>
      <c r="B1246" t="s">
        <v>887</v>
      </c>
      <c r="C1246" t="str">
        <f t="shared" si="142"/>
        <v/>
      </c>
      <c r="D1246" t="str">
        <f t="shared" si="147"/>
        <v/>
      </c>
      <c r="H1246">
        <f t="shared" si="143"/>
        <v>2</v>
      </c>
      <c r="I1246" s="5" t="s">
        <v>732</v>
      </c>
      <c r="J1246" s="5" t="s">
        <v>753</v>
      </c>
      <c r="Q1246" t="s">
        <v>619</v>
      </c>
      <c r="S1246">
        <v>1</v>
      </c>
      <c r="T1246" t="str">
        <f t="shared" si="141"/>
        <v>e</v>
      </c>
      <c r="U1246" t="s">
        <v>257</v>
      </c>
      <c r="V1246" t="s">
        <v>201</v>
      </c>
      <c r="W1246" t="s">
        <v>411</v>
      </c>
      <c r="AF1246" t="s">
        <v>623</v>
      </c>
      <c r="AM1246" t="str">
        <f t="shared" si="144"/>
        <v>Zone_Entry_Exit</v>
      </c>
      <c r="AN1246" t="str">
        <f t="shared" si="145"/>
        <v>Zone_Exit</v>
      </c>
      <c r="AP1246" t="str">
        <f t="shared" si="146"/>
        <v>Offensive</v>
      </c>
      <c r="BB1246" s="23"/>
      <c r="BD1246" s="21"/>
      <c r="BE1246" s="21"/>
      <c r="BF1246" s="21"/>
      <c r="BG1246" s="21"/>
      <c r="BH1246" s="21"/>
      <c r="BI1246" s="21"/>
    </row>
    <row r="1247" spans="1:61" x14ac:dyDescent="0.2">
      <c r="A1247">
        <v>660</v>
      </c>
      <c r="B1247" t="s">
        <v>887</v>
      </c>
      <c r="C1247" t="str">
        <f t="shared" si="142"/>
        <v/>
      </c>
      <c r="D1247" t="str">
        <f t="shared" si="147"/>
        <v/>
      </c>
      <c r="H1247">
        <f t="shared" si="143"/>
        <v>2</v>
      </c>
      <c r="I1247" s="5" t="s">
        <v>732</v>
      </c>
      <c r="J1247" s="5" t="s">
        <v>789</v>
      </c>
      <c r="K1247" s="5" t="s">
        <v>732</v>
      </c>
      <c r="L1247" s="7" t="s">
        <v>672</v>
      </c>
      <c r="Q1247" t="s">
        <v>620</v>
      </c>
      <c r="R1247">
        <v>84</v>
      </c>
      <c r="S1247">
        <v>1</v>
      </c>
      <c r="T1247" t="str">
        <f t="shared" si="141"/>
        <v>e</v>
      </c>
      <c r="U1247" t="s">
        <v>15</v>
      </c>
      <c r="V1247" t="s">
        <v>697</v>
      </c>
      <c r="X1247" t="s">
        <v>706</v>
      </c>
      <c r="Y1247" t="s">
        <v>857</v>
      </c>
      <c r="AA1247" t="s">
        <v>706</v>
      </c>
      <c r="AF1247" t="s">
        <v>635</v>
      </c>
      <c r="AM1247" t="str">
        <f t="shared" si="144"/>
        <v>Possession</v>
      </c>
      <c r="AN1247" t="str">
        <f t="shared" si="145"/>
        <v>PuckRetrieval</v>
      </c>
      <c r="AP1247" t="str">
        <f t="shared" si="146"/>
        <v>Offensive</v>
      </c>
      <c r="BB1247" s="23"/>
      <c r="BD1247" s="21"/>
      <c r="BE1247" s="21"/>
      <c r="BF1247" s="21"/>
      <c r="BG1247" s="21"/>
      <c r="BH1247" s="21"/>
      <c r="BI1247" s="21"/>
    </row>
    <row r="1248" spans="1:61" x14ac:dyDescent="0.2">
      <c r="A1248">
        <v>661</v>
      </c>
      <c r="B1248" t="s">
        <v>887</v>
      </c>
      <c r="C1248" t="str">
        <f t="shared" si="142"/>
        <v/>
      </c>
      <c r="D1248" t="str">
        <f t="shared" si="147"/>
        <v/>
      </c>
      <c r="H1248">
        <f t="shared" si="143"/>
        <v>2</v>
      </c>
      <c r="R1248">
        <v>84</v>
      </c>
      <c r="S1248">
        <v>1</v>
      </c>
      <c r="T1248" t="str">
        <f t="shared" si="141"/>
        <v>e</v>
      </c>
      <c r="U1248" t="s">
        <v>8</v>
      </c>
      <c r="V1248" t="s">
        <v>189</v>
      </c>
      <c r="W1248" t="s">
        <v>70</v>
      </c>
      <c r="AF1248" t="s">
        <v>635</v>
      </c>
      <c r="AM1248" t="str">
        <f t="shared" si="144"/>
        <v>Pass</v>
      </c>
      <c r="AN1248" t="str">
        <f t="shared" si="145"/>
        <v>Pass_Completed</v>
      </c>
      <c r="AP1248" t="str">
        <f t="shared" si="146"/>
        <v>Offensive</v>
      </c>
      <c r="BB1248" s="23"/>
      <c r="BD1248" s="21"/>
      <c r="BE1248" s="21"/>
      <c r="BF1248" s="21"/>
      <c r="BG1248" s="21"/>
      <c r="BH1248" s="21"/>
      <c r="BI1248" s="21"/>
    </row>
    <row r="1249" spans="1:61" x14ac:dyDescent="0.2">
      <c r="A1249">
        <v>661</v>
      </c>
      <c r="B1249" t="s">
        <v>887</v>
      </c>
      <c r="C1249" t="str">
        <f t="shared" si="142"/>
        <v/>
      </c>
      <c r="D1249" t="str">
        <f t="shared" si="147"/>
        <v/>
      </c>
      <c r="H1249">
        <f t="shared" si="143"/>
        <v>2</v>
      </c>
      <c r="R1249">
        <v>91</v>
      </c>
      <c r="S1249">
        <v>1</v>
      </c>
      <c r="T1249" t="str">
        <f t="shared" si="141"/>
        <v>e</v>
      </c>
      <c r="AM1249" t="str">
        <f t="shared" si="144"/>
        <v>Pass</v>
      </c>
      <c r="AN1249" t="str">
        <f t="shared" si="145"/>
        <v>Pass_Completed</v>
      </c>
      <c r="AP1249" t="str">
        <f t="shared" si="146"/>
        <v>Offensive</v>
      </c>
      <c r="BB1249" s="23"/>
      <c r="BD1249" s="21"/>
      <c r="BE1249" s="21"/>
      <c r="BF1249" s="21"/>
      <c r="BG1249" s="21"/>
      <c r="BH1249" s="21"/>
      <c r="BI1249" s="21"/>
    </row>
    <row r="1250" spans="1:61" x14ac:dyDescent="0.2">
      <c r="A1250">
        <v>662</v>
      </c>
      <c r="B1250" t="s">
        <v>887</v>
      </c>
      <c r="C1250" t="str">
        <f t="shared" si="142"/>
        <v/>
      </c>
      <c r="D1250" t="str">
        <f t="shared" si="147"/>
        <v/>
      </c>
      <c r="H1250">
        <f t="shared" si="143"/>
        <v>2</v>
      </c>
      <c r="I1250" s="5" t="s">
        <v>732</v>
      </c>
      <c r="J1250" s="5" t="s">
        <v>810</v>
      </c>
      <c r="K1250" s="5" t="s">
        <v>732</v>
      </c>
      <c r="L1250" s="7" t="s">
        <v>755</v>
      </c>
      <c r="Q1250" t="s">
        <v>620</v>
      </c>
      <c r="R1250">
        <v>91</v>
      </c>
      <c r="S1250">
        <v>1</v>
      </c>
      <c r="T1250" t="str">
        <f t="shared" si="141"/>
        <v>e</v>
      </c>
      <c r="U1250" t="s">
        <v>15</v>
      </c>
      <c r="Y1250" t="s">
        <v>777</v>
      </c>
      <c r="AF1250" t="s">
        <v>635</v>
      </c>
      <c r="AM1250" t="str">
        <f t="shared" si="144"/>
        <v>Possession</v>
      </c>
      <c r="AN1250" t="str">
        <f t="shared" si="145"/>
        <v/>
      </c>
      <c r="AP1250" t="str">
        <f t="shared" si="146"/>
        <v>Offensive</v>
      </c>
      <c r="BB1250" s="23"/>
      <c r="BD1250" s="21"/>
      <c r="BE1250" s="21"/>
      <c r="BF1250" s="21"/>
      <c r="BG1250" s="21"/>
      <c r="BH1250" s="21"/>
      <c r="BI1250" s="21"/>
    </row>
    <row r="1251" spans="1:61" x14ac:dyDescent="0.2">
      <c r="A1251">
        <v>663</v>
      </c>
      <c r="B1251" t="s">
        <v>887</v>
      </c>
      <c r="C1251" t="str">
        <f t="shared" si="142"/>
        <v/>
      </c>
      <c r="D1251" t="str">
        <f t="shared" si="147"/>
        <v/>
      </c>
      <c r="H1251">
        <f t="shared" si="143"/>
        <v>2</v>
      </c>
      <c r="I1251" s="5" t="s">
        <v>732</v>
      </c>
      <c r="J1251" s="5" t="s">
        <v>755</v>
      </c>
      <c r="Q1251" t="s">
        <v>620</v>
      </c>
      <c r="R1251">
        <v>91</v>
      </c>
      <c r="S1251">
        <v>1</v>
      </c>
      <c r="T1251" t="str">
        <f t="shared" si="141"/>
        <v>e</v>
      </c>
      <c r="U1251" t="s">
        <v>8</v>
      </c>
      <c r="V1251" t="s">
        <v>189</v>
      </c>
      <c r="W1251" t="s">
        <v>70</v>
      </c>
      <c r="X1251" t="s">
        <v>706</v>
      </c>
      <c r="AF1251" t="s">
        <v>635</v>
      </c>
      <c r="AM1251" t="str">
        <f t="shared" si="144"/>
        <v>Pass</v>
      </c>
      <c r="AN1251" t="str">
        <f t="shared" si="145"/>
        <v>Pass_Completed</v>
      </c>
      <c r="AP1251" t="str">
        <f t="shared" si="146"/>
        <v>Offensive</v>
      </c>
      <c r="BB1251" s="23"/>
      <c r="BD1251" s="21"/>
      <c r="BE1251" s="21"/>
      <c r="BF1251" s="21"/>
      <c r="BG1251" s="21"/>
      <c r="BH1251" s="21"/>
      <c r="BI1251" s="21"/>
    </row>
    <row r="1252" spans="1:61" x14ac:dyDescent="0.2">
      <c r="A1252">
        <v>663</v>
      </c>
      <c r="B1252" t="s">
        <v>887</v>
      </c>
      <c r="C1252" t="str">
        <f t="shared" si="142"/>
        <v/>
      </c>
      <c r="D1252" t="str">
        <f t="shared" si="147"/>
        <v/>
      </c>
      <c r="H1252">
        <f t="shared" si="143"/>
        <v>2</v>
      </c>
      <c r="R1252">
        <v>75</v>
      </c>
      <c r="T1252" t="str">
        <f t="shared" si="141"/>
        <v>o</v>
      </c>
      <c r="AM1252" t="str">
        <f t="shared" si="144"/>
        <v>Pass</v>
      </c>
      <c r="AN1252" t="str">
        <f t="shared" si="145"/>
        <v>Pass_Completed</v>
      </c>
      <c r="AP1252" t="str">
        <f t="shared" si="146"/>
        <v>Defensive</v>
      </c>
      <c r="BB1252" s="23"/>
      <c r="BD1252" s="21"/>
      <c r="BE1252" s="21"/>
      <c r="BF1252" s="21"/>
      <c r="BG1252" s="21"/>
      <c r="BH1252" s="21"/>
      <c r="BI1252" s="21"/>
    </row>
    <row r="1253" spans="1:61" x14ac:dyDescent="0.2">
      <c r="A1253">
        <v>664</v>
      </c>
      <c r="B1253" t="s">
        <v>887</v>
      </c>
      <c r="C1253" t="str">
        <f t="shared" si="142"/>
        <v/>
      </c>
      <c r="D1253" t="str">
        <f t="shared" si="147"/>
        <v/>
      </c>
      <c r="H1253">
        <f t="shared" si="143"/>
        <v>2</v>
      </c>
      <c r="I1253" s="5" t="s">
        <v>732</v>
      </c>
      <c r="J1253" s="5" t="s">
        <v>711</v>
      </c>
      <c r="Q1253" t="s">
        <v>619</v>
      </c>
      <c r="R1253">
        <v>56</v>
      </c>
      <c r="S1253">
        <v>1</v>
      </c>
      <c r="T1253" t="str">
        <f t="shared" si="141"/>
        <v>e</v>
      </c>
      <c r="U1253" t="s">
        <v>10</v>
      </c>
      <c r="V1253" t="s">
        <v>200</v>
      </c>
      <c r="W1253" t="s">
        <v>82</v>
      </c>
      <c r="X1253" t="s">
        <v>706</v>
      </c>
      <c r="Y1253" t="s">
        <v>714</v>
      </c>
      <c r="AF1253" t="s">
        <v>635</v>
      </c>
      <c r="AJ1253">
        <v>1</v>
      </c>
      <c r="AM1253" t="str">
        <f t="shared" si="144"/>
        <v>Turnover</v>
      </c>
      <c r="AN1253" t="str">
        <f t="shared" si="145"/>
        <v>Turnover_Takeaway</v>
      </c>
      <c r="AP1253" t="str">
        <f t="shared" si="146"/>
        <v>Defensive</v>
      </c>
      <c r="BB1253" s="23"/>
      <c r="BD1253" s="21"/>
      <c r="BE1253" s="21"/>
      <c r="BF1253" s="21"/>
      <c r="BG1253" s="21"/>
      <c r="BH1253" s="21"/>
      <c r="BI1253" s="21"/>
    </row>
    <row r="1254" spans="1:61" x14ac:dyDescent="0.2">
      <c r="A1254">
        <v>664</v>
      </c>
      <c r="B1254" t="s">
        <v>887</v>
      </c>
      <c r="C1254" t="str">
        <f t="shared" si="142"/>
        <v/>
      </c>
      <c r="D1254" t="str">
        <f t="shared" si="147"/>
        <v/>
      </c>
      <c r="H1254">
        <f t="shared" si="143"/>
        <v>2</v>
      </c>
      <c r="R1254">
        <v>75</v>
      </c>
      <c r="T1254" t="str">
        <f t="shared" si="141"/>
        <v>o</v>
      </c>
      <c r="AJ1254">
        <v>1</v>
      </c>
      <c r="AM1254" t="str">
        <f t="shared" si="144"/>
        <v>Turnover</v>
      </c>
      <c r="AN1254" t="str">
        <f t="shared" si="145"/>
        <v>Turnover_Takeaway</v>
      </c>
      <c r="AP1254" t="str">
        <f t="shared" si="146"/>
        <v>Offensive</v>
      </c>
      <c r="BB1254" s="23"/>
      <c r="BD1254" s="21"/>
      <c r="BE1254" s="21"/>
      <c r="BF1254" s="21"/>
      <c r="BG1254" s="21"/>
      <c r="BH1254" s="21"/>
      <c r="BI1254" s="21"/>
    </row>
    <row r="1255" spans="1:61" x14ac:dyDescent="0.2">
      <c r="A1255">
        <v>665</v>
      </c>
      <c r="B1255" t="s">
        <v>887</v>
      </c>
      <c r="C1255" t="str">
        <f t="shared" si="142"/>
        <v/>
      </c>
      <c r="D1255" t="str">
        <f t="shared" si="147"/>
        <v/>
      </c>
      <c r="H1255">
        <f t="shared" si="143"/>
        <v>2</v>
      </c>
      <c r="I1255" s="5" t="s">
        <v>732</v>
      </c>
      <c r="J1255" s="5" t="s">
        <v>711</v>
      </c>
      <c r="Q1255" t="s">
        <v>619</v>
      </c>
      <c r="R1255">
        <v>18</v>
      </c>
      <c r="S1255">
        <v>1</v>
      </c>
      <c r="T1255" t="str">
        <f t="shared" si="141"/>
        <v>e</v>
      </c>
      <c r="U1255" t="s">
        <v>15</v>
      </c>
      <c r="V1255" t="s">
        <v>697</v>
      </c>
      <c r="X1255" t="s">
        <v>706</v>
      </c>
      <c r="Y1255" t="s">
        <v>712</v>
      </c>
      <c r="AA1255" t="s">
        <v>706</v>
      </c>
      <c r="AF1255" t="s">
        <v>635</v>
      </c>
      <c r="AM1255" t="str">
        <f t="shared" si="144"/>
        <v>Possession</v>
      </c>
      <c r="AN1255" t="str">
        <f t="shared" si="145"/>
        <v>PuckRetrieval</v>
      </c>
      <c r="AP1255" t="str">
        <f t="shared" si="146"/>
        <v>Offensive</v>
      </c>
      <c r="BB1255" s="23"/>
      <c r="BD1255" s="21"/>
      <c r="BE1255" s="21"/>
      <c r="BF1255" s="21"/>
      <c r="BG1255" s="21"/>
      <c r="BH1255" s="21"/>
      <c r="BI1255" s="21"/>
    </row>
    <row r="1256" spans="1:61" x14ac:dyDescent="0.2">
      <c r="A1256">
        <v>666</v>
      </c>
      <c r="B1256" t="s">
        <v>887</v>
      </c>
      <c r="C1256" t="str">
        <f t="shared" si="142"/>
        <v/>
      </c>
      <c r="D1256" t="str">
        <f t="shared" si="147"/>
        <v/>
      </c>
      <c r="H1256">
        <f t="shared" si="143"/>
        <v>2</v>
      </c>
      <c r="I1256" s="5" t="s">
        <v>732</v>
      </c>
      <c r="J1256" s="5" t="s">
        <v>711</v>
      </c>
      <c r="K1256" s="5" t="s">
        <v>732</v>
      </c>
      <c r="L1256" s="7" t="s">
        <v>717</v>
      </c>
      <c r="Q1256" t="s">
        <v>619</v>
      </c>
      <c r="R1256">
        <v>18</v>
      </c>
      <c r="S1256">
        <v>1</v>
      </c>
      <c r="T1256" t="str">
        <f t="shared" si="141"/>
        <v>e</v>
      </c>
      <c r="U1256" t="s">
        <v>15</v>
      </c>
      <c r="Y1256" t="s">
        <v>758</v>
      </c>
      <c r="AA1256" t="s">
        <v>706</v>
      </c>
      <c r="AF1256" t="s">
        <v>635</v>
      </c>
      <c r="AJ1256">
        <v>1</v>
      </c>
      <c r="AM1256" t="str">
        <f t="shared" si="144"/>
        <v>Possession</v>
      </c>
      <c r="AN1256" t="str">
        <f t="shared" si="145"/>
        <v/>
      </c>
      <c r="AP1256" t="str">
        <f t="shared" si="146"/>
        <v>Offensive</v>
      </c>
      <c r="BB1256" s="23"/>
      <c r="BD1256" s="21"/>
      <c r="BE1256" s="21"/>
      <c r="BF1256" s="21"/>
      <c r="BG1256" s="21"/>
      <c r="BH1256" s="21"/>
      <c r="BI1256" s="21"/>
    </row>
    <row r="1257" spans="1:61" x14ac:dyDescent="0.2">
      <c r="A1257">
        <v>666</v>
      </c>
      <c r="B1257" t="s">
        <v>887</v>
      </c>
      <c r="C1257" t="str">
        <f t="shared" si="142"/>
        <v/>
      </c>
      <c r="D1257" t="str">
        <f t="shared" si="147"/>
        <v/>
      </c>
      <c r="H1257">
        <f t="shared" si="143"/>
        <v>2</v>
      </c>
      <c r="R1257">
        <v>75</v>
      </c>
      <c r="T1257" t="str">
        <f t="shared" si="141"/>
        <v>o</v>
      </c>
      <c r="AJ1257">
        <v>1</v>
      </c>
      <c r="AM1257" t="str">
        <f t="shared" si="144"/>
        <v>Possession</v>
      </c>
      <c r="AN1257" t="str">
        <f t="shared" si="145"/>
        <v/>
      </c>
      <c r="AP1257" t="str">
        <f t="shared" si="146"/>
        <v>Defensive</v>
      </c>
      <c r="BB1257" s="23"/>
      <c r="BD1257" s="21"/>
      <c r="BE1257" s="21"/>
      <c r="BF1257" s="21"/>
      <c r="BG1257" s="21"/>
      <c r="BH1257" s="21"/>
      <c r="BI1257" s="21"/>
    </row>
    <row r="1258" spans="1:61" x14ac:dyDescent="0.2">
      <c r="A1258">
        <v>666</v>
      </c>
      <c r="B1258" t="s">
        <v>887</v>
      </c>
      <c r="C1258" t="str">
        <f t="shared" si="142"/>
        <v/>
      </c>
      <c r="D1258" t="str">
        <f t="shared" si="147"/>
        <v/>
      </c>
      <c r="H1258">
        <f t="shared" si="143"/>
        <v>2</v>
      </c>
      <c r="R1258">
        <v>91</v>
      </c>
      <c r="T1258" t="str">
        <f t="shared" si="141"/>
        <v>o</v>
      </c>
      <c r="AJ1258">
        <v>1</v>
      </c>
      <c r="AM1258" t="str">
        <f t="shared" si="144"/>
        <v>Possession</v>
      </c>
      <c r="AN1258" t="str">
        <f t="shared" si="145"/>
        <v/>
      </c>
      <c r="AP1258" t="str">
        <f t="shared" si="146"/>
        <v>Defensive</v>
      </c>
      <c r="BB1258" s="23"/>
      <c r="BD1258" s="21"/>
      <c r="BE1258" s="21"/>
      <c r="BF1258" s="21"/>
      <c r="BG1258" s="21"/>
      <c r="BH1258" s="21"/>
      <c r="BI1258" s="21"/>
    </row>
    <row r="1259" spans="1:61" x14ac:dyDescent="0.2">
      <c r="A1259">
        <v>667</v>
      </c>
      <c r="B1259" t="s">
        <v>887</v>
      </c>
      <c r="C1259" t="str">
        <f t="shared" si="142"/>
        <v/>
      </c>
      <c r="D1259" t="str">
        <f t="shared" si="147"/>
        <v/>
      </c>
      <c r="H1259">
        <f t="shared" si="143"/>
        <v>2</v>
      </c>
      <c r="I1259" s="5" t="s">
        <v>732</v>
      </c>
      <c r="J1259" s="5" t="s">
        <v>717</v>
      </c>
      <c r="K1259" s="5" t="s">
        <v>732</v>
      </c>
      <c r="L1259" s="7" t="s">
        <v>719</v>
      </c>
      <c r="Q1259" t="s">
        <v>619</v>
      </c>
      <c r="R1259">
        <v>18</v>
      </c>
      <c r="S1259">
        <v>1</v>
      </c>
      <c r="T1259" t="str">
        <f t="shared" si="141"/>
        <v>e</v>
      </c>
      <c r="U1259" t="s">
        <v>257</v>
      </c>
      <c r="V1259" t="s">
        <v>191</v>
      </c>
      <c r="W1259" t="s">
        <v>87</v>
      </c>
      <c r="X1259" t="s">
        <v>706</v>
      </c>
      <c r="Y1259" t="s">
        <v>758</v>
      </c>
      <c r="Z1259" t="s">
        <v>767</v>
      </c>
      <c r="AA1259" t="s">
        <v>706</v>
      </c>
      <c r="AF1259" t="s">
        <v>401</v>
      </c>
      <c r="AJ1259">
        <v>1</v>
      </c>
      <c r="AM1259" t="str">
        <f t="shared" si="144"/>
        <v>Zone_Entry_Exit</v>
      </c>
      <c r="AN1259" t="str">
        <f t="shared" si="145"/>
        <v>Zone_Entry</v>
      </c>
      <c r="AP1259" t="str">
        <f t="shared" si="146"/>
        <v>Offensive</v>
      </c>
      <c r="BB1259" s="23"/>
      <c r="BD1259" s="21"/>
      <c r="BE1259" s="21"/>
      <c r="BF1259" s="21"/>
      <c r="BG1259" s="21"/>
      <c r="BH1259" s="21"/>
      <c r="BI1259" s="21"/>
    </row>
    <row r="1260" spans="1:61" x14ac:dyDescent="0.2">
      <c r="A1260">
        <v>667</v>
      </c>
      <c r="B1260" t="s">
        <v>887</v>
      </c>
      <c r="C1260" t="str">
        <f t="shared" si="142"/>
        <v/>
      </c>
      <c r="D1260" t="str">
        <f t="shared" si="147"/>
        <v/>
      </c>
      <c r="H1260">
        <f t="shared" si="143"/>
        <v>2</v>
      </c>
      <c r="R1260">
        <v>75</v>
      </c>
      <c r="T1260" t="str">
        <f t="shared" si="141"/>
        <v>o</v>
      </c>
      <c r="AM1260" t="str">
        <f t="shared" si="144"/>
        <v>Zone_Entry_Exit</v>
      </c>
      <c r="AN1260" t="str">
        <f t="shared" si="145"/>
        <v>Zone_Entry</v>
      </c>
      <c r="AP1260" t="str">
        <f t="shared" si="146"/>
        <v>Defensive</v>
      </c>
      <c r="BB1260" s="23"/>
      <c r="BD1260" s="21"/>
      <c r="BE1260" s="21"/>
      <c r="BF1260" s="21"/>
      <c r="BG1260" s="21"/>
      <c r="BH1260" s="21"/>
      <c r="BI1260" s="21"/>
    </row>
    <row r="1261" spans="1:61" x14ac:dyDescent="0.2">
      <c r="A1261">
        <v>667</v>
      </c>
      <c r="B1261" t="s">
        <v>887</v>
      </c>
      <c r="C1261" t="str">
        <f t="shared" si="142"/>
        <v/>
      </c>
      <c r="D1261" t="str">
        <f t="shared" si="147"/>
        <v/>
      </c>
      <c r="H1261">
        <f t="shared" si="143"/>
        <v>2</v>
      </c>
      <c r="R1261">
        <v>91</v>
      </c>
      <c r="T1261" t="str">
        <f t="shared" si="141"/>
        <v>o</v>
      </c>
      <c r="Y1261" t="s">
        <v>764</v>
      </c>
      <c r="AA1261" t="s">
        <v>705</v>
      </c>
      <c r="AJ1261">
        <v>1</v>
      </c>
      <c r="AM1261" t="str">
        <f t="shared" si="144"/>
        <v>Zone_Entry_Exit</v>
      </c>
      <c r="AN1261" t="str">
        <f t="shared" si="145"/>
        <v>Zone_Entry</v>
      </c>
      <c r="AP1261" t="str">
        <f t="shared" si="146"/>
        <v>Defensive</v>
      </c>
      <c r="BB1261" s="23"/>
      <c r="BD1261" s="21"/>
      <c r="BE1261" s="21"/>
      <c r="BF1261" s="21"/>
      <c r="BG1261" s="21"/>
      <c r="BH1261" s="21"/>
      <c r="BI1261" s="21"/>
    </row>
    <row r="1262" spans="1:61" x14ac:dyDescent="0.2">
      <c r="A1262">
        <v>668</v>
      </c>
      <c r="B1262">
        <v>112</v>
      </c>
      <c r="C1262">
        <f t="shared" si="142"/>
        <v>9112</v>
      </c>
      <c r="D1262">
        <f t="shared" si="147"/>
        <v>9112</v>
      </c>
      <c r="H1262">
        <f t="shared" si="143"/>
        <v>2</v>
      </c>
      <c r="I1262" s="5" t="s">
        <v>732</v>
      </c>
      <c r="J1262" s="5" t="s">
        <v>719</v>
      </c>
      <c r="Q1262" t="s">
        <v>619</v>
      </c>
      <c r="R1262">
        <v>18</v>
      </c>
      <c r="S1262">
        <v>1</v>
      </c>
      <c r="T1262" t="str">
        <f t="shared" si="141"/>
        <v>e</v>
      </c>
      <c r="U1262" t="s">
        <v>7</v>
      </c>
      <c r="V1262" t="s">
        <v>222</v>
      </c>
      <c r="W1262" t="s">
        <v>53</v>
      </c>
      <c r="X1262" t="s">
        <v>706</v>
      </c>
      <c r="AF1262" t="s">
        <v>401</v>
      </c>
      <c r="AJ1262">
        <v>1</v>
      </c>
      <c r="AM1262" t="str">
        <f t="shared" si="144"/>
        <v>Shot</v>
      </c>
      <c r="AN1262" t="str">
        <f t="shared" si="145"/>
        <v>Shot_OnNetSaved</v>
      </c>
      <c r="AP1262" t="str">
        <f t="shared" si="146"/>
        <v>Offensive</v>
      </c>
      <c r="BB1262" s="23"/>
      <c r="BD1262" s="21"/>
      <c r="BE1262" s="21"/>
      <c r="BF1262" s="21"/>
      <c r="BG1262" s="21"/>
      <c r="BH1262" s="21"/>
      <c r="BI1262" s="21"/>
    </row>
    <row r="1263" spans="1:61" x14ac:dyDescent="0.2">
      <c r="A1263">
        <v>668</v>
      </c>
      <c r="B1263">
        <v>112</v>
      </c>
      <c r="C1263">
        <f t="shared" si="142"/>
        <v>9112</v>
      </c>
      <c r="D1263">
        <f t="shared" si="147"/>
        <v>9112</v>
      </c>
      <c r="H1263">
        <f t="shared" si="143"/>
        <v>2</v>
      </c>
      <c r="R1263">
        <v>39</v>
      </c>
      <c r="T1263" t="str">
        <f t="shared" si="141"/>
        <v>o</v>
      </c>
      <c r="AM1263" t="str">
        <f t="shared" si="144"/>
        <v>Shot</v>
      </c>
      <c r="AN1263" t="str">
        <f t="shared" si="145"/>
        <v>Shot_OnNetSaved</v>
      </c>
      <c r="AP1263" t="str">
        <f t="shared" si="146"/>
        <v>Defensive</v>
      </c>
      <c r="BB1263" s="23"/>
      <c r="BD1263" s="21"/>
      <c r="BE1263" s="21"/>
      <c r="BF1263" s="21"/>
      <c r="BG1263" s="21"/>
      <c r="BH1263" s="21"/>
      <c r="BI1263" s="21"/>
    </row>
    <row r="1264" spans="1:61" x14ac:dyDescent="0.2">
      <c r="A1264">
        <v>668</v>
      </c>
      <c r="B1264">
        <v>112</v>
      </c>
      <c r="C1264">
        <f t="shared" si="142"/>
        <v>9112</v>
      </c>
      <c r="D1264">
        <f t="shared" si="147"/>
        <v>9112</v>
      </c>
      <c r="H1264">
        <f t="shared" si="143"/>
        <v>2</v>
      </c>
      <c r="R1264">
        <v>70</v>
      </c>
      <c r="T1264" t="str">
        <f t="shared" si="141"/>
        <v>o</v>
      </c>
      <c r="Y1264" t="s">
        <v>715</v>
      </c>
      <c r="AJ1264">
        <v>1</v>
      </c>
      <c r="AM1264" t="str">
        <f t="shared" si="144"/>
        <v>Shot</v>
      </c>
      <c r="AN1264" t="str">
        <f t="shared" si="145"/>
        <v>Shot_OnNetSaved</v>
      </c>
      <c r="AP1264" t="str">
        <f t="shared" si="146"/>
        <v>Defensive</v>
      </c>
      <c r="BB1264" s="23"/>
      <c r="BD1264" s="21"/>
      <c r="BE1264" s="21"/>
      <c r="BF1264" s="21"/>
      <c r="BG1264" s="21"/>
      <c r="BH1264" s="21"/>
      <c r="BI1264" s="21"/>
    </row>
    <row r="1265" spans="1:61" x14ac:dyDescent="0.2">
      <c r="A1265">
        <v>669</v>
      </c>
      <c r="B1265">
        <v>112</v>
      </c>
      <c r="C1265">
        <f t="shared" si="142"/>
        <v>9112</v>
      </c>
      <c r="D1265">
        <f t="shared" si="147"/>
        <v>9112</v>
      </c>
      <c r="H1265">
        <f t="shared" si="143"/>
        <v>2</v>
      </c>
      <c r="I1265" s="5" t="s">
        <v>732</v>
      </c>
      <c r="J1265" s="5" t="s">
        <v>719</v>
      </c>
      <c r="Q1265" t="s">
        <v>620</v>
      </c>
      <c r="R1265">
        <v>39</v>
      </c>
      <c r="S1265">
        <v>1</v>
      </c>
      <c r="T1265" t="str">
        <f t="shared" si="141"/>
        <v>e</v>
      </c>
      <c r="U1265" t="s">
        <v>17</v>
      </c>
      <c r="V1265" t="s">
        <v>206</v>
      </c>
      <c r="W1265" t="s">
        <v>103</v>
      </c>
      <c r="AF1265" t="s">
        <v>623</v>
      </c>
      <c r="AM1265" t="str">
        <f t="shared" si="144"/>
        <v>Save</v>
      </c>
      <c r="AN1265" t="str">
        <f t="shared" si="145"/>
        <v>Save_Freeze</v>
      </c>
      <c r="AP1265" t="str">
        <f t="shared" si="146"/>
        <v>Defensive</v>
      </c>
      <c r="BB1265" s="23"/>
      <c r="BD1265" s="21"/>
      <c r="BE1265" s="21"/>
      <c r="BF1265" s="21"/>
      <c r="BG1265" s="21"/>
      <c r="BH1265" s="21"/>
      <c r="BI1265" s="21"/>
    </row>
    <row r="1266" spans="1:61" x14ac:dyDescent="0.2">
      <c r="A1266">
        <v>669</v>
      </c>
      <c r="B1266">
        <v>112</v>
      </c>
      <c r="C1266">
        <f t="shared" si="142"/>
        <v>9112</v>
      </c>
      <c r="D1266">
        <f t="shared" si="147"/>
        <v>9112</v>
      </c>
      <c r="H1266">
        <f t="shared" si="143"/>
        <v>2</v>
      </c>
      <c r="R1266">
        <v>70</v>
      </c>
      <c r="S1266">
        <v>1</v>
      </c>
      <c r="T1266" t="str">
        <f t="shared" si="141"/>
        <v>e</v>
      </c>
      <c r="Y1266" t="s">
        <v>715</v>
      </c>
      <c r="AJ1266">
        <v>1</v>
      </c>
      <c r="AM1266" t="str">
        <f t="shared" si="144"/>
        <v>Save</v>
      </c>
      <c r="AN1266" t="str">
        <f t="shared" si="145"/>
        <v>Save_Freeze</v>
      </c>
      <c r="AP1266" t="str">
        <f t="shared" si="146"/>
        <v>Defensive</v>
      </c>
      <c r="BB1266" s="23"/>
      <c r="BD1266" s="21"/>
      <c r="BE1266" s="21"/>
      <c r="BF1266" s="21"/>
      <c r="BG1266" s="21"/>
      <c r="BH1266" s="21"/>
      <c r="BI1266" s="21"/>
    </row>
    <row r="1267" spans="1:61" x14ac:dyDescent="0.2">
      <c r="A1267">
        <v>669</v>
      </c>
      <c r="B1267">
        <v>112</v>
      </c>
      <c r="C1267">
        <f t="shared" si="142"/>
        <v>9112</v>
      </c>
      <c r="D1267">
        <f t="shared" si="147"/>
        <v>9112</v>
      </c>
      <c r="H1267">
        <f t="shared" si="143"/>
        <v>2</v>
      </c>
      <c r="R1267">
        <v>18</v>
      </c>
      <c r="T1267" t="str">
        <f t="shared" si="141"/>
        <v>o</v>
      </c>
      <c r="AJ1267">
        <v>1</v>
      </c>
      <c r="AM1267" t="str">
        <f t="shared" si="144"/>
        <v>Save</v>
      </c>
      <c r="AN1267" t="str">
        <f t="shared" si="145"/>
        <v>Save_Freeze</v>
      </c>
      <c r="AP1267" t="str">
        <f t="shared" si="146"/>
        <v>Offensive</v>
      </c>
      <c r="BB1267" s="23"/>
      <c r="BD1267" s="21"/>
      <c r="BE1267" s="21"/>
      <c r="BF1267" s="21"/>
      <c r="BG1267" s="21"/>
      <c r="BH1267" s="21"/>
      <c r="BI1267" s="21"/>
    </row>
    <row r="1268" spans="1:61" x14ac:dyDescent="0.2">
      <c r="A1268">
        <v>670</v>
      </c>
      <c r="B1268">
        <v>112</v>
      </c>
      <c r="C1268">
        <f t="shared" si="142"/>
        <v>9112</v>
      </c>
      <c r="D1268">
        <f t="shared" si="147"/>
        <v>9112</v>
      </c>
      <c r="H1268">
        <f t="shared" si="143"/>
        <v>2</v>
      </c>
      <c r="I1268" s="5" t="s">
        <v>732</v>
      </c>
      <c r="J1268" s="5" t="s">
        <v>719</v>
      </c>
      <c r="Q1268" t="s">
        <v>620</v>
      </c>
      <c r="R1268">
        <v>39</v>
      </c>
      <c r="S1268">
        <v>1</v>
      </c>
      <c r="T1268" t="str">
        <f t="shared" si="141"/>
        <v>e</v>
      </c>
      <c r="U1268" t="s">
        <v>13</v>
      </c>
      <c r="V1268" t="s">
        <v>204</v>
      </c>
      <c r="W1268" t="s">
        <v>110</v>
      </c>
      <c r="AF1268" t="s">
        <v>623</v>
      </c>
      <c r="AM1268" t="str">
        <f t="shared" si="144"/>
        <v>Stoppage</v>
      </c>
      <c r="AN1268" t="str">
        <f t="shared" si="145"/>
        <v>Stoppage_Play</v>
      </c>
      <c r="AP1268" t="str">
        <f t="shared" si="146"/>
        <v/>
      </c>
      <c r="BB1268" s="23"/>
      <c r="BD1268" s="21"/>
      <c r="BE1268" s="21"/>
      <c r="BF1268" s="21"/>
      <c r="BG1268" s="21"/>
      <c r="BH1268" s="21"/>
      <c r="BI1268" s="21"/>
    </row>
    <row r="1269" spans="1:61" x14ac:dyDescent="0.2">
      <c r="A1269">
        <v>671</v>
      </c>
      <c r="B1269">
        <v>112</v>
      </c>
      <c r="C1269">
        <f t="shared" si="142"/>
        <v>9112</v>
      </c>
      <c r="D1269">
        <f t="shared" si="147"/>
        <v>9112</v>
      </c>
      <c r="H1269">
        <f t="shared" si="143"/>
        <v>2</v>
      </c>
      <c r="I1269" s="5" t="s">
        <v>732</v>
      </c>
      <c r="J1269" s="5" t="s">
        <v>719</v>
      </c>
      <c r="K1269" s="5" t="s">
        <v>732</v>
      </c>
      <c r="L1269" s="7" t="s">
        <v>447</v>
      </c>
      <c r="Q1269" t="s">
        <v>620</v>
      </c>
      <c r="R1269">
        <v>39</v>
      </c>
      <c r="S1269">
        <v>1</v>
      </c>
      <c r="T1269" t="str">
        <f t="shared" si="141"/>
        <v>e</v>
      </c>
      <c r="U1269" t="s">
        <v>262</v>
      </c>
      <c r="AF1269" t="s">
        <v>623</v>
      </c>
      <c r="AM1269" t="str">
        <f t="shared" si="144"/>
        <v>DeadIce</v>
      </c>
      <c r="AN1269" t="str">
        <f t="shared" si="145"/>
        <v/>
      </c>
      <c r="AP1269" t="str">
        <f t="shared" si="146"/>
        <v/>
      </c>
      <c r="BB1269" s="23"/>
      <c r="BD1269" s="21"/>
      <c r="BE1269" s="21"/>
      <c r="BF1269" s="21"/>
      <c r="BG1269" s="21"/>
      <c r="BH1269" s="21"/>
      <c r="BI1269" s="21"/>
    </row>
    <row r="1270" spans="1:61" x14ac:dyDescent="0.2">
      <c r="A1270">
        <v>672</v>
      </c>
      <c r="B1270" t="s">
        <v>887</v>
      </c>
      <c r="C1270" t="str">
        <f t="shared" si="142"/>
        <v/>
      </c>
      <c r="D1270" t="str">
        <f t="shared" si="147"/>
        <v/>
      </c>
      <c r="H1270">
        <f t="shared" si="143"/>
        <v>2</v>
      </c>
      <c r="I1270" s="5" t="s">
        <v>732</v>
      </c>
      <c r="J1270" s="5" t="s">
        <v>447</v>
      </c>
      <c r="Q1270" t="s">
        <v>620</v>
      </c>
      <c r="R1270">
        <v>72</v>
      </c>
      <c r="S1270">
        <v>1</v>
      </c>
      <c r="T1270" t="str">
        <f t="shared" si="141"/>
        <v>e</v>
      </c>
      <c r="U1270" t="s">
        <v>6</v>
      </c>
      <c r="V1270" t="s">
        <v>255</v>
      </c>
      <c r="AF1270" t="s">
        <v>623</v>
      </c>
      <c r="AM1270" t="str">
        <f t="shared" si="144"/>
        <v>Faceoff</v>
      </c>
      <c r="AN1270" t="str">
        <f t="shared" si="145"/>
        <v>Faceoff_AfterStoppage</v>
      </c>
      <c r="AP1270" t="str">
        <f t="shared" si="146"/>
        <v>Offensive</v>
      </c>
      <c r="BB1270" s="23"/>
      <c r="BD1270" s="21"/>
      <c r="BE1270" s="21"/>
      <c r="BF1270" s="21"/>
      <c r="BG1270" s="21"/>
      <c r="BH1270" s="21"/>
      <c r="BI1270" s="21"/>
    </row>
    <row r="1271" spans="1:61" x14ac:dyDescent="0.2">
      <c r="A1271">
        <v>672</v>
      </c>
      <c r="B1271" t="s">
        <v>887</v>
      </c>
      <c r="C1271" t="str">
        <f t="shared" si="142"/>
        <v/>
      </c>
      <c r="D1271" t="str">
        <f t="shared" si="147"/>
        <v/>
      </c>
      <c r="H1271">
        <f t="shared" si="143"/>
        <v>2</v>
      </c>
      <c r="R1271">
        <v>9</v>
      </c>
      <c r="S1271">
        <v>1</v>
      </c>
      <c r="T1271" t="str">
        <f t="shared" si="141"/>
        <v>e</v>
      </c>
      <c r="AM1271" t="str">
        <f t="shared" si="144"/>
        <v>Faceoff</v>
      </c>
      <c r="AN1271" t="str">
        <f t="shared" si="145"/>
        <v>Faceoff_AfterStoppage</v>
      </c>
      <c r="AP1271" t="str">
        <f t="shared" si="146"/>
        <v>Offensive</v>
      </c>
      <c r="BB1271" s="23"/>
      <c r="BD1271" s="21"/>
      <c r="BE1271" s="21"/>
      <c r="BF1271" s="21"/>
      <c r="BG1271" s="21"/>
      <c r="BH1271" s="21"/>
      <c r="BI1271" s="21"/>
    </row>
    <row r="1272" spans="1:61" x14ac:dyDescent="0.2">
      <c r="A1272">
        <v>672</v>
      </c>
      <c r="B1272" t="s">
        <v>887</v>
      </c>
      <c r="C1272" t="str">
        <f t="shared" si="142"/>
        <v/>
      </c>
      <c r="D1272" t="str">
        <f t="shared" si="147"/>
        <v/>
      </c>
      <c r="H1272">
        <f t="shared" si="143"/>
        <v>2</v>
      </c>
      <c r="R1272">
        <v>3</v>
      </c>
      <c r="T1272" t="str">
        <f t="shared" si="141"/>
        <v>o</v>
      </c>
      <c r="AM1272" t="str">
        <f t="shared" si="144"/>
        <v>Faceoff</v>
      </c>
      <c r="AN1272" t="str">
        <f t="shared" si="145"/>
        <v>Faceoff_AfterStoppage</v>
      </c>
      <c r="AP1272" t="str">
        <f t="shared" si="146"/>
        <v>Defensive</v>
      </c>
      <c r="BB1272" s="23"/>
      <c r="BD1272" s="21"/>
      <c r="BE1272" s="21"/>
      <c r="BF1272" s="21"/>
      <c r="BG1272" s="21"/>
      <c r="BH1272" s="21"/>
      <c r="BI1272" s="21"/>
    </row>
    <row r="1273" spans="1:61" x14ac:dyDescent="0.2">
      <c r="A1273">
        <v>673</v>
      </c>
      <c r="B1273" t="s">
        <v>887</v>
      </c>
      <c r="C1273" t="str">
        <f t="shared" si="142"/>
        <v/>
      </c>
      <c r="D1273" t="str">
        <f t="shared" si="147"/>
        <v/>
      </c>
      <c r="H1273">
        <f t="shared" si="143"/>
        <v>2</v>
      </c>
      <c r="I1273" s="5" t="s">
        <v>732</v>
      </c>
      <c r="J1273" s="5" t="s">
        <v>801</v>
      </c>
      <c r="K1273" s="5" t="s">
        <v>732</v>
      </c>
      <c r="L1273" s="7" t="s">
        <v>738</v>
      </c>
      <c r="Q1273" t="s">
        <v>620</v>
      </c>
      <c r="R1273">
        <v>9</v>
      </c>
      <c r="S1273">
        <v>1</v>
      </c>
      <c r="T1273" t="str">
        <f t="shared" si="141"/>
        <v>e</v>
      </c>
      <c r="U1273" t="s">
        <v>15</v>
      </c>
      <c r="AF1273" t="s">
        <v>623</v>
      </c>
      <c r="AJ1273">
        <v>1</v>
      </c>
      <c r="AM1273" t="str">
        <f t="shared" si="144"/>
        <v>Possession</v>
      </c>
      <c r="AN1273" t="str">
        <f t="shared" si="145"/>
        <v/>
      </c>
      <c r="AP1273" t="str">
        <f t="shared" si="146"/>
        <v>Offensive</v>
      </c>
      <c r="BB1273" s="23"/>
      <c r="BD1273" s="21"/>
      <c r="BE1273" s="21"/>
      <c r="BF1273" s="21"/>
      <c r="BG1273" s="21"/>
      <c r="BH1273" s="21"/>
      <c r="BI1273" s="21"/>
    </row>
    <row r="1274" spans="1:61" x14ac:dyDescent="0.2">
      <c r="A1274">
        <v>673</v>
      </c>
      <c r="B1274" t="s">
        <v>887</v>
      </c>
      <c r="C1274" t="str">
        <f t="shared" si="142"/>
        <v/>
      </c>
      <c r="D1274" t="str">
        <f t="shared" si="147"/>
        <v/>
      </c>
      <c r="H1274">
        <f t="shared" si="143"/>
        <v>2</v>
      </c>
      <c r="R1274">
        <v>3</v>
      </c>
      <c r="T1274" t="str">
        <f t="shared" si="141"/>
        <v>o</v>
      </c>
      <c r="AJ1274">
        <v>1</v>
      </c>
      <c r="AM1274" t="str">
        <f t="shared" si="144"/>
        <v>Possession</v>
      </c>
      <c r="AN1274" t="str">
        <f t="shared" si="145"/>
        <v/>
      </c>
      <c r="AP1274" t="str">
        <f t="shared" si="146"/>
        <v>Defensive</v>
      </c>
      <c r="BB1274" s="23"/>
      <c r="BD1274" s="21"/>
      <c r="BE1274" s="21"/>
      <c r="BF1274" s="21"/>
      <c r="BG1274" s="21"/>
      <c r="BH1274" s="21"/>
      <c r="BI1274" s="21"/>
    </row>
    <row r="1275" spans="1:61" x14ac:dyDescent="0.2">
      <c r="A1275">
        <v>674</v>
      </c>
      <c r="B1275" t="s">
        <v>887</v>
      </c>
      <c r="C1275" t="str">
        <f t="shared" si="142"/>
        <v/>
      </c>
      <c r="D1275" t="str">
        <f t="shared" si="147"/>
        <v/>
      </c>
      <c r="H1275">
        <f t="shared" si="143"/>
        <v>2</v>
      </c>
      <c r="I1275" s="5" t="s">
        <v>732</v>
      </c>
      <c r="J1275" s="5" t="s">
        <v>738</v>
      </c>
      <c r="Q1275" t="s">
        <v>619</v>
      </c>
      <c r="R1275">
        <v>3</v>
      </c>
      <c r="S1275">
        <v>1</v>
      </c>
      <c r="T1275" t="str">
        <f t="shared" si="141"/>
        <v>e</v>
      </c>
      <c r="U1275" t="s">
        <v>10</v>
      </c>
      <c r="V1275" t="s">
        <v>200</v>
      </c>
      <c r="W1275" t="s">
        <v>82</v>
      </c>
      <c r="X1275" t="s">
        <v>706</v>
      </c>
      <c r="Y1275" t="s">
        <v>714</v>
      </c>
      <c r="AA1275" t="s">
        <v>706</v>
      </c>
      <c r="AF1275" t="s">
        <v>401</v>
      </c>
      <c r="AJ1275">
        <v>1</v>
      </c>
      <c r="AM1275" t="str">
        <f t="shared" si="144"/>
        <v>Turnover</v>
      </c>
      <c r="AN1275" t="str">
        <f t="shared" si="145"/>
        <v>Turnover_Takeaway</v>
      </c>
      <c r="AP1275" t="str">
        <f t="shared" si="146"/>
        <v>Defensive</v>
      </c>
      <c r="BB1275" s="23"/>
      <c r="BD1275" s="21"/>
      <c r="BE1275" s="21"/>
      <c r="BF1275" s="21"/>
      <c r="BG1275" s="21"/>
      <c r="BH1275" s="21"/>
      <c r="BI1275" s="21"/>
    </row>
    <row r="1276" spans="1:61" x14ac:dyDescent="0.2">
      <c r="A1276">
        <v>674</v>
      </c>
      <c r="B1276" t="s">
        <v>887</v>
      </c>
      <c r="C1276" t="str">
        <f t="shared" si="142"/>
        <v/>
      </c>
      <c r="D1276" t="str">
        <f t="shared" si="147"/>
        <v/>
      </c>
      <c r="H1276">
        <f t="shared" si="143"/>
        <v>2</v>
      </c>
      <c r="R1276">
        <v>9</v>
      </c>
      <c r="T1276" t="str">
        <f t="shared" si="141"/>
        <v>o</v>
      </c>
      <c r="AJ1276">
        <v>1</v>
      </c>
      <c r="AM1276" t="str">
        <f t="shared" si="144"/>
        <v>Turnover</v>
      </c>
      <c r="AN1276" t="str">
        <f t="shared" si="145"/>
        <v>Turnover_Takeaway</v>
      </c>
      <c r="AP1276" t="str">
        <f t="shared" si="146"/>
        <v>Offensive</v>
      </c>
      <c r="BB1276" s="23"/>
      <c r="BD1276" s="21"/>
      <c r="BE1276" s="21"/>
      <c r="BF1276" s="21"/>
      <c r="BG1276" s="21"/>
      <c r="BH1276" s="21"/>
      <c r="BI1276" s="21"/>
    </row>
    <row r="1277" spans="1:61" x14ac:dyDescent="0.2">
      <c r="A1277">
        <v>675</v>
      </c>
      <c r="B1277" t="s">
        <v>887</v>
      </c>
      <c r="C1277" t="str">
        <f t="shared" si="142"/>
        <v/>
      </c>
      <c r="D1277" t="str">
        <f t="shared" si="147"/>
        <v/>
      </c>
      <c r="H1277">
        <f t="shared" si="143"/>
        <v>2</v>
      </c>
      <c r="I1277" s="5" t="s">
        <v>732</v>
      </c>
      <c r="J1277" s="5" t="s">
        <v>785</v>
      </c>
      <c r="Q1277" t="s">
        <v>619</v>
      </c>
      <c r="R1277">
        <v>56</v>
      </c>
      <c r="S1277">
        <v>1</v>
      </c>
      <c r="T1277" t="str">
        <f t="shared" si="141"/>
        <v>e</v>
      </c>
      <c r="U1277" t="s">
        <v>15</v>
      </c>
      <c r="V1277" t="s">
        <v>697</v>
      </c>
      <c r="X1277" t="s">
        <v>705</v>
      </c>
      <c r="Y1277" t="s">
        <v>712</v>
      </c>
      <c r="AA1277" t="s">
        <v>705</v>
      </c>
      <c r="AF1277" t="s">
        <v>401</v>
      </c>
      <c r="AM1277" t="str">
        <f t="shared" si="144"/>
        <v>Possession</v>
      </c>
      <c r="AN1277" t="str">
        <f t="shared" si="145"/>
        <v>PuckRetrieval</v>
      </c>
      <c r="AP1277" t="str">
        <f t="shared" si="146"/>
        <v>Offensive</v>
      </c>
      <c r="BB1277" s="23"/>
      <c r="BD1277" s="21"/>
      <c r="BE1277" s="21"/>
      <c r="BF1277" s="21"/>
      <c r="BG1277" s="21"/>
      <c r="BH1277" s="21"/>
      <c r="BI1277" s="21"/>
    </row>
    <row r="1278" spans="1:61" x14ac:dyDescent="0.2">
      <c r="A1278">
        <v>676</v>
      </c>
      <c r="B1278">
        <v>113</v>
      </c>
      <c r="C1278">
        <f t="shared" si="142"/>
        <v>9113</v>
      </c>
      <c r="D1278">
        <f t="shared" si="147"/>
        <v>9113</v>
      </c>
      <c r="H1278">
        <f t="shared" si="143"/>
        <v>2</v>
      </c>
      <c r="I1278" s="5" t="s">
        <v>732</v>
      </c>
      <c r="J1278" s="5" t="s">
        <v>785</v>
      </c>
      <c r="Q1278" t="s">
        <v>619</v>
      </c>
      <c r="R1278">
        <v>56</v>
      </c>
      <c r="S1278">
        <v>1</v>
      </c>
      <c r="T1278" t="str">
        <f t="shared" si="141"/>
        <v>e</v>
      </c>
      <c r="U1278" t="s">
        <v>247</v>
      </c>
      <c r="V1278" t="s">
        <v>421</v>
      </c>
      <c r="W1278" t="s">
        <v>466</v>
      </c>
      <c r="Y1278" t="s">
        <v>680</v>
      </c>
      <c r="AA1278" t="s">
        <v>705</v>
      </c>
      <c r="AF1278" t="s">
        <v>401</v>
      </c>
      <c r="AM1278" t="str">
        <f t="shared" si="144"/>
        <v>Play</v>
      </c>
      <c r="AN1278" t="str">
        <f t="shared" si="145"/>
        <v>Play_Offensive</v>
      </c>
      <c r="AP1278" t="str">
        <f t="shared" si="146"/>
        <v>Offensive</v>
      </c>
      <c r="BB1278" s="23"/>
      <c r="BD1278" s="21"/>
      <c r="BE1278" s="21"/>
      <c r="BF1278" s="21"/>
      <c r="BG1278" s="21"/>
      <c r="BH1278" s="21"/>
      <c r="BI1278" s="21"/>
    </row>
    <row r="1279" spans="1:61" x14ac:dyDescent="0.2">
      <c r="A1279">
        <v>677</v>
      </c>
      <c r="B1279">
        <v>113</v>
      </c>
      <c r="C1279">
        <f t="shared" si="142"/>
        <v>9113</v>
      </c>
      <c r="D1279">
        <f t="shared" si="147"/>
        <v>9113</v>
      </c>
      <c r="H1279">
        <f t="shared" si="143"/>
        <v>2</v>
      </c>
      <c r="Q1279" t="s">
        <v>619</v>
      </c>
      <c r="R1279">
        <v>56</v>
      </c>
      <c r="S1279">
        <v>1</v>
      </c>
      <c r="T1279" t="str">
        <f t="shared" si="141"/>
        <v>e</v>
      </c>
      <c r="U1279" t="s">
        <v>10</v>
      </c>
      <c r="V1279" t="s">
        <v>190</v>
      </c>
      <c r="W1279" t="s">
        <v>424</v>
      </c>
      <c r="AF1279" t="s">
        <v>401</v>
      </c>
      <c r="AM1279" t="str">
        <f t="shared" si="144"/>
        <v>Turnover</v>
      </c>
      <c r="AN1279" t="str">
        <f t="shared" si="145"/>
        <v>Turnover_Giveaway</v>
      </c>
      <c r="AP1279" t="str">
        <f t="shared" si="146"/>
        <v>Offensive</v>
      </c>
      <c r="BB1279" s="23"/>
      <c r="BD1279" s="21"/>
      <c r="BE1279" s="21"/>
      <c r="BF1279" s="21"/>
      <c r="BG1279" s="21"/>
      <c r="BH1279" s="21"/>
      <c r="BI1279" s="21"/>
    </row>
    <row r="1280" spans="1:61" x14ac:dyDescent="0.2">
      <c r="A1280">
        <v>678</v>
      </c>
      <c r="B1280" t="s">
        <v>887</v>
      </c>
      <c r="C1280" t="str">
        <f t="shared" si="142"/>
        <v/>
      </c>
      <c r="D1280" t="str">
        <f t="shared" si="147"/>
        <v/>
      </c>
      <c r="H1280">
        <f t="shared" si="143"/>
        <v>2</v>
      </c>
      <c r="I1280" s="5" t="s">
        <v>732</v>
      </c>
      <c r="J1280" s="5" t="s">
        <v>786</v>
      </c>
      <c r="Q1280" t="s">
        <v>620</v>
      </c>
      <c r="R1280">
        <v>22</v>
      </c>
      <c r="S1280">
        <v>1</v>
      </c>
      <c r="T1280" t="str">
        <f t="shared" si="141"/>
        <v>e</v>
      </c>
      <c r="U1280" t="s">
        <v>15</v>
      </c>
      <c r="V1280" t="s">
        <v>697</v>
      </c>
      <c r="X1280" t="s">
        <v>705</v>
      </c>
      <c r="Y1280" t="s">
        <v>720</v>
      </c>
      <c r="AA1280" t="s">
        <v>705</v>
      </c>
      <c r="AF1280" t="s">
        <v>623</v>
      </c>
      <c r="AM1280" t="str">
        <f t="shared" si="144"/>
        <v>Possession</v>
      </c>
      <c r="AN1280" t="str">
        <f t="shared" si="145"/>
        <v>PuckRetrieval</v>
      </c>
      <c r="AP1280" t="str">
        <f t="shared" si="146"/>
        <v>Offensive</v>
      </c>
      <c r="BB1280" s="23"/>
      <c r="BD1280" s="21"/>
      <c r="BE1280" s="21"/>
      <c r="BF1280" s="21"/>
      <c r="BG1280" s="21"/>
      <c r="BH1280" s="21"/>
      <c r="BI1280" s="21"/>
    </row>
    <row r="1281" spans="1:61" x14ac:dyDescent="0.2">
      <c r="A1281">
        <v>679</v>
      </c>
      <c r="B1281">
        <v>114</v>
      </c>
      <c r="C1281">
        <f t="shared" si="142"/>
        <v>9114</v>
      </c>
      <c r="D1281">
        <f t="shared" si="147"/>
        <v>9114</v>
      </c>
      <c r="H1281">
        <f t="shared" si="143"/>
        <v>2</v>
      </c>
      <c r="I1281" s="5" t="s">
        <v>732</v>
      </c>
      <c r="J1281" s="5" t="s">
        <v>786</v>
      </c>
      <c r="Q1281" t="s">
        <v>620</v>
      </c>
      <c r="R1281">
        <v>22</v>
      </c>
      <c r="S1281">
        <v>1</v>
      </c>
      <c r="T1281" t="str">
        <f t="shared" si="141"/>
        <v>e</v>
      </c>
      <c r="U1281" t="s">
        <v>257</v>
      </c>
      <c r="V1281" t="s">
        <v>819</v>
      </c>
      <c r="W1281" t="s">
        <v>92</v>
      </c>
      <c r="X1281" t="s">
        <v>705</v>
      </c>
      <c r="Y1281" t="s">
        <v>746</v>
      </c>
      <c r="AA1281" t="s">
        <v>705</v>
      </c>
      <c r="AF1281" t="s">
        <v>623</v>
      </c>
      <c r="AM1281" t="str">
        <f t="shared" si="144"/>
        <v>Zone_Entry_Exit</v>
      </c>
      <c r="AN1281" t="str">
        <f t="shared" si="145"/>
        <v>Zone_ExitFailed</v>
      </c>
      <c r="AP1281" t="str">
        <f t="shared" si="146"/>
        <v>Offensive</v>
      </c>
      <c r="BB1281" s="23"/>
      <c r="BD1281" s="21"/>
      <c r="BE1281" s="21"/>
      <c r="BF1281" s="21"/>
      <c r="BG1281" s="21"/>
      <c r="BH1281" s="21"/>
      <c r="BI1281" s="21"/>
    </row>
    <row r="1282" spans="1:61" x14ac:dyDescent="0.2">
      <c r="A1282">
        <v>680</v>
      </c>
      <c r="B1282">
        <v>114</v>
      </c>
      <c r="C1282">
        <f t="shared" si="142"/>
        <v>9114</v>
      </c>
      <c r="D1282">
        <f t="shared" si="147"/>
        <v>9114</v>
      </c>
      <c r="H1282">
        <f t="shared" si="143"/>
        <v>2</v>
      </c>
      <c r="I1282" s="5" t="s">
        <v>732</v>
      </c>
      <c r="J1282" s="5" t="s">
        <v>786</v>
      </c>
      <c r="Q1282" t="s">
        <v>620</v>
      </c>
      <c r="R1282">
        <v>22</v>
      </c>
      <c r="S1282">
        <v>1</v>
      </c>
      <c r="T1282" t="str">
        <f t="shared" si="141"/>
        <v>e</v>
      </c>
      <c r="U1282" t="s">
        <v>10</v>
      </c>
      <c r="V1282" t="s">
        <v>190</v>
      </c>
      <c r="W1282" t="s">
        <v>398</v>
      </c>
      <c r="AF1282" t="s">
        <v>623</v>
      </c>
      <c r="AM1282" t="str">
        <f t="shared" si="144"/>
        <v>Turnover</v>
      </c>
      <c r="AN1282" t="str">
        <f t="shared" si="145"/>
        <v>Turnover_Giveaway</v>
      </c>
      <c r="AP1282" t="str">
        <f t="shared" si="146"/>
        <v>Offensive</v>
      </c>
      <c r="BB1282" s="23"/>
      <c r="BD1282" s="21"/>
      <c r="BE1282" s="21"/>
      <c r="BF1282" s="21"/>
      <c r="BG1282" s="21"/>
      <c r="BH1282" s="21"/>
      <c r="BI1282" s="21"/>
    </row>
    <row r="1283" spans="1:61" x14ac:dyDescent="0.2">
      <c r="A1283">
        <v>681</v>
      </c>
      <c r="B1283">
        <v>115</v>
      </c>
      <c r="C1283">
        <f t="shared" si="142"/>
        <v>9115</v>
      </c>
      <c r="D1283">
        <f t="shared" si="147"/>
        <v>9115</v>
      </c>
      <c r="H1283">
        <f t="shared" si="143"/>
        <v>2</v>
      </c>
      <c r="I1283" s="5" t="s">
        <v>448</v>
      </c>
      <c r="J1283" s="5" t="s">
        <v>896</v>
      </c>
      <c r="Q1283" t="s">
        <v>619</v>
      </c>
      <c r="R1283">
        <v>4</v>
      </c>
      <c r="S1283">
        <v>1</v>
      </c>
      <c r="T1283" t="str">
        <f t="shared" ref="T1283:T1346" si="148">IF(S1283="x","",IF(S1283=1,"e","o"))</f>
        <v>e</v>
      </c>
      <c r="U1283" t="s">
        <v>257</v>
      </c>
      <c r="V1283" t="s">
        <v>210</v>
      </c>
      <c r="W1283" t="s">
        <v>93</v>
      </c>
      <c r="X1283" t="s">
        <v>706</v>
      </c>
      <c r="AF1283" t="s">
        <v>401</v>
      </c>
      <c r="AM1283" t="str">
        <f t="shared" si="144"/>
        <v>Zone_Entry_Exit</v>
      </c>
      <c r="AN1283" t="str">
        <f t="shared" si="145"/>
        <v>Zone_Keepin</v>
      </c>
      <c r="AP1283" t="str">
        <f t="shared" si="146"/>
        <v>Offensive</v>
      </c>
      <c r="BB1283" s="23"/>
      <c r="BD1283" s="21"/>
      <c r="BE1283" s="21"/>
      <c r="BF1283" s="21"/>
      <c r="BG1283" s="21"/>
      <c r="BH1283" s="21"/>
      <c r="BI1283" s="21"/>
    </row>
    <row r="1284" spans="1:61" x14ac:dyDescent="0.2">
      <c r="A1284">
        <v>682</v>
      </c>
      <c r="B1284">
        <v>115</v>
      </c>
      <c r="C1284">
        <f t="shared" ref="C1284:C1347" si="149">IF(B1284&lt;&gt;"",9000+B1284,"")</f>
        <v>9115</v>
      </c>
      <c r="D1284">
        <f t="shared" si="147"/>
        <v>9115</v>
      </c>
      <c r="H1284">
        <f t="shared" si="143"/>
        <v>2</v>
      </c>
      <c r="I1284" s="5" t="s">
        <v>448</v>
      </c>
      <c r="J1284" s="5" t="s">
        <v>896</v>
      </c>
      <c r="Q1284" t="s">
        <v>619</v>
      </c>
      <c r="R1284">
        <v>4</v>
      </c>
      <c r="S1284">
        <v>1</v>
      </c>
      <c r="T1284" t="str">
        <f t="shared" si="148"/>
        <v>e</v>
      </c>
      <c r="U1284" t="s">
        <v>15</v>
      </c>
      <c r="V1284" t="s">
        <v>697</v>
      </c>
      <c r="X1284" t="s">
        <v>705</v>
      </c>
      <c r="Y1284" t="s">
        <v>720</v>
      </c>
      <c r="AA1284" t="s">
        <v>705</v>
      </c>
      <c r="AF1284" t="s">
        <v>401</v>
      </c>
      <c r="AM1284" t="str">
        <f t="shared" si="144"/>
        <v>Possession</v>
      </c>
      <c r="AN1284" t="str">
        <f t="shared" si="145"/>
        <v>PuckRetrieval</v>
      </c>
      <c r="AP1284" t="str">
        <f t="shared" si="146"/>
        <v>Offensive</v>
      </c>
      <c r="BB1284" s="23"/>
      <c r="BD1284" s="21"/>
      <c r="BE1284" s="21"/>
      <c r="BF1284" s="21"/>
      <c r="BG1284" s="21"/>
      <c r="BH1284" s="21"/>
      <c r="BI1284" s="21"/>
    </row>
    <row r="1285" spans="1:61" x14ac:dyDescent="0.2">
      <c r="A1285">
        <v>683</v>
      </c>
      <c r="B1285" t="s">
        <v>887</v>
      </c>
      <c r="C1285" t="str">
        <f t="shared" si="149"/>
        <v/>
      </c>
      <c r="D1285" t="str">
        <f t="shared" si="147"/>
        <v/>
      </c>
      <c r="H1285">
        <f t="shared" ref="H1285:H1348" si="150">IF(U1285="Intermission",H1284+1,H1284)</f>
        <v>2</v>
      </c>
      <c r="I1285" s="5" t="s">
        <v>448</v>
      </c>
      <c r="J1285" s="5" t="s">
        <v>638</v>
      </c>
      <c r="Q1285" t="s">
        <v>619</v>
      </c>
      <c r="R1285">
        <v>4</v>
      </c>
      <c r="S1285">
        <v>1</v>
      </c>
      <c r="T1285" t="str">
        <f t="shared" si="148"/>
        <v>e</v>
      </c>
      <c r="U1285" t="s">
        <v>8</v>
      </c>
      <c r="V1285" t="s">
        <v>199</v>
      </c>
      <c r="W1285" t="s">
        <v>70</v>
      </c>
      <c r="X1285" t="s">
        <v>705</v>
      </c>
      <c r="Y1285" t="s">
        <v>814</v>
      </c>
      <c r="AF1285" t="s">
        <v>401</v>
      </c>
      <c r="AM1285" t="str">
        <f t="shared" ref="AM1285:AM1348" si="151">IF(U1285&lt;&gt;"",U1285,IF($A1285=$A1284,AM1284,""))</f>
        <v>Pass</v>
      </c>
      <c r="AN1285" t="str">
        <f t="shared" ref="AN1285:AN1348" si="152">IF(V1285&lt;&gt;"",V1285,IF($A1285=$A1284,AN1284,""))</f>
        <v>Pass_Missed</v>
      </c>
      <c r="AP1285" t="str">
        <f t="shared" si="146"/>
        <v>Offensive</v>
      </c>
      <c r="BB1285" s="23"/>
      <c r="BD1285" s="21"/>
      <c r="BE1285" s="21"/>
      <c r="BF1285" s="21"/>
      <c r="BG1285" s="21"/>
      <c r="BH1285" s="21"/>
      <c r="BI1285" s="21"/>
    </row>
    <row r="1286" spans="1:61" x14ac:dyDescent="0.2">
      <c r="A1286">
        <v>683</v>
      </c>
      <c r="B1286" t="s">
        <v>887</v>
      </c>
      <c r="C1286" t="str">
        <f t="shared" si="149"/>
        <v/>
      </c>
      <c r="D1286" t="str">
        <f t="shared" si="147"/>
        <v/>
      </c>
      <c r="H1286">
        <f t="shared" si="150"/>
        <v>2</v>
      </c>
      <c r="R1286">
        <v>13</v>
      </c>
      <c r="S1286">
        <v>1</v>
      </c>
      <c r="T1286" t="str">
        <f t="shared" si="148"/>
        <v>e</v>
      </c>
      <c r="AF1286" t="s">
        <v>401</v>
      </c>
      <c r="AM1286" t="str">
        <f t="shared" si="151"/>
        <v>Pass</v>
      </c>
      <c r="AN1286" t="str">
        <f t="shared" si="152"/>
        <v>Pass_Missed</v>
      </c>
      <c r="AP1286" t="str">
        <f t="shared" ref="AP1286:AP1349" si="153">IF(AND(T1286="e",OR(AM1286="Save",AN1286="Turnover_Takeaway",AN1286="Play_Defensive")),"Defensive",IF(AND(T1286="o",OR(AM1286="Save",AN1286="Turnover_Takeaway",AN1286="Play_Defensive")),"Offensive",IF(OR(AM1286="Deadice",AM1286="Stoppage",AM1286="Intermission"),"",IF(T1286="e","Offensive",IF(T1286="o","Defensive","")))))</f>
        <v>Offensive</v>
      </c>
      <c r="BB1286" s="23"/>
      <c r="BD1286" s="21"/>
      <c r="BE1286" s="21"/>
      <c r="BF1286" s="21"/>
      <c r="BG1286" s="21"/>
      <c r="BH1286" s="21"/>
      <c r="BI1286" s="21"/>
    </row>
    <row r="1287" spans="1:61" x14ac:dyDescent="0.2">
      <c r="A1287">
        <v>684</v>
      </c>
      <c r="B1287" t="s">
        <v>887</v>
      </c>
      <c r="C1287" t="str">
        <f t="shared" si="149"/>
        <v/>
      </c>
      <c r="D1287" t="str">
        <f t="shared" si="147"/>
        <v/>
      </c>
      <c r="H1287">
        <f t="shared" si="150"/>
        <v>2</v>
      </c>
      <c r="I1287" s="5" t="s">
        <v>448</v>
      </c>
      <c r="J1287" s="5" t="s">
        <v>750</v>
      </c>
      <c r="Q1287" t="s">
        <v>620</v>
      </c>
      <c r="R1287">
        <v>22</v>
      </c>
      <c r="S1287">
        <v>1</v>
      </c>
      <c r="T1287" t="str">
        <f t="shared" si="148"/>
        <v>e</v>
      </c>
      <c r="U1287" t="s">
        <v>15</v>
      </c>
      <c r="V1287" t="s">
        <v>697</v>
      </c>
      <c r="X1287" t="s">
        <v>706</v>
      </c>
      <c r="Y1287" t="s">
        <v>725</v>
      </c>
      <c r="AA1287" t="s">
        <v>706</v>
      </c>
      <c r="AF1287" t="s">
        <v>623</v>
      </c>
      <c r="AJ1287">
        <v>1</v>
      </c>
      <c r="AM1287" t="str">
        <f t="shared" si="151"/>
        <v>Possession</v>
      </c>
      <c r="AN1287" t="str">
        <f t="shared" si="152"/>
        <v>PuckRetrieval</v>
      </c>
      <c r="AP1287" t="str">
        <f t="shared" si="153"/>
        <v>Offensive</v>
      </c>
      <c r="BB1287" s="23"/>
      <c r="BD1287" s="21"/>
      <c r="BE1287" s="21"/>
      <c r="BF1287" s="21"/>
      <c r="BG1287" s="21"/>
      <c r="BH1287" s="21"/>
      <c r="BI1287" s="21"/>
    </row>
    <row r="1288" spans="1:61" x14ac:dyDescent="0.2">
      <c r="A1288">
        <v>684</v>
      </c>
      <c r="B1288" t="s">
        <v>887</v>
      </c>
      <c r="C1288" t="str">
        <f t="shared" si="149"/>
        <v/>
      </c>
      <c r="D1288" t="str">
        <f t="shared" si="147"/>
        <v/>
      </c>
      <c r="H1288">
        <f t="shared" si="150"/>
        <v>2</v>
      </c>
      <c r="R1288">
        <v>13</v>
      </c>
      <c r="T1288" t="str">
        <f t="shared" si="148"/>
        <v>o</v>
      </c>
      <c r="Y1288" t="s">
        <v>853</v>
      </c>
      <c r="AA1288" t="s">
        <v>705</v>
      </c>
      <c r="AJ1288">
        <v>1</v>
      </c>
      <c r="AM1288" t="str">
        <f t="shared" si="151"/>
        <v>Possession</v>
      </c>
      <c r="AN1288" t="str">
        <f t="shared" si="152"/>
        <v>PuckRetrieval</v>
      </c>
      <c r="AP1288" t="str">
        <f t="shared" si="153"/>
        <v>Defensive</v>
      </c>
      <c r="BB1288" s="23"/>
      <c r="BD1288" s="21"/>
      <c r="BE1288" s="21"/>
      <c r="BF1288" s="21"/>
      <c r="BG1288" s="21"/>
      <c r="BH1288" s="21"/>
      <c r="BI1288" s="21"/>
    </row>
    <row r="1289" spans="1:61" x14ac:dyDescent="0.2">
      <c r="A1289">
        <v>685</v>
      </c>
      <c r="B1289" t="s">
        <v>887</v>
      </c>
      <c r="C1289" t="str">
        <f t="shared" si="149"/>
        <v/>
      </c>
      <c r="D1289" t="str">
        <f t="shared" ref="D1289:D1352" si="154">IF(C1289&lt;&gt;"",C1289,B1289)</f>
        <v/>
      </c>
      <c r="H1289">
        <f t="shared" si="150"/>
        <v>2</v>
      </c>
      <c r="I1289" s="5" t="s">
        <v>448</v>
      </c>
      <c r="J1289" s="5" t="s">
        <v>750</v>
      </c>
      <c r="Q1289" t="s">
        <v>620</v>
      </c>
      <c r="R1289">
        <v>22</v>
      </c>
      <c r="S1289">
        <v>1</v>
      </c>
      <c r="T1289" t="str">
        <f t="shared" si="148"/>
        <v>e</v>
      </c>
      <c r="U1289" t="s">
        <v>8</v>
      </c>
      <c r="V1289" t="s">
        <v>189</v>
      </c>
      <c r="W1289" t="s">
        <v>71</v>
      </c>
      <c r="X1289" t="s">
        <v>706</v>
      </c>
      <c r="Y1289" t="s">
        <v>814</v>
      </c>
      <c r="AA1289" t="s">
        <v>706</v>
      </c>
      <c r="AF1289" t="s">
        <v>623</v>
      </c>
      <c r="AJ1289">
        <v>1</v>
      </c>
      <c r="AM1289" t="str">
        <f t="shared" si="151"/>
        <v>Pass</v>
      </c>
      <c r="AN1289" t="str">
        <f t="shared" si="152"/>
        <v>Pass_Completed</v>
      </c>
      <c r="AP1289" t="str">
        <f t="shared" si="153"/>
        <v>Offensive</v>
      </c>
      <c r="BB1289" s="23"/>
      <c r="BD1289" s="21"/>
      <c r="BE1289" s="21"/>
      <c r="BF1289" s="21"/>
      <c r="BG1289" s="21"/>
      <c r="BH1289" s="21"/>
      <c r="BI1289" s="21"/>
    </row>
    <row r="1290" spans="1:61" x14ac:dyDescent="0.2">
      <c r="A1290">
        <v>685</v>
      </c>
      <c r="B1290" t="s">
        <v>887</v>
      </c>
      <c r="C1290" t="str">
        <f t="shared" si="149"/>
        <v/>
      </c>
      <c r="D1290" t="str">
        <f t="shared" si="154"/>
        <v/>
      </c>
      <c r="H1290">
        <f t="shared" si="150"/>
        <v>2</v>
      </c>
      <c r="R1290">
        <v>61</v>
      </c>
      <c r="S1290">
        <v>1</v>
      </c>
      <c r="T1290" t="str">
        <f t="shared" si="148"/>
        <v>e</v>
      </c>
      <c r="AM1290" t="str">
        <f t="shared" si="151"/>
        <v>Pass</v>
      </c>
      <c r="AN1290" t="str">
        <f t="shared" si="152"/>
        <v>Pass_Completed</v>
      </c>
      <c r="AP1290" t="str">
        <f t="shared" si="153"/>
        <v>Offensive</v>
      </c>
      <c r="BB1290" s="23"/>
      <c r="BD1290" s="21"/>
      <c r="BE1290" s="21"/>
      <c r="BF1290" s="21"/>
      <c r="BG1290" s="21"/>
      <c r="BH1290" s="21"/>
      <c r="BI1290" s="21"/>
    </row>
    <row r="1291" spans="1:61" x14ac:dyDescent="0.2">
      <c r="A1291">
        <v>685</v>
      </c>
      <c r="B1291" t="s">
        <v>887</v>
      </c>
      <c r="C1291" t="str">
        <f t="shared" si="149"/>
        <v/>
      </c>
      <c r="D1291" t="str">
        <f t="shared" si="154"/>
        <v/>
      </c>
      <c r="H1291">
        <f t="shared" si="150"/>
        <v>2</v>
      </c>
      <c r="R1291">
        <v>13</v>
      </c>
      <c r="T1291" t="str">
        <f t="shared" si="148"/>
        <v>o</v>
      </c>
      <c r="Y1291" t="s">
        <v>715</v>
      </c>
      <c r="AJ1291">
        <v>1</v>
      </c>
      <c r="AM1291" t="str">
        <f t="shared" si="151"/>
        <v>Pass</v>
      </c>
      <c r="AN1291" t="str">
        <f t="shared" si="152"/>
        <v>Pass_Completed</v>
      </c>
      <c r="AP1291" t="str">
        <f t="shared" si="153"/>
        <v>Defensive</v>
      </c>
      <c r="BB1291" s="23"/>
      <c r="BD1291" s="21"/>
      <c r="BE1291" s="21"/>
      <c r="BF1291" s="21"/>
      <c r="BG1291" s="21"/>
      <c r="BH1291" s="21"/>
      <c r="BI1291" s="21"/>
    </row>
    <row r="1292" spans="1:61" x14ac:dyDescent="0.2">
      <c r="A1292">
        <v>686</v>
      </c>
      <c r="B1292">
        <v>116</v>
      </c>
      <c r="C1292">
        <f t="shared" si="149"/>
        <v>9116</v>
      </c>
      <c r="D1292">
        <f t="shared" si="154"/>
        <v>9116</v>
      </c>
      <c r="H1292">
        <f t="shared" si="150"/>
        <v>2</v>
      </c>
      <c r="I1292" s="5" t="s">
        <v>448</v>
      </c>
      <c r="J1292" s="5" t="s">
        <v>637</v>
      </c>
      <c r="Q1292" t="s">
        <v>620</v>
      </c>
      <c r="R1292">
        <v>61</v>
      </c>
      <c r="S1292">
        <v>1</v>
      </c>
      <c r="T1292" t="str">
        <f t="shared" si="148"/>
        <v>e</v>
      </c>
      <c r="U1292" t="s">
        <v>8</v>
      </c>
      <c r="V1292" t="s">
        <v>189</v>
      </c>
      <c r="W1292" t="s">
        <v>70</v>
      </c>
      <c r="X1292" t="s">
        <v>706</v>
      </c>
      <c r="Y1292" t="s">
        <v>814</v>
      </c>
      <c r="AA1292" t="s">
        <v>706</v>
      </c>
      <c r="AF1292" t="s">
        <v>623</v>
      </c>
      <c r="AM1292" t="str">
        <f t="shared" si="151"/>
        <v>Pass</v>
      </c>
      <c r="AN1292" t="str">
        <f t="shared" si="152"/>
        <v>Pass_Completed</v>
      </c>
      <c r="AP1292" t="str">
        <f t="shared" si="153"/>
        <v>Offensive</v>
      </c>
      <c r="BB1292" s="23"/>
      <c r="BD1292" s="21"/>
      <c r="BE1292" s="21"/>
      <c r="BF1292" s="21"/>
      <c r="BG1292" s="21"/>
      <c r="BH1292" s="21"/>
      <c r="BI1292" s="21"/>
    </row>
    <row r="1293" spans="1:61" x14ac:dyDescent="0.2">
      <c r="A1293">
        <v>686</v>
      </c>
      <c r="B1293">
        <v>116</v>
      </c>
      <c r="C1293">
        <f t="shared" si="149"/>
        <v>9116</v>
      </c>
      <c r="D1293">
        <f t="shared" si="154"/>
        <v>9116</v>
      </c>
      <c r="H1293">
        <f t="shared" si="150"/>
        <v>2</v>
      </c>
      <c r="R1293">
        <v>24</v>
      </c>
      <c r="S1293">
        <v>1</v>
      </c>
      <c r="T1293" t="str">
        <f t="shared" si="148"/>
        <v>e</v>
      </c>
      <c r="AM1293" t="str">
        <f t="shared" si="151"/>
        <v>Pass</v>
      </c>
      <c r="AN1293" t="str">
        <f t="shared" si="152"/>
        <v>Pass_Completed</v>
      </c>
      <c r="AP1293" t="str">
        <f t="shared" si="153"/>
        <v>Offensive</v>
      </c>
      <c r="BB1293" s="23"/>
      <c r="BD1293" s="21"/>
      <c r="BE1293" s="21"/>
      <c r="BF1293" s="21"/>
      <c r="BG1293" s="21"/>
      <c r="BH1293" s="21"/>
      <c r="BI1293" s="21"/>
    </row>
    <row r="1294" spans="1:61" x14ac:dyDescent="0.2">
      <c r="A1294">
        <v>687</v>
      </c>
      <c r="B1294">
        <v>116</v>
      </c>
      <c r="C1294">
        <f t="shared" si="149"/>
        <v>9116</v>
      </c>
      <c r="D1294">
        <f t="shared" si="154"/>
        <v>9116</v>
      </c>
      <c r="H1294">
        <f t="shared" si="150"/>
        <v>2</v>
      </c>
      <c r="I1294" s="5" t="s">
        <v>448</v>
      </c>
      <c r="J1294" s="5" t="s">
        <v>637</v>
      </c>
      <c r="Q1294" t="s">
        <v>620</v>
      </c>
      <c r="R1294">
        <v>61</v>
      </c>
      <c r="S1294">
        <v>1</v>
      </c>
      <c r="T1294" t="str">
        <f t="shared" si="148"/>
        <v>e</v>
      </c>
      <c r="U1294" t="s">
        <v>257</v>
      </c>
      <c r="V1294" t="s">
        <v>201</v>
      </c>
      <c r="W1294" t="s">
        <v>91</v>
      </c>
      <c r="X1294" t="s">
        <v>706</v>
      </c>
      <c r="AF1294" t="s">
        <v>623</v>
      </c>
      <c r="AM1294" t="str">
        <f t="shared" si="151"/>
        <v>Zone_Entry_Exit</v>
      </c>
      <c r="AN1294" t="str">
        <f t="shared" si="152"/>
        <v>Zone_Exit</v>
      </c>
      <c r="AP1294" t="str">
        <f t="shared" si="153"/>
        <v>Offensive</v>
      </c>
      <c r="BB1294" s="23"/>
      <c r="BD1294" s="21"/>
      <c r="BE1294" s="21"/>
      <c r="BF1294" s="21"/>
      <c r="BG1294" s="21"/>
      <c r="BH1294" s="21"/>
      <c r="BI1294" s="21"/>
    </row>
    <row r="1295" spans="1:61" x14ac:dyDescent="0.2">
      <c r="A1295">
        <v>687</v>
      </c>
      <c r="B1295">
        <v>116</v>
      </c>
      <c r="C1295">
        <f t="shared" si="149"/>
        <v>9116</v>
      </c>
      <c r="D1295">
        <f t="shared" si="154"/>
        <v>9116</v>
      </c>
      <c r="H1295">
        <f t="shared" si="150"/>
        <v>2</v>
      </c>
      <c r="R1295">
        <v>24</v>
      </c>
      <c r="S1295">
        <v>1</v>
      </c>
      <c r="T1295" t="str">
        <f t="shared" si="148"/>
        <v>e</v>
      </c>
      <c r="AM1295" t="str">
        <f t="shared" si="151"/>
        <v>Zone_Entry_Exit</v>
      </c>
      <c r="AN1295" t="str">
        <f t="shared" si="152"/>
        <v>Zone_Exit</v>
      </c>
      <c r="AP1295" t="str">
        <f t="shared" si="153"/>
        <v>Offensive</v>
      </c>
      <c r="BB1295" s="23"/>
      <c r="BD1295" s="21"/>
      <c r="BE1295" s="21"/>
      <c r="BF1295" s="21"/>
      <c r="BG1295" s="21"/>
      <c r="BH1295" s="21"/>
      <c r="BI1295" s="21"/>
    </row>
    <row r="1296" spans="1:61" x14ac:dyDescent="0.2">
      <c r="A1296">
        <v>688</v>
      </c>
      <c r="B1296" t="s">
        <v>887</v>
      </c>
      <c r="C1296" t="str">
        <f t="shared" si="149"/>
        <v/>
      </c>
      <c r="D1296" t="str">
        <f t="shared" si="154"/>
        <v/>
      </c>
      <c r="H1296">
        <f t="shared" si="150"/>
        <v>2</v>
      </c>
      <c r="I1296" s="5" t="s">
        <v>448</v>
      </c>
      <c r="J1296" s="5" t="s">
        <v>788</v>
      </c>
      <c r="Q1296" t="s">
        <v>619</v>
      </c>
      <c r="R1296">
        <v>3</v>
      </c>
      <c r="S1296">
        <v>1</v>
      </c>
      <c r="T1296" t="str">
        <f t="shared" si="148"/>
        <v>e</v>
      </c>
      <c r="U1296" t="s">
        <v>247</v>
      </c>
      <c r="V1296" t="s">
        <v>422</v>
      </c>
      <c r="W1296" t="s">
        <v>467</v>
      </c>
      <c r="X1296" t="s">
        <v>706</v>
      </c>
      <c r="Y1296" t="s">
        <v>714</v>
      </c>
      <c r="AA1296" t="s">
        <v>706</v>
      </c>
      <c r="AF1296" t="s">
        <v>635</v>
      </c>
      <c r="AJ1296">
        <v>1</v>
      </c>
      <c r="AM1296" t="str">
        <f t="shared" si="151"/>
        <v>Play</v>
      </c>
      <c r="AN1296" t="str">
        <f t="shared" si="152"/>
        <v>Play_Defensive</v>
      </c>
      <c r="AP1296" t="str">
        <f t="shared" si="153"/>
        <v>Defensive</v>
      </c>
      <c r="BB1296" s="23"/>
      <c r="BD1296" s="21"/>
      <c r="BE1296" s="21"/>
      <c r="BF1296" s="21"/>
      <c r="BG1296" s="21"/>
      <c r="BH1296" s="21"/>
      <c r="BI1296" s="21"/>
    </row>
    <row r="1297" spans="1:61" x14ac:dyDescent="0.2">
      <c r="A1297">
        <v>688</v>
      </c>
      <c r="B1297" t="s">
        <v>887</v>
      </c>
      <c r="C1297" t="str">
        <f t="shared" si="149"/>
        <v/>
      </c>
      <c r="D1297" t="str">
        <f t="shared" si="154"/>
        <v/>
      </c>
      <c r="H1297">
        <f t="shared" si="150"/>
        <v>2</v>
      </c>
      <c r="R1297">
        <v>24</v>
      </c>
      <c r="T1297" t="str">
        <f t="shared" si="148"/>
        <v>o</v>
      </c>
      <c r="AJ1297">
        <v>1</v>
      </c>
      <c r="AM1297" t="str">
        <f t="shared" si="151"/>
        <v>Play</v>
      </c>
      <c r="AN1297" t="str">
        <f t="shared" si="152"/>
        <v>Play_Defensive</v>
      </c>
      <c r="AP1297" t="str">
        <f t="shared" si="153"/>
        <v>Offensive</v>
      </c>
      <c r="BB1297" s="23"/>
      <c r="BD1297" s="21"/>
      <c r="BE1297" s="21"/>
      <c r="BF1297" s="21"/>
      <c r="BG1297" s="21"/>
      <c r="BH1297" s="21"/>
      <c r="BI1297" s="21"/>
    </row>
    <row r="1298" spans="1:61" x14ac:dyDescent="0.2">
      <c r="A1298">
        <v>689</v>
      </c>
      <c r="B1298" t="s">
        <v>887</v>
      </c>
      <c r="C1298" t="str">
        <f t="shared" si="149"/>
        <v/>
      </c>
      <c r="D1298" t="str">
        <f t="shared" si="154"/>
        <v/>
      </c>
      <c r="H1298">
        <f t="shared" si="150"/>
        <v>2</v>
      </c>
      <c r="I1298" s="5" t="s">
        <v>448</v>
      </c>
      <c r="J1298" s="5" t="s">
        <v>639</v>
      </c>
      <c r="Q1298" t="s">
        <v>620</v>
      </c>
      <c r="R1298">
        <v>9</v>
      </c>
      <c r="S1298">
        <v>1</v>
      </c>
      <c r="T1298" t="str">
        <f t="shared" si="148"/>
        <v>e</v>
      </c>
      <c r="U1298" t="s">
        <v>15</v>
      </c>
      <c r="V1298" t="s">
        <v>698</v>
      </c>
      <c r="X1298" t="s">
        <v>706</v>
      </c>
      <c r="Y1298" t="s">
        <v>752</v>
      </c>
      <c r="AA1298" t="s">
        <v>706</v>
      </c>
      <c r="AF1298" t="s">
        <v>635</v>
      </c>
      <c r="AJ1298">
        <v>1</v>
      </c>
      <c r="AM1298" t="str">
        <f t="shared" si="151"/>
        <v>Possession</v>
      </c>
      <c r="AN1298" t="str">
        <f t="shared" si="152"/>
        <v>PuckRecovery</v>
      </c>
      <c r="AP1298" t="str">
        <f t="shared" si="153"/>
        <v>Offensive</v>
      </c>
      <c r="BB1298" s="23"/>
      <c r="BD1298" s="21"/>
      <c r="BE1298" s="21"/>
      <c r="BF1298" s="21"/>
      <c r="BG1298" s="21"/>
      <c r="BH1298" s="21"/>
      <c r="BI1298" s="21"/>
    </row>
    <row r="1299" spans="1:61" x14ac:dyDescent="0.2">
      <c r="A1299">
        <v>689</v>
      </c>
      <c r="B1299" t="s">
        <v>887</v>
      </c>
      <c r="C1299" t="str">
        <f t="shared" si="149"/>
        <v/>
      </c>
      <c r="D1299" t="str">
        <f t="shared" si="154"/>
        <v/>
      </c>
      <c r="H1299">
        <f t="shared" si="150"/>
        <v>2</v>
      </c>
      <c r="R1299">
        <v>56</v>
      </c>
      <c r="T1299" t="str">
        <f t="shared" si="148"/>
        <v>o</v>
      </c>
      <c r="Y1299" t="s">
        <v>847</v>
      </c>
      <c r="AA1299" t="s">
        <v>705</v>
      </c>
      <c r="AJ1299">
        <v>1</v>
      </c>
      <c r="AM1299" t="str">
        <f t="shared" si="151"/>
        <v>Possession</v>
      </c>
      <c r="AN1299" t="str">
        <f t="shared" si="152"/>
        <v>PuckRecovery</v>
      </c>
      <c r="AP1299" t="str">
        <f t="shared" si="153"/>
        <v>Defensive</v>
      </c>
      <c r="BB1299" s="23"/>
      <c r="BD1299" s="21"/>
      <c r="BE1299" s="21"/>
      <c r="BF1299" s="21"/>
      <c r="BG1299" s="21"/>
      <c r="BH1299" s="21"/>
      <c r="BI1299" s="21"/>
    </row>
    <row r="1300" spans="1:61" x14ac:dyDescent="0.2">
      <c r="A1300">
        <v>690</v>
      </c>
      <c r="B1300" t="s">
        <v>887</v>
      </c>
      <c r="C1300" t="str">
        <f t="shared" si="149"/>
        <v/>
      </c>
      <c r="D1300" t="str">
        <f t="shared" si="154"/>
        <v/>
      </c>
      <c r="H1300">
        <f t="shared" si="150"/>
        <v>2</v>
      </c>
      <c r="I1300" s="5" t="s">
        <v>448</v>
      </c>
      <c r="J1300" s="5" t="s">
        <v>639</v>
      </c>
      <c r="Q1300" t="s">
        <v>620</v>
      </c>
      <c r="R1300">
        <v>9</v>
      </c>
      <c r="S1300">
        <v>1</v>
      </c>
      <c r="T1300" t="str">
        <f t="shared" si="148"/>
        <v>e</v>
      </c>
      <c r="U1300" t="s">
        <v>8</v>
      </c>
      <c r="V1300" t="s">
        <v>189</v>
      </c>
      <c r="W1300" t="s">
        <v>70</v>
      </c>
      <c r="X1300" t="s">
        <v>706</v>
      </c>
      <c r="Y1300" t="s">
        <v>814</v>
      </c>
      <c r="AF1300" t="s">
        <v>635</v>
      </c>
      <c r="AJ1300">
        <v>1</v>
      </c>
      <c r="AM1300" t="str">
        <f t="shared" si="151"/>
        <v>Pass</v>
      </c>
      <c r="AN1300" t="str">
        <f t="shared" si="152"/>
        <v>Pass_Completed</v>
      </c>
      <c r="AP1300" t="str">
        <f t="shared" si="153"/>
        <v>Offensive</v>
      </c>
      <c r="BB1300" s="23"/>
      <c r="BD1300" s="21"/>
      <c r="BE1300" s="21"/>
      <c r="BF1300" s="21"/>
      <c r="BG1300" s="21"/>
      <c r="BH1300" s="21"/>
      <c r="BI1300" s="21"/>
    </row>
    <row r="1301" spans="1:61" x14ac:dyDescent="0.2">
      <c r="A1301">
        <v>690</v>
      </c>
      <c r="B1301" t="s">
        <v>887</v>
      </c>
      <c r="C1301" t="str">
        <f t="shared" si="149"/>
        <v/>
      </c>
      <c r="D1301" t="str">
        <f t="shared" si="154"/>
        <v/>
      </c>
      <c r="H1301">
        <f t="shared" si="150"/>
        <v>2</v>
      </c>
      <c r="R1301">
        <v>42</v>
      </c>
      <c r="S1301">
        <v>1</v>
      </c>
      <c r="T1301" t="str">
        <f t="shared" si="148"/>
        <v>e</v>
      </c>
      <c r="AM1301" t="str">
        <f t="shared" si="151"/>
        <v>Pass</v>
      </c>
      <c r="AN1301" t="str">
        <f t="shared" si="152"/>
        <v>Pass_Completed</v>
      </c>
      <c r="AP1301" t="str">
        <f t="shared" si="153"/>
        <v>Offensive</v>
      </c>
      <c r="BB1301" s="23"/>
      <c r="BD1301" s="21"/>
      <c r="BE1301" s="21"/>
      <c r="BF1301" s="21"/>
      <c r="BG1301" s="21"/>
      <c r="BH1301" s="21"/>
      <c r="BI1301" s="21"/>
    </row>
    <row r="1302" spans="1:61" x14ac:dyDescent="0.2">
      <c r="A1302">
        <v>690</v>
      </c>
      <c r="B1302" t="s">
        <v>887</v>
      </c>
      <c r="C1302" t="str">
        <f t="shared" si="149"/>
        <v/>
      </c>
      <c r="D1302" t="str">
        <f t="shared" si="154"/>
        <v/>
      </c>
      <c r="H1302">
        <f t="shared" si="150"/>
        <v>2</v>
      </c>
      <c r="R1302">
        <v>56</v>
      </c>
      <c r="T1302" t="str">
        <f t="shared" si="148"/>
        <v>o</v>
      </c>
      <c r="AJ1302">
        <v>1</v>
      </c>
      <c r="AM1302" t="str">
        <f t="shared" si="151"/>
        <v>Pass</v>
      </c>
      <c r="AN1302" t="str">
        <f t="shared" si="152"/>
        <v>Pass_Completed</v>
      </c>
      <c r="AP1302" t="str">
        <f t="shared" si="153"/>
        <v>Defensive</v>
      </c>
      <c r="BB1302" s="23"/>
      <c r="BD1302" s="21"/>
      <c r="BE1302" s="21"/>
      <c r="BF1302" s="21"/>
      <c r="BG1302" s="21"/>
      <c r="BH1302" s="21"/>
      <c r="BI1302" s="21"/>
    </row>
    <row r="1303" spans="1:61" x14ac:dyDescent="0.2">
      <c r="A1303">
        <v>691</v>
      </c>
      <c r="B1303" t="s">
        <v>887</v>
      </c>
      <c r="C1303" t="str">
        <f t="shared" si="149"/>
        <v/>
      </c>
      <c r="D1303" t="str">
        <f t="shared" si="154"/>
        <v/>
      </c>
      <c r="H1303">
        <f t="shared" si="150"/>
        <v>2</v>
      </c>
      <c r="I1303" s="5" t="s">
        <v>448</v>
      </c>
      <c r="J1303" s="5" t="s">
        <v>753</v>
      </c>
      <c r="K1303" s="5" t="s">
        <v>448</v>
      </c>
      <c r="L1303" s="7" t="s">
        <v>672</v>
      </c>
      <c r="Q1303" t="s">
        <v>620</v>
      </c>
      <c r="R1303">
        <v>42</v>
      </c>
      <c r="S1303">
        <v>1</v>
      </c>
      <c r="T1303" t="str">
        <f t="shared" si="148"/>
        <v>e</v>
      </c>
      <c r="U1303" t="s">
        <v>15</v>
      </c>
      <c r="V1303" t="s">
        <v>684</v>
      </c>
      <c r="AF1303" t="s">
        <v>635</v>
      </c>
      <c r="AM1303" t="str">
        <f t="shared" si="151"/>
        <v>Possession</v>
      </c>
      <c r="AN1303" t="str">
        <f t="shared" si="152"/>
        <v>Regroup</v>
      </c>
      <c r="AP1303" t="str">
        <f t="shared" si="153"/>
        <v>Offensive</v>
      </c>
      <c r="BB1303" s="23"/>
      <c r="BD1303" s="21"/>
      <c r="BE1303" s="21"/>
      <c r="BF1303" s="21"/>
      <c r="BG1303" s="21"/>
      <c r="BH1303" s="21"/>
      <c r="BI1303" s="21"/>
    </row>
    <row r="1304" spans="1:61" x14ac:dyDescent="0.2">
      <c r="A1304">
        <v>691</v>
      </c>
      <c r="B1304">
        <v>117</v>
      </c>
      <c r="C1304">
        <f t="shared" si="149"/>
        <v>9117</v>
      </c>
      <c r="D1304">
        <f t="shared" si="154"/>
        <v>9117</v>
      </c>
      <c r="H1304">
        <f t="shared" si="150"/>
        <v>2</v>
      </c>
      <c r="I1304" s="5" t="s">
        <v>448</v>
      </c>
      <c r="J1304" s="5" t="s">
        <v>682</v>
      </c>
      <c r="Q1304" t="s">
        <v>620</v>
      </c>
      <c r="R1304">
        <v>42</v>
      </c>
      <c r="S1304">
        <v>1</v>
      </c>
      <c r="T1304" t="str">
        <f t="shared" si="148"/>
        <v>e</v>
      </c>
      <c r="U1304" t="s">
        <v>13</v>
      </c>
      <c r="V1304" t="s">
        <v>204</v>
      </c>
      <c r="W1304" t="s">
        <v>108</v>
      </c>
      <c r="AF1304" t="s">
        <v>635</v>
      </c>
      <c r="AM1304" t="str">
        <f t="shared" si="151"/>
        <v>Stoppage</v>
      </c>
      <c r="AN1304" t="str">
        <f t="shared" si="152"/>
        <v>Stoppage_Play</v>
      </c>
      <c r="AP1304" t="str">
        <f t="shared" si="153"/>
        <v/>
      </c>
      <c r="BB1304" s="23"/>
      <c r="BD1304" s="21"/>
      <c r="BE1304" s="21"/>
      <c r="BF1304" s="21"/>
      <c r="BG1304" s="21"/>
      <c r="BH1304" s="21"/>
      <c r="BI1304" s="21"/>
    </row>
    <row r="1305" spans="1:61" x14ac:dyDescent="0.2">
      <c r="A1305">
        <v>693</v>
      </c>
      <c r="B1305">
        <v>117</v>
      </c>
      <c r="C1305">
        <f t="shared" si="149"/>
        <v>9117</v>
      </c>
      <c r="D1305">
        <f t="shared" si="154"/>
        <v>9117</v>
      </c>
      <c r="H1305">
        <f t="shared" si="150"/>
        <v>2</v>
      </c>
      <c r="I1305" s="5" t="s">
        <v>448</v>
      </c>
      <c r="J1305" s="5" t="s">
        <v>682</v>
      </c>
      <c r="K1305" s="5" t="s">
        <v>448</v>
      </c>
      <c r="L1305" s="7" t="s">
        <v>759</v>
      </c>
      <c r="Q1305" t="s">
        <v>620</v>
      </c>
      <c r="R1305">
        <v>42</v>
      </c>
      <c r="S1305">
        <v>1</v>
      </c>
      <c r="T1305" t="str">
        <f t="shared" si="148"/>
        <v>e</v>
      </c>
      <c r="U1305" t="s">
        <v>262</v>
      </c>
      <c r="AF1305" t="s">
        <v>635</v>
      </c>
      <c r="AM1305" t="str">
        <f t="shared" si="151"/>
        <v>DeadIce</v>
      </c>
      <c r="AN1305" t="str">
        <f t="shared" si="152"/>
        <v/>
      </c>
      <c r="AP1305" t="str">
        <f t="shared" si="153"/>
        <v/>
      </c>
      <c r="BB1305" s="23"/>
      <c r="BD1305" s="21"/>
      <c r="BE1305" s="21"/>
      <c r="BF1305" s="21"/>
      <c r="BG1305" s="21"/>
      <c r="BH1305" s="21"/>
      <c r="BI1305" s="21"/>
    </row>
    <row r="1306" spans="1:61" x14ac:dyDescent="0.2">
      <c r="A1306">
        <v>694</v>
      </c>
      <c r="B1306" t="s">
        <v>887</v>
      </c>
      <c r="C1306" t="str">
        <f t="shared" si="149"/>
        <v/>
      </c>
      <c r="D1306" t="str">
        <f t="shared" si="154"/>
        <v/>
      </c>
      <c r="H1306">
        <f t="shared" si="150"/>
        <v>2</v>
      </c>
      <c r="I1306" s="5" t="s">
        <v>448</v>
      </c>
      <c r="J1306" s="5" t="s">
        <v>759</v>
      </c>
      <c r="Q1306" t="s">
        <v>620</v>
      </c>
      <c r="R1306">
        <v>42</v>
      </c>
      <c r="S1306">
        <v>1</v>
      </c>
      <c r="T1306" t="str">
        <f t="shared" si="148"/>
        <v>e</v>
      </c>
      <c r="U1306" t="s">
        <v>6</v>
      </c>
      <c r="V1306" t="s">
        <v>255</v>
      </c>
      <c r="AF1306" t="s">
        <v>623</v>
      </c>
      <c r="AM1306" t="str">
        <f t="shared" si="151"/>
        <v>Faceoff</v>
      </c>
      <c r="AN1306" t="str">
        <f t="shared" si="152"/>
        <v>Faceoff_AfterStoppage</v>
      </c>
      <c r="AP1306" t="str">
        <f t="shared" si="153"/>
        <v>Offensive</v>
      </c>
      <c r="BB1306" s="23"/>
      <c r="BD1306" s="21"/>
      <c r="BE1306" s="21"/>
      <c r="BF1306" s="21"/>
      <c r="BG1306" s="21"/>
      <c r="BH1306" s="21"/>
      <c r="BI1306" s="21"/>
    </row>
    <row r="1307" spans="1:61" x14ac:dyDescent="0.2">
      <c r="A1307">
        <v>694</v>
      </c>
      <c r="B1307" t="s">
        <v>887</v>
      </c>
      <c r="C1307" t="str">
        <f t="shared" si="149"/>
        <v/>
      </c>
      <c r="D1307" t="str">
        <f t="shared" si="154"/>
        <v/>
      </c>
      <c r="H1307">
        <f t="shared" si="150"/>
        <v>2</v>
      </c>
      <c r="R1307">
        <v>9</v>
      </c>
      <c r="S1307">
        <v>1</v>
      </c>
      <c r="T1307" t="str">
        <f t="shared" si="148"/>
        <v>e</v>
      </c>
      <c r="AM1307" t="str">
        <f t="shared" si="151"/>
        <v>Faceoff</v>
      </c>
      <c r="AN1307" t="str">
        <f t="shared" si="152"/>
        <v>Faceoff_AfterStoppage</v>
      </c>
      <c r="AP1307" t="str">
        <f t="shared" si="153"/>
        <v>Offensive</v>
      </c>
      <c r="BB1307" s="23"/>
      <c r="BD1307" s="21"/>
      <c r="BE1307" s="21"/>
      <c r="BF1307" s="21"/>
      <c r="BG1307" s="21"/>
      <c r="BH1307" s="21"/>
      <c r="BI1307" s="21"/>
    </row>
    <row r="1308" spans="1:61" x14ac:dyDescent="0.2">
      <c r="A1308">
        <v>694</v>
      </c>
      <c r="B1308" t="s">
        <v>887</v>
      </c>
      <c r="C1308" t="str">
        <f t="shared" si="149"/>
        <v/>
      </c>
      <c r="D1308" t="str">
        <f t="shared" si="154"/>
        <v/>
      </c>
      <c r="H1308">
        <f t="shared" si="150"/>
        <v>2</v>
      </c>
      <c r="R1308">
        <v>91</v>
      </c>
      <c r="T1308" t="str">
        <f t="shared" si="148"/>
        <v>o</v>
      </c>
      <c r="AM1308" t="str">
        <f t="shared" si="151"/>
        <v>Faceoff</v>
      </c>
      <c r="AN1308" t="str">
        <f t="shared" si="152"/>
        <v>Faceoff_AfterStoppage</v>
      </c>
      <c r="AP1308" t="str">
        <f t="shared" si="153"/>
        <v>Defensive</v>
      </c>
      <c r="BB1308" s="23"/>
      <c r="BD1308" s="21"/>
      <c r="BE1308" s="21"/>
      <c r="BF1308" s="21"/>
      <c r="BG1308" s="21"/>
      <c r="BH1308" s="21"/>
      <c r="BI1308" s="21"/>
    </row>
    <row r="1309" spans="1:61" x14ac:dyDescent="0.2">
      <c r="A1309">
        <v>695</v>
      </c>
      <c r="B1309" t="s">
        <v>887</v>
      </c>
      <c r="C1309" t="str">
        <f t="shared" si="149"/>
        <v/>
      </c>
      <c r="D1309" t="str">
        <f t="shared" si="154"/>
        <v/>
      </c>
      <c r="H1309">
        <f t="shared" si="150"/>
        <v>2</v>
      </c>
      <c r="I1309" s="5" t="s">
        <v>448</v>
      </c>
      <c r="J1309" s="5" t="s">
        <v>727</v>
      </c>
      <c r="K1309" s="5" t="s">
        <v>448</v>
      </c>
      <c r="L1309" s="7" t="s">
        <v>782</v>
      </c>
      <c r="Q1309" t="s">
        <v>620</v>
      </c>
      <c r="R1309">
        <v>9</v>
      </c>
      <c r="S1309">
        <v>1</v>
      </c>
      <c r="T1309" t="str">
        <f t="shared" si="148"/>
        <v>e</v>
      </c>
      <c r="U1309" t="s">
        <v>15</v>
      </c>
      <c r="AF1309" t="s">
        <v>623</v>
      </c>
      <c r="AM1309" t="str">
        <f t="shared" si="151"/>
        <v>Possession</v>
      </c>
      <c r="AN1309" t="str">
        <f t="shared" si="152"/>
        <v/>
      </c>
      <c r="AP1309" t="str">
        <f t="shared" si="153"/>
        <v>Offensive</v>
      </c>
      <c r="BB1309" s="23"/>
      <c r="BD1309" s="21"/>
      <c r="BE1309" s="21"/>
      <c r="BF1309" s="21"/>
      <c r="BG1309" s="21"/>
      <c r="BH1309" s="21"/>
      <c r="BI1309" s="21"/>
    </row>
    <row r="1310" spans="1:61" x14ac:dyDescent="0.2">
      <c r="A1310">
        <v>696</v>
      </c>
      <c r="B1310">
        <v>118</v>
      </c>
      <c r="C1310">
        <f t="shared" si="149"/>
        <v>9118</v>
      </c>
      <c r="D1310">
        <f t="shared" si="154"/>
        <v>9118</v>
      </c>
      <c r="H1310">
        <f t="shared" si="150"/>
        <v>2</v>
      </c>
      <c r="I1310" s="5" t="s">
        <v>448</v>
      </c>
      <c r="J1310" s="5" t="s">
        <v>782</v>
      </c>
      <c r="Q1310" t="s">
        <v>620</v>
      </c>
      <c r="R1310">
        <v>9</v>
      </c>
      <c r="S1310">
        <v>1</v>
      </c>
      <c r="T1310" t="str">
        <f t="shared" si="148"/>
        <v>e</v>
      </c>
      <c r="U1310" t="s">
        <v>8</v>
      </c>
      <c r="V1310" t="s">
        <v>199</v>
      </c>
      <c r="W1310" t="s">
        <v>71</v>
      </c>
      <c r="X1310" t="s">
        <v>705</v>
      </c>
      <c r="Y1310" t="s">
        <v>744</v>
      </c>
      <c r="AF1310" t="s">
        <v>623</v>
      </c>
      <c r="AJ1310">
        <v>1</v>
      </c>
      <c r="AM1310" t="str">
        <f t="shared" si="151"/>
        <v>Pass</v>
      </c>
      <c r="AN1310" t="str">
        <f t="shared" si="152"/>
        <v>Pass_Missed</v>
      </c>
      <c r="AP1310" t="str">
        <f t="shared" si="153"/>
        <v>Offensive</v>
      </c>
      <c r="BB1310" s="23"/>
      <c r="BD1310" s="21"/>
      <c r="BE1310" s="21"/>
      <c r="BF1310" s="21"/>
      <c r="BG1310" s="21"/>
      <c r="BH1310" s="21"/>
      <c r="BI1310" s="21"/>
    </row>
    <row r="1311" spans="1:61" x14ac:dyDescent="0.2">
      <c r="A1311">
        <v>696</v>
      </c>
      <c r="B1311">
        <v>118</v>
      </c>
      <c r="C1311">
        <f t="shared" si="149"/>
        <v>9118</v>
      </c>
      <c r="D1311">
        <f t="shared" si="154"/>
        <v>9118</v>
      </c>
      <c r="H1311">
        <f t="shared" si="150"/>
        <v>2</v>
      </c>
      <c r="R1311">
        <v>61</v>
      </c>
      <c r="S1311">
        <v>1</v>
      </c>
      <c r="T1311" t="str">
        <f t="shared" si="148"/>
        <v>e</v>
      </c>
      <c r="AM1311" t="str">
        <f t="shared" si="151"/>
        <v>Pass</v>
      </c>
      <c r="AN1311" t="str">
        <f t="shared" si="152"/>
        <v>Pass_Missed</v>
      </c>
      <c r="AP1311" t="str">
        <f t="shared" si="153"/>
        <v>Offensive</v>
      </c>
      <c r="BB1311" s="23"/>
      <c r="BD1311" s="21"/>
      <c r="BE1311" s="21"/>
      <c r="BF1311" s="21"/>
      <c r="BG1311" s="21"/>
      <c r="BH1311" s="21"/>
      <c r="BI1311" s="21"/>
    </row>
    <row r="1312" spans="1:61" x14ac:dyDescent="0.2">
      <c r="A1312">
        <v>696</v>
      </c>
      <c r="B1312">
        <v>118</v>
      </c>
      <c r="C1312">
        <f t="shared" si="149"/>
        <v>9118</v>
      </c>
      <c r="D1312">
        <f t="shared" si="154"/>
        <v>9118</v>
      </c>
      <c r="H1312">
        <f t="shared" si="150"/>
        <v>2</v>
      </c>
      <c r="R1312">
        <v>91</v>
      </c>
      <c r="T1312" t="str">
        <f t="shared" si="148"/>
        <v>o</v>
      </c>
      <c r="AJ1312">
        <v>1</v>
      </c>
      <c r="AM1312" t="str">
        <f t="shared" si="151"/>
        <v>Pass</v>
      </c>
      <c r="AN1312" t="str">
        <f t="shared" si="152"/>
        <v>Pass_Missed</v>
      </c>
      <c r="AP1312" t="str">
        <f t="shared" si="153"/>
        <v>Defensive</v>
      </c>
      <c r="BB1312" s="23"/>
      <c r="BD1312" s="21"/>
      <c r="BE1312" s="21"/>
      <c r="BF1312" s="21"/>
      <c r="BG1312" s="21"/>
      <c r="BH1312" s="21"/>
      <c r="BI1312" s="21"/>
    </row>
    <row r="1313" spans="1:61" x14ac:dyDescent="0.2">
      <c r="A1313">
        <v>697</v>
      </c>
      <c r="B1313">
        <v>118</v>
      </c>
      <c r="C1313">
        <f t="shared" si="149"/>
        <v>9118</v>
      </c>
      <c r="D1313">
        <f t="shared" si="154"/>
        <v>9118</v>
      </c>
      <c r="H1313">
        <f t="shared" si="150"/>
        <v>2</v>
      </c>
      <c r="I1313" s="5" t="s">
        <v>448</v>
      </c>
      <c r="J1313" s="5" t="s">
        <v>782</v>
      </c>
      <c r="Q1313" t="s">
        <v>620</v>
      </c>
      <c r="R1313">
        <v>9</v>
      </c>
      <c r="S1313">
        <v>1</v>
      </c>
      <c r="T1313" t="str">
        <f t="shared" si="148"/>
        <v>e</v>
      </c>
      <c r="U1313" t="s">
        <v>257</v>
      </c>
      <c r="V1313" t="s">
        <v>201</v>
      </c>
      <c r="W1313" t="s">
        <v>409</v>
      </c>
      <c r="X1313" t="s">
        <v>705</v>
      </c>
      <c r="AF1313" t="s">
        <v>623</v>
      </c>
      <c r="AJ1313">
        <v>1</v>
      </c>
      <c r="AM1313" t="str">
        <f t="shared" si="151"/>
        <v>Zone_Entry_Exit</v>
      </c>
      <c r="AN1313" t="str">
        <f t="shared" si="152"/>
        <v>Zone_Exit</v>
      </c>
      <c r="AP1313" t="str">
        <f t="shared" si="153"/>
        <v>Offensive</v>
      </c>
      <c r="BB1313" s="23"/>
      <c r="BD1313" s="21"/>
      <c r="BE1313" s="21"/>
      <c r="BF1313" s="21"/>
      <c r="BG1313" s="21"/>
      <c r="BH1313" s="21"/>
      <c r="BI1313" s="21"/>
    </row>
    <row r="1314" spans="1:61" x14ac:dyDescent="0.2">
      <c r="A1314">
        <v>697</v>
      </c>
      <c r="B1314">
        <v>118</v>
      </c>
      <c r="C1314">
        <f t="shared" si="149"/>
        <v>9118</v>
      </c>
      <c r="D1314">
        <f t="shared" si="154"/>
        <v>9118</v>
      </c>
      <c r="H1314">
        <f t="shared" si="150"/>
        <v>2</v>
      </c>
      <c r="R1314">
        <v>61</v>
      </c>
      <c r="S1314">
        <v>1</v>
      </c>
      <c r="T1314" t="str">
        <f t="shared" si="148"/>
        <v>e</v>
      </c>
      <c r="AM1314" t="str">
        <f t="shared" si="151"/>
        <v>Zone_Entry_Exit</v>
      </c>
      <c r="AN1314" t="str">
        <f t="shared" si="152"/>
        <v>Zone_Exit</v>
      </c>
      <c r="AP1314" t="str">
        <f t="shared" si="153"/>
        <v>Offensive</v>
      </c>
      <c r="BB1314" s="23"/>
      <c r="BD1314" s="21"/>
      <c r="BE1314" s="21"/>
      <c r="BF1314" s="21"/>
      <c r="BG1314" s="21"/>
      <c r="BH1314" s="21"/>
      <c r="BI1314" s="21"/>
    </row>
    <row r="1315" spans="1:61" x14ac:dyDescent="0.2">
      <c r="A1315">
        <v>697</v>
      </c>
      <c r="B1315">
        <v>118</v>
      </c>
      <c r="C1315">
        <f t="shared" si="149"/>
        <v>9118</v>
      </c>
      <c r="D1315">
        <f t="shared" si="154"/>
        <v>9118</v>
      </c>
      <c r="H1315">
        <f t="shared" si="150"/>
        <v>2</v>
      </c>
      <c r="R1315">
        <v>91</v>
      </c>
      <c r="T1315" t="str">
        <f t="shared" si="148"/>
        <v>o</v>
      </c>
      <c r="AJ1315">
        <v>1</v>
      </c>
      <c r="AM1315" t="str">
        <f t="shared" si="151"/>
        <v>Zone_Entry_Exit</v>
      </c>
      <c r="AN1315" t="str">
        <f t="shared" si="152"/>
        <v>Zone_Exit</v>
      </c>
      <c r="AP1315" t="str">
        <f t="shared" si="153"/>
        <v>Defensive</v>
      </c>
      <c r="BB1315" s="23"/>
      <c r="BD1315" s="21"/>
      <c r="BE1315" s="21"/>
      <c r="BF1315" s="21"/>
      <c r="BG1315" s="21"/>
      <c r="BH1315" s="21"/>
      <c r="BI1315" s="21"/>
    </row>
    <row r="1316" spans="1:61" x14ac:dyDescent="0.2">
      <c r="A1316">
        <v>698</v>
      </c>
      <c r="B1316">
        <v>118</v>
      </c>
      <c r="C1316">
        <f t="shared" si="149"/>
        <v>9118</v>
      </c>
      <c r="D1316">
        <f t="shared" si="154"/>
        <v>9118</v>
      </c>
      <c r="H1316">
        <f t="shared" si="150"/>
        <v>2</v>
      </c>
      <c r="I1316" s="5" t="s">
        <v>448</v>
      </c>
      <c r="J1316" s="5" t="s">
        <v>782</v>
      </c>
      <c r="Q1316" t="s">
        <v>620</v>
      </c>
      <c r="R1316">
        <v>9</v>
      </c>
      <c r="S1316">
        <v>1</v>
      </c>
      <c r="T1316" t="str">
        <f t="shared" si="148"/>
        <v>e</v>
      </c>
      <c r="U1316" t="s">
        <v>10</v>
      </c>
      <c r="V1316" t="s">
        <v>190</v>
      </c>
      <c r="W1316" t="s">
        <v>76</v>
      </c>
      <c r="AF1316" t="s">
        <v>623</v>
      </c>
      <c r="AJ1316">
        <v>1</v>
      </c>
      <c r="AM1316" t="str">
        <f t="shared" si="151"/>
        <v>Turnover</v>
      </c>
      <c r="AN1316" t="str">
        <f t="shared" si="152"/>
        <v>Turnover_Giveaway</v>
      </c>
      <c r="AP1316" t="str">
        <f t="shared" si="153"/>
        <v>Offensive</v>
      </c>
      <c r="BB1316" s="23"/>
      <c r="BD1316" s="21"/>
      <c r="BE1316" s="21"/>
      <c r="BF1316" s="21"/>
      <c r="BG1316" s="21"/>
      <c r="BH1316" s="21"/>
      <c r="BI1316" s="21"/>
    </row>
    <row r="1317" spans="1:61" x14ac:dyDescent="0.2">
      <c r="A1317">
        <v>698</v>
      </c>
      <c r="B1317">
        <v>118</v>
      </c>
      <c r="C1317">
        <f t="shared" si="149"/>
        <v>9118</v>
      </c>
      <c r="D1317">
        <f t="shared" si="154"/>
        <v>9118</v>
      </c>
      <c r="H1317">
        <f t="shared" si="150"/>
        <v>2</v>
      </c>
      <c r="R1317">
        <v>61</v>
      </c>
      <c r="S1317">
        <v>1</v>
      </c>
      <c r="T1317" t="str">
        <f t="shared" si="148"/>
        <v>e</v>
      </c>
      <c r="AM1317" t="str">
        <f t="shared" si="151"/>
        <v>Turnover</v>
      </c>
      <c r="AN1317" t="str">
        <f t="shared" si="152"/>
        <v>Turnover_Giveaway</v>
      </c>
      <c r="AP1317" t="str">
        <f t="shared" si="153"/>
        <v>Offensive</v>
      </c>
      <c r="BB1317" s="23"/>
      <c r="BD1317" s="21"/>
      <c r="BE1317" s="21"/>
      <c r="BF1317" s="21"/>
      <c r="BG1317" s="21"/>
      <c r="BH1317" s="21"/>
      <c r="BI1317" s="21"/>
    </row>
    <row r="1318" spans="1:61" x14ac:dyDescent="0.2">
      <c r="A1318">
        <v>698</v>
      </c>
      <c r="B1318">
        <v>118</v>
      </c>
      <c r="C1318">
        <f t="shared" si="149"/>
        <v>9118</v>
      </c>
      <c r="D1318">
        <f t="shared" si="154"/>
        <v>9118</v>
      </c>
      <c r="H1318">
        <f t="shared" si="150"/>
        <v>2</v>
      </c>
      <c r="R1318">
        <v>91</v>
      </c>
      <c r="T1318" t="str">
        <f t="shared" si="148"/>
        <v>o</v>
      </c>
      <c r="AJ1318">
        <v>1</v>
      </c>
      <c r="AM1318" t="str">
        <f t="shared" si="151"/>
        <v>Turnover</v>
      </c>
      <c r="AN1318" t="str">
        <f t="shared" si="152"/>
        <v>Turnover_Giveaway</v>
      </c>
      <c r="AP1318" t="str">
        <f t="shared" si="153"/>
        <v>Defensive</v>
      </c>
      <c r="BB1318" s="23"/>
      <c r="BD1318" s="21"/>
      <c r="BE1318" s="21"/>
      <c r="BF1318" s="21"/>
      <c r="BG1318" s="21"/>
      <c r="BH1318" s="21"/>
      <c r="BI1318" s="21"/>
    </row>
    <row r="1319" spans="1:61" x14ac:dyDescent="0.2">
      <c r="A1319">
        <v>699</v>
      </c>
      <c r="B1319">
        <v>118</v>
      </c>
      <c r="C1319">
        <f t="shared" si="149"/>
        <v>9118</v>
      </c>
      <c r="D1319">
        <f t="shared" si="154"/>
        <v>9118</v>
      </c>
      <c r="H1319">
        <f t="shared" si="150"/>
        <v>2</v>
      </c>
      <c r="I1319" s="5" t="s">
        <v>448</v>
      </c>
      <c r="J1319" s="5" t="s">
        <v>782</v>
      </c>
      <c r="Q1319" t="s">
        <v>620</v>
      </c>
      <c r="R1319">
        <v>9</v>
      </c>
      <c r="S1319">
        <v>1</v>
      </c>
      <c r="T1319" t="str">
        <f t="shared" si="148"/>
        <v>e</v>
      </c>
      <c r="U1319" t="s">
        <v>257</v>
      </c>
      <c r="V1319" t="s">
        <v>191</v>
      </c>
      <c r="W1319" t="s">
        <v>408</v>
      </c>
      <c r="AF1319" t="s">
        <v>623</v>
      </c>
      <c r="AM1319" t="str">
        <f t="shared" si="151"/>
        <v>Zone_Entry_Exit</v>
      </c>
      <c r="AN1319" t="str">
        <f t="shared" si="152"/>
        <v>Zone_Entry</v>
      </c>
      <c r="AP1319" t="str">
        <f t="shared" si="153"/>
        <v>Offensive</v>
      </c>
      <c r="BB1319" s="23"/>
      <c r="BD1319" s="21"/>
      <c r="BE1319" s="21"/>
      <c r="BF1319" s="21"/>
      <c r="BG1319" s="21"/>
      <c r="BH1319" s="21"/>
      <c r="BI1319" s="21"/>
    </row>
    <row r="1320" spans="1:61" x14ac:dyDescent="0.2">
      <c r="A1320">
        <v>700</v>
      </c>
      <c r="B1320" t="s">
        <v>887</v>
      </c>
      <c r="C1320" t="str">
        <f t="shared" si="149"/>
        <v/>
      </c>
      <c r="D1320" t="str">
        <f t="shared" si="154"/>
        <v/>
      </c>
      <c r="H1320">
        <f t="shared" si="150"/>
        <v>2</v>
      </c>
      <c r="I1320" s="5" t="s">
        <v>448</v>
      </c>
      <c r="J1320" s="5" t="s">
        <v>768</v>
      </c>
      <c r="K1320" s="5" t="s">
        <v>448</v>
      </c>
      <c r="L1320" s="7" t="s">
        <v>735</v>
      </c>
      <c r="Q1320" t="s">
        <v>619</v>
      </c>
      <c r="R1320">
        <v>4</v>
      </c>
      <c r="S1320">
        <v>1</v>
      </c>
      <c r="T1320" t="str">
        <f t="shared" si="148"/>
        <v>e</v>
      </c>
      <c r="U1320" t="s">
        <v>15</v>
      </c>
      <c r="V1320" t="s">
        <v>697</v>
      </c>
      <c r="X1320" t="s">
        <v>706</v>
      </c>
      <c r="Y1320" t="s">
        <v>720</v>
      </c>
      <c r="AA1320" t="s">
        <v>706</v>
      </c>
      <c r="AF1320" t="s">
        <v>623</v>
      </c>
      <c r="AM1320" t="str">
        <f t="shared" si="151"/>
        <v>Possession</v>
      </c>
      <c r="AN1320" t="str">
        <f t="shared" si="152"/>
        <v>PuckRetrieval</v>
      </c>
      <c r="AP1320" t="str">
        <f t="shared" si="153"/>
        <v>Offensive</v>
      </c>
      <c r="BB1320" s="23"/>
      <c r="BD1320" s="21"/>
      <c r="BE1320" s="21"/>
      <c r="BF1320" s="21"/>
      <c r="BG1320" s="21"/>
      <c r="BH1320" s="21"/>
      <c r="BI1320" s="21"/>
    </row>
    <row r="1321" spans="1:61" x14ac:dyDescent="0.2">
      <c r="A1321">
        <v>701</v>
      </c>
      <c r="B1321" t="s">
        <v>887</v>
      </c>
      <c r="C1321" t="str">
        <f t="shared" si="149"/>
        <v/>
      </c>
      <c r="D1321" t="str">
        <f t="shared" si="154"/>
        <v/>
      </c>
      <c r="H1321">
        <f t="shared" si="150"/>
        <v>2</v>
      </c>
      <c r="I1321" s="5" t="s">
        <v>448</v>
      </c>
      <c r="J1321" s="5" t="s">
        <v>735</v>
      </c>
      <c r="Q1321" t="s">
        <v>619</v>
      </c>
      <c r="R1321">
        <v>4</v>
      </c>
      <c r="S1321">
        <v>1</v>
      </c>
      <c r="T1321" t="str">
        <f t="shared" si="148"/>
        <v>e</v>
      </c>
      <c r="U1321" t="s">
        <v>8</v>
      </c>
      <c r="V1321" t="s">
        <v>189</v>
      </c>
      <c r="W1321" t="s">
        <v>71</v>
      </c>
      <c r="X1321" t="s">
        <v>706</v>
      </c>
      <c r="Y1321" t="s">
        <v>784</v>
      </c>
      <c r="AA1321" t="s">
        <v>706</v>
      </c>
      <c r="AF1321" t="s">
        <v>623</v>
      </c>
      <c r="AJ1321">
        <v>1</v>
      </c>
      <c r="AM1321" t="str">
        <f t="shared" si="151"/>
        <v>Pass</v>
      </c>
      <c r="AN1321" t="str">
        <f t="shared" si="152"/>
        <v>Pass_Completed</v>
      </c>
      <c r="AP1321" t="str">
        <f t="shared" si="153"/>
        <v>Offensive</v>
      </c>
      <c r="BB1321" s="23"/>
      <c r="BD1321" s="21"/>
      <c r="BE1321" s="21"/>
      <c r="BF1321" s="21"/>
      <c r="BG1321" s="21"/>
      <c r="BH1321" s="21"/>
      <c r="BI1321" s="21"/>
    </row>
    <row r="1322" spans="1:61" x14ac:dyDescent="0.2">
      <c r="A1322">
        <v>701</v>
      </c>
      <c r="B1322" t="s">
        <v>887</v>
      </c>
      <c r="C1322" t="str">
        <f t="shared" si="149"/>
        <v/>
      </c>
      <c r="D1322" t="str">
        <f t="shared" si="154"/>
        <v/>
      </c>
      <c r="H1322">
        <f t="shared" si="150"/>
        <v>2</v>
      </c>
      <c r="R1322">
        <v>25</v>
      </c>
      <c r="S1322">
        <v>1</v>
      </c>
      <c r="T1322" t="str">
        <f t="shared" si="148"/>
        <v>e</v>
      </c>
      <c r="AM1322" t="str">
        <f t="shared" si="151"/>
        <v>Pass</v>
      </c>
      <c r="AN1322" t="str">
        <f t="shared" si="152"/>
        <v>Pass_Completed</v>
      </c>
      <c r="AP1322" t="str">
        <f t="shared" si="153"/>
        <v>Offensive</v>
      </c>
      <c r="BB1322" s="23"/>
      <c r="BD1322" s="21"/>
      <c r="BE1322" s="21"/>
      <c r="BF1322" s="21"/>
      <c r="BG1322" s="21"/>
      <c r="BH1322" s="21"/>
      <c r="BI1322" s="21"/>
    </row>
    <row r="1323" spans="1:61" x14ac:dyDescent="0.2">
      <c r="A1323">
        <v>701</v>
      </c>
      <c r="B1323" t="s">
        <v>887</v>
      </c>
      <c r="C1323" t="str">
        <f t="shared" si="149"/>
        <v/>
      </c>
      <c r="D1323" t="str">
        <f t="shared" si="154"/>
        <v/>
      </c>
      <c r="H1323">
        <f t="shared" si="150"/>
        <v>2</v>
      </c>
      <c r="R1323">
        <v>24</v>
      </c>
      <c r="T1323" t="str">
        <f t="shared" si="148"/>
        <v>o</v>
      </c>
      <c r="AJ1323">
        <v>1</v>
      </c>
      <c r="AM1323" t="str">
        <f t="shared" si="151"/>
        <v>Pass</v>
      </c>
      <c r="AN1323" t="str">
        <f t="shared" si="152"/>
        <v>Pass_Completed</v>
      </c>
      <c r="AP1323" t="str">
        <f t="shared" si="153"/>
        <v>Defensive</v>
      </c>
      <c r="BB1323" s="23"/>
      <c r="BD1323" s="21"/>
      <c r="BE1323" s="21"/>
      <c r="BF1323" s="21"/>
      <c r="BG1323" s="21"/>
      <c r="BH1323" s="21"/>
      <c r="BI1323" s="21"/>
    </row>
    <row r="1324" spans="1:61" x14ac:dyDescent="0.2">
      <c r="A1324">
        <v>702</v>
      </c>
      <c r="B1324" t="s">
        <v>887</v>
      </c>
      <c r="C1324" t="str">
        <f t="shared" si="149"/>
        <v/>
      </c>
      <c r="D1324" t="str">
        <f t="shared" si="154"/>
        <v/>
      </c>
      <c r="H1324">
        <f t="shared" si="150"/>
        <v>2</v>
      </c>
      <c r="I1324" s="5" t="s">
        <v>448</v>
      </c>
      <c r="J1324" s="5" t="s">
        <v>736</v>
      </c>
      <c r="K1324" s="5" t="s">
        <v>448</v>
      </c>
      <c r="L1324" s="7" t="s">
        <v>785</v>
      </c>
      <c r="Q1324" t="s">
        <v>619</v>
      </c>
      <c r="R1324">
        <v>25</v>
      </c>
      <c r="S1324">
        <v>1</v>
      </c>
      <c r="T1324" t="str">
        <f t="shared" si="148"/>
        <v>e</v>
      </c>
      <c r="U1324" t="s">
        <v>15</v>
      </c>
      <c r="AF1324" t="s">
        <v>623</v>
      </c>
      <c r="AM1324" t="str">
        <f t="shared" si="151"/>
        <v>Possession</v>
      </c>
      <c r="AN1324" t="str">
        <f t="shared" si="152"/>
        <v/>
      </c>
      <c r="AP1324" t="str">
        <f t="shared" si="153"/>
        <v>Offensive</v>
      </c>
      <c r="BB1324" s="23"/>
      <c r="BD1324" s="21"/>
      <c r="BE1324" s="21"/>
      <c r="BF1324" s="21"/>
      <c r="BG1324" s="21"/>
      <c r="BH1324" s="21"/>
      <c r="BI1324" s="21"/>
    </row>
    <row r="1325" spans="1:61" x14ac:dyDescent="0.2">
      <c r="A1325">
        <v>703</v>
      </c>
      <c r="B1325">
        <v>119</v>
      </c>
      <c r="C1325">
        <f t="shared" si="149"/>
        <v>9119</v>
      </c>
      <c r="D1325">
        <f t="shared" si="154"/>
        <v>9119</v>
      </c>
      <c r="H1325">
        <f t="shared" si="150"/>
        <v>2</v>
      </c>
      <c r="I1325" s="5" t="s">
        <v>448</v>
      </c>
      <c r="J1325" s="5" t="s">
        <v>785</v>
      </c>
      <c r="Q1325" t="s">
        <v>619</v>
      </c>
      <c r="R1325">
        <v>25</v>
      </c>
      <c r="S1325">
        <v>1</v>
      </c>
      <c r="T1325" t="str">
        <f t="shared" si="148"/>
        <v>e</v>
      </c>
      <c r="U1325" t="s">
        <v>8</v>
      </c>
      <c r="Y1325" t="s">
        <v>744</v>
      </c>
      <c r="AF1325" t="s">
        <v>623</v>
      </c>
      <c r="AM1325" t="str">
        <f t="shared" si="151"/>
        <v>Pass</v>
      </c>
      <c r="AN1325" t="str">
        <f t="shared" si="152"/>
        <v/>
      </c>
      <c r="AP1325" t="str">
        <f t="shared" si="153"/>
        <v>Offensive</v>
      </c>
      <c r="BB1325" s="23"/>
      <c r="BD1325" s="21"/>
      <c r="BE1325" s="21"/>
      <c r="BF1325" s="21"/>
      <c r="BG1325" s="21"/>
      <c r="BH1325" s="21"/>
      <c r="BI1325" s="21"/>
    </row>
    <row r="1326" spans="1:61" x14ac:dyDescent="0.2">
      <c r="A1326">
        <v>703</v>
      </c>
      <c r="B1326">
        <v>119</v>
      </c>
      <c r="C1326">
        <f t="shared" si="149"/>
        <v>9119</v>
      </c>
      <c r="D1326">
        <f t="shared" si="154"/>
        <v>9119</v>
      </c>
      <c r="H1326">
        <f t="shared" si="150"/>
        <v>2</v>
      </c>
      <c r="R1326">
        <v>80</v>
      </c>
      <c r="S1326">
        <v>1</v>
      </c>
      <c r="T1326" t="str">
        <f t="shared" si="148"/>
        <v>e</v>
      </c>
      <c r="AM1326" t="str">
        <f t="shared" si="151"/>
        <v>Pass</v>
      </c>
      <c r="AN1326" t="str">
        <f t="shared" si="152"/>
        <v/>
      </c>
      <c r="AP1326" t="str">
        <f t="shared" si="153"/>
        <v>Offensive</v>
      </c>
      <c r="BB1326" s="23"/>
      <c r="BD1326" s="21"/>
      <c r="BE1326" s="21"/>
      <c r="BF1326" s="21"/>
      <c r="BG1326" s="21"/>
      <c r="BH1326" s="21"/>
      <c r="BI1326" s="21"/>
    </row>
    <row r="1327" spans="1:61" x14ac:dyDescent="0.2">
      <c r="A1327">
        <v>703</v>
      </c>
      <c r="B1327">
        <v>119</v>
      </c>
      <c r="C1327">
        <f t="shared" si="149"/>
        <v>9119</v>
      </c>
      <c r="D1327">
        <f t="shared" si="154"/>
        <v>9119</v>
      </c>
      <c r="H1327">
        <f t="shared" si="150"/>
        <v>2</v>
      </c>
      <c r="R1327">
        <v>22</v>
      </c>
      <c r="T1327" t="str">
        <f t="shared" si="148"/>
        <v>o</v>
      </c>
      <c r="Y1327" t="s">
        <v>722</v>
      </c>
      <c r="AM1327" t="str">
        <f t="shared" si="151"/>
        <v>Pass</v>
      </c>
      <c r="AN1327" t="str">
        <f t="shared" si="152"/>
        <v/>
      </c>
      <c r="AP1327" t="str">
        <f t="shared" si="153"/>
        <v>Defensive</v>
      </c>
      <c r="BB1327" s="23"/>
      <c r="BD1327" s="21"/>
      <c r="BE1327" s="21"/>
      <c r="BF1327" s="21"/>
      <c r="BG1327" s="21"/>
      <c r="BH1327" s="21"/>
      <c r="BI1327" s="21"/>
    </row>
    <row r="1328" spans="1:61" x14ac:dyDescent="0.2">
      <c r="A1328">
        <v>704</v>
      </c>
      <c r="B1328">
        <v>119</v>
      </c>
      <c r="C1328">
        <f t="shared" si="149"/>
        <v>9119</v>
      </c>
      <c r="D1328">
        <f t="shared" si="154"/>
        <v>9119</v>
      </c>
      <c r="H1328">
        <f t="shared" si="150"/>
        <v>2</v>
      </c>
      <c r="Q1328" t="s">
        <v>619</v>
      </c>
      <c r="R1328">
        <v>25</v>
      </c>
      <c r="S1328">
        <v>1</v>
      </c>
      <c r="T1328" t="str">
        <f t="shared" ref="T1328:T1333" si="155">IF(S1328="x","",IF(S1328=1,"e","o"))</f>
        <v>e</v>
      </c>
      <c r="Y1328" t="s">
        <v>744</v>
      </c>
      <c r="AF1328" t="s">
        <v>623</v>
      </c>
      <c r="AM1328" t="str">
        <f t="shared" si="151"/>
        <v/>
      </c>
      <c r="AN1328" t="str">
        <f t="shared" si="152"/>
        <v/>
      </c>
      <c r="AP1328" t="str">
        <f t="shared" si="153"/>
        <v>Offensive</v>
      </c>
      <c r="BB1328" s="23"/>
      <c r="BD1328" s="21"/>
      <c r="BE1328" s="21"/>
      <c r="BF1328" s="21"/>
      <c r="BG1328" s="21"/>
      <c r="BH1328" s="21"/>
      <c r="BI1328" s="21"/>
    </row>
    <row r="1329" spans="1:61" x14ac:dyDescent="0.2">
      <c r="A1329">
        <v>704</v>
      </c>
      <c r="B1329">
        <v>119</v>
      </c>
      <c r="C1329">
        <f t="shared" si="149"/>
        <v>9119</v>
      </c>
      <c r="D1329">
        <f t="shared" si="154"/>
        <v>9119</v>
      </c>
      <c r="H1329">
        <f t="shared" si="150"/>
        <v>2</v>
      </c>
      <c r="R1329">
        <v>80</v>
      </c>
      <c r="S1329">
        <v>1</v>
      </c>
      <c r="T1329" t="str">
        <f t="shared" si="155"/>
        <v>e</v>
      </c>
      <c r="AM1329" t="str">
        <f t="shared" si="151"/>
        <v/>
      </c>
      <c r="AN1329" t="str">
        <f t="shared" si="152"/>
        <v/>
      </c>
      <c r="AP1329" t="str">
        <f t="shared" si="153"/>
        <v>Offensive</v>
      </c>
      <c r="BB1329" s="23"/>
      <c r="BD1329" s="21"/>
      <c r="BE1329" s="21"/>
      <c r="BF1329" s="21"/>
      <c r="BG1329" s="21"/>
      <c r="BH1329" s="21"/>
      <c r="BI1329" s="21"/>
    </row>
    <row r="1330" spans="1:61" x14ac:dyDescent="0.2">
      <c r="A1330">
        <v>704</v>
      </c>
      <c r="B1330">
        <v>119</v>
      </c>
      <c r="C1330">
        <f t="shared" si="149"/>
        <v>9119</v>
      </c>
      <c r="D1330">
        <f t="shared" si="154"/>
        <v>9119</v>
      </c>
      <c r="H1330">
        <f t="shared" si="150"/>
        <v>2</v>
      </c>
      <c r="R1330">
        <v>22</v>
      </c>
      <c r="T1330" t="str">
        <f t="shared" si="155"/>
        <v>o</v>
      </c>
      <c r="Y1330" t="s">
        <v>722</v>
      </c>
      <c r="AM1330" t="str">
        <f t="shared" si="151"/>
        <v/>
      </c>
      <c r="AN1330" t="str">
        <f t="shared" si="152"/>
        <v/>
      </c>
      <c r="AP1330" t="str">
        <f t="shared" si="153"/>
        <v>Defensive</v>
      </c>
      <c r="BB1330" s="23"/>
      <c r="BD1330" s="21"/>
      <c r="BE1330" s="21"/>
      <c r="BF1330" s="21"/>
      <c r="BG1330" s="21"/>
      <c r="BH1330" s="21"/>
      <c r="BI1330" s="21"/>
    </row>
    <row r="1331" spans="1:61" x14ac:dyDescent="0.2">
      <c r="A1331">
        <v>705</v>
      </c>
      <c r="B1331">
        <v>119</v>
      </c>
      <c r="C1331">
        <f t="shared" si="149"/>
        <v>9119</v>
      </c>
      <c r="D1331">
        <f t="shared" si="154"/>
        <v>9119</v>
      </c>
      <c r="H1331">
        <f t="shared" si="150"/>
        <v>2</v>
      </c>
      <c r="Q1331" t="s">
        <v>619</v>
      </c>
      <c r="R1331">
        <v>25</v>
      </c>
      <c r="S1331">
        <v>1</v>
      </c>
      <c r="T1331" t="str">
        <f t="shared" si="155"/>
        <v>e</v>
      </c>
      <c r="Y1331" t="s">
        <v>744</v>
      </c>
      <c r="AF1331" t="s">
        <v>623</v>
      </c>
      <c r="AM1331" t="str">
        <f t="shared" si="151"/>
        <v/>
      </c>
      <c r="AN1331" t="str">
        <f t="shared" si="152"/>
        <v/>
      </c>
      <c r="AP1331" t="str">
        <f t="shared" si="153"/>
        <v>Offensive</v>
      </c>
      <c r="BB1331" s="23"/>
      <c r="BD1331" s="21"/>
      <c r="BE1331" s="21"/>
      <c r="BF1331" s="21"/>
      <c r="BG1331" s="21"/>
      <c r="BH1331" s="21"/>
      <c r="BI1331" s="21"/>
    </row>
    <row r="1332" spans="1:61" x14ac:dyDescent="0.2">
      <c r="A1332">
        <v>705</v>
      </c>
      <c r="B1332">
        <v>119</v>
      </c>
      <c r="C1332">
        <f t="shared" si="149"/>
        <v>9119</v>
      </c>
      <c r="D1332">
        <f t="shared" si="154"/>
        <v>9119</v>
      </c>
      <c r="H1332">
        <f t="shared" si="150"/>
        <v>2</v>
      </c>
      <c r="R1332">
        <v>80</v>
      </c>
      <c r="S1332">
        <v>1</v>
      </c>
      <c r="T1332" t="str">
        <f t="shared" si="155"/>
        <v>e</v>
      </c>
      <c r="AM1332" t="str">
        <f t="shared" si="151"/>
        <v/>
      </c>
      <c r="AN1332" t="str">
        <f t="shared" si="152"/>
        <v/>
      </c>
      <c r="AP1332" t="str">
        <f t="shared" si="153"/>
        <v>Offensive</v>
      </c>
      <c r="BB1332" s="23"/>
      <c r="BD1332" s="21"/>
      <c r="BE1332" s="21"/>
      <c r="BF1332" s="21"/>
      <c r="BG1332" s="21"/>
      <c r="BH1332" s="21"/>
      <c r="BI1332" s="21"/>
    </row>
    <row r="1333" spans="1:61" x14ac:dyDescent="0.2">
      <c r="A1333">
        <v>705</v>
      </c>
      <c r="B1333">
        <v>119</v>
      </c>
      <c r="C1333">
        <f t="shared" si="149"/>
        <v>9119</v>
      </c>
      <c r="D1333">
        <f t="shared" si="154"/>
        <v>9119</v>
      </c>
      <c r="H1333">
        <f t="shared" si="150"/>
        <v>2</v>
      </c>
      <c r="R1333">
        <v>22</v>
      </c>
      <c r="T1333" t="str">
        <f t="shared" si="155"/>
        <v>o</v>
      </c>
      <c r="Y1333" t="s">
        <v>722</v>
      </c>
      <c r="AM1333" t="str">
        <f t="shared" si="151"/>
        <v/>
      </c>
      <c r="AN1333" t="str">
        <f t="shared" si="152"/>
        <v/>
      </c>
      <c r="AP1333" t="str">
        <f t="shared" si="153"/>
        <v>Defensive</v>
      </c>
      <c r="BB1333" s="23"/>
      <c r="BD1333" s="21"/>
      <c r="BE1333" s="21"/>
      <c r="BF1333" s="21"/>
      <c r="BG1333" s="21"/>
      <c r="BH1333" s="21"/>
      <c r="BI1333" s="21"/>
    </row>
    <row r="1334" spans="1:61" x14ac:dyDescent="0.2">
      <c r="A1334">
        <v>706</v>
      </c>
      <c r="B1334" t="s">
        <v>887</v>
      </c>
      <c r="C1334" t="str">
        <f t="shared" si="149"/>
        <v/>
      </c>
      <c r="D1334" t="str">
        <f t="shared" si="154"/>
        <v/>
      </c>
      <c r="H1334">
        <f t="shared" si="150"/>
        <v>2</v>
      </c>
      <c r="I1334" s="5" t="s">
        <v>448</v>
      </c>
      <c r="J1334" s="5" t="s">
        <v>740</v>
      </c>
      <c r="K1334" s="5" t="s">
        <v>448</v>
      </c>
      <c r="L1334" s="7" t="s">
        <v>741</v>
      </c>
      <c r="Q1334" t="s">
        <v>620</v>
      </c>
      <c r="R1334">
        <v>22</v>
      </c>
      <c r="S1334">
        <v>1</v>
      </c>
      <c r="T1334" t="str">
        <f t="shared" si="148"/>
        <v>e</v>
      </c>
      <c r="U1334" t="s">
        <v>15</v>
      </c>
      <c r="V1334" t="s">
        <v>697</v>
      </c>
      <c r="X1334" t="s">
        <v>705</v>
      </c>
      <c r="Y1334" t="s">
        <v>712</v>
      </c>
      <c r="AA1334" t="s">
        <v>705</v>
      </c>
      <c r="AF1334" t="s">
        <v>635</v>
      </c>
      <c r="AJ1334">
        <v>1</v>
      </c>
      <c r="AM1334" t="str">
        <f t="shared" si="151"/>
        <v>Possession</v>
      </c>
      <c r="AN1334" t="str">
        <f t="shared" si="152"/>
        <v>PuckRetrieval</v>
      </c>
      <c r="AP1334" t="str">
        <f t="shared" si="153"/>
        <v>Offensive</v>
      </c>
      <c r="BB1334" s="23"/>
      <c r="BD1334" s="21"/>
      <c r="BE1334" s="21"/>
      <c r="BF1334" s="21"/>
      <c r="BG1334" s="21"/>
      <c r="BH1334" s="21"/>
      <c r="BI1334" s="21"/>
    </row>
    <row r="1335" spans="1:61" x14ac:dyDescent="0.2">
      <c r="A1335">
        <v>706</v>
      </c>
      <c r="B1335" t="s">
        <v>887</v>
      </c>
      <c r="C1335" t="str">
        <f t="shared" si="149"/>
        <v/>
      </c>
      <c r="D1335" t="str">
        <f t="shared" si="154"/>
        <v/>
      </c>
      <c r="H1335">
        <f t="shared" si="150"/>
        <v>2</v>
      </c>
      <c r="R1335">
        <v>25</v>
      </c>
      <c r="T1335" t="str">
        <f t="shared" si="148"/>
        <v>o</v>
      </c>
      <c r="AJ1335">
        <v>1</v>
      </c>
      <c r="AM1335" t="str">
        <f t="shared" si="151"/>
        <v>Possession</v>
      </c>
      <c r="AN1335" t="str">
        <f t="shared" si="152"/>
        <v>PuckRetrieval</v>
      </c>
      <c r="AP1335" t="str">
        <f t="shared" si="153"/>
        <v>Defensive</v>
      </c>
      <c r="BB1335" s="23"/>
      <c r="BD1335" s="21"/>
      <c r="BE1335" s="21"/>
      <c r="BF1335" s="21"/>
      <c r="BG1335" s="21"/>
      <c r="BH1335" s="21"/>
      <c r="BI1335" s="21"/>
    </row>
    <row r="1336" spans="1:61" x14ac:dyDescent="0.2">
      <c r="A1336">
        <v>707</v>
      </c>
      <c r="B1336" t="s">
        <v>887</v>
      </c>
      <c r="C1336" t="str">
        <f t="shared" si="149"/>
        <v/>
      </c>
      <c r="D1336" t="str">
        <f t="shared" si="154"/>
        <v/>
      </c>
      <c r="H1336">
        <f t="shared" si="150"/>
        <v>2</v>
      </c>
      <c r="I1336" s="5" t="s">
        <v>448</v>
      </c>
      <c r="J1336" s="5" t="s">
        <v>741</v>
      </c>
      <c r="Q1336" t="s">
        <v>619</v>
      </c>
      <c r="R1336">
        <v>25</v>
      </c>
      <c r="S1336">
        <v>1</v>
      </c>
      <c r="T1336" t="str">
        <f t="shared" si="148"/>
        <v>e</v>
      </c>
      <c r="U1336" t="s">
        <v>10</v>
      </c>
      <c r="V1336" t="s">
        <v>200</v>
      </c>
      <c r="W1336" t="s">
        <v>81</v>
      </c>
      <c r="AF1336" t="s">
        <v>635</v>
      </c>
      <c r="AJ1336">
        <v>1</v>
      </c>
      <c r="AM1336" t="str">
        <f t="shared" si="151"/>
        <v>Turnover</v>
      </c>
      <c r="AN1336" t="str">
        <f t="shared" si="152"/>
        <v>Turnover_Takeaway</v>
      </c>
      <c r="AP1336" t="str">
        <f t="shared" si="153"/>
        <v>Defensive</v>
      </c>
      <c r="BB1336" s="23"/>
      <c r="BD1336" s="21"/>
      <c r="BE1336" s="21"/>
      <c r="BF1336" s="21"/>
      <c r="BG1336" s="21"/>
      <c r="BH1336" s="21"/>
      <c r="BI1336" s="21"/>
    </row>
    <row r="1337" spans="1:61" x14ac:dyDescent="0.2">
      <c r="A1337">
        <v>707</v>
      </c>
      <c r="B1337" t="s">
        <v>887</v>
      </c>
      <c r="C1337" t="str">
        <f t="shared" si="149"/>
        <v/>
      </c>
      <c r="D1337" t="str">
        <f t="shared" si="154"/>
        <v/>
      </c>
      <c r="H1337">
        <f t="shared" si="150"/>
        <v>2</v>
      </c>
      <c r="R1337">
        <v>22</v>
      </c>
      <c r="T1337" t="str">
        <f t="shared" si="148"/>
        <v>o</v>
      </c>
      <c r="AJ1337">
        <v>1</v>
      </c>
      <c r="AM1337" t="str">
        <f t="shared" si="151"/>
        <v>Turnover</v>
      </c>
      <c r="AN1337" t="str">
        <f t="shared" si="152"/>
        <v>Turnover_Takeaway</v>
      </c>
      <c r="AP1337" t="str">
        <f t="shared" si="153"/>
        <v>Offensive</v>
      </c>
      <c r="BB1337" s="23"/>
      <c r="BD1337" s="21"/>
      <c r="BE1337" s="21"/>
      <c r="BF1337" s="21"/>
      <c r="BG1337" s="21"/>
      <c r="BH1337" s="21"/>
      <c r="BI1337" s="21"/>
    </row>
    <row r="1338" spans="1:61" x14ac:dyDescent="0.2">
      <c r="A1338">
        <v>708</v>
      </c>
      <c r="B1338" t="s">
        <v>887</v>
      </c>
      <c r="C1338" t="str">
        <f t="shared" si="149"/>
        <v/>
      </c>
      <c r="D1338" t="str">
        <f t="shared" si="154"/>
        <v/>
      </c>
      <c r="H1338">
        <f t="shared" si="150"/>
        <v>2</v>
      </c>
      <c r="I1338" s="5" t="s">
        <v>448</v>
      </c>
      <c r="J1338" s="5" t="s">
        <v>786</v>
      </c>
      <c r="Q1338" t="s">
        <v>619</v>
      </c>
      <c r="R1338">
        <v>91</v>
      </c>
      <c r="S1338">
        <v>1</v>
      </c>
      <c r="T1338" t="str">
        <f t="shared" si="148"/>
        <v>e</v>
      </c>
      <c r="U1338" t="s">
        <v>15</v>
      </c>
      <c r="V1338" t="s">
        <v>697</v>
      </c>
      <c r="X1338" t="s">
        <v>706</v>
      </c>
      <c r="Y1338" t="s">
        <v>712</v>
      </c>
      <c r="AA1338" t="s">
        <v>706</v>
      </c>
      <c r="AF1338" t="s">
        <v>635</v>
      </c>
      <c r="AM1338" t="str">
        <f t="shared" si="151"/>
        <v>Possession</v>
      </c>
      <c r="AN1338" t="str">
        <f t="shared" si="152"/>
        <v>PuckRetrieval</v>
      </c>
      <c r="AP1338" t="str">
        <f t="shared" si="153"/>
        <v>Offensive</v>
      </c>
      <c r="BB1338" s="23"/>
      <c r="BD1338" s="21"/>
      <c r="BE1338" s="21"/>
      <c r="BF1338" s="21"/>
      <c r="BG1338" s="21"/>
      <c r="BH1338" s="21"/>
      <c r="BI1338" s="21"/>
    </row>
    <row r="1339" spans="1:61" x14ac:dyDescent="0.2">
      <c r="A1339">
        <v>709</v>
      </c>
      <c r="B1339" t="s">
        <v>887</v>
      </c>
      <c r="C1339" t="str">
        <f t="shared" si="149"/>
        <v/>
      </c>
      <c r="D1339" t="str">
        <f t="shared" si="154"/>
        <v/>
      </c>
      <c r="H1339">
        <f t="shared" si="150"/>
        <v>2</v>
      </c>
      <c r="I1339" s="5" t="s">
        <v>448</v>
      </c>
      <c r="J1339" s="5" t="s">
        <v>786</v>
      </c>
      <c r="Q1339" t="s">
        <v>619</v>
      </c>
      <c r="R1339">
        <v>91</v>
      </c>
      <c r="S1339">
        <v>1</v>
      </c>
      <c r="T1339" t="str">
        <f t="shared" si="148"/>
        <v>e</v>
      </c>
      <c r="U1339" t="s">
        <v>8</v>
      </c>
      <c r="V1339" t="s">
        <v>189</v>
      </c>
      <c r="W1339" t="s">
        <v>70</v>
      </c>
      <c r="X1339" t="s">
        <v>706</v>
      </c>
      <c r="Y1339" t="s">
        <v>814</v>
      </c>
      <c r="AA1339" t="s">
        <v>706</v>
      </c>
      <c r="AF1339" t="s">
        <v>635</v>
      </c>
      <c r="AM1339" t="str">
        <f t="shared" si="151"/>
        <v>Pass</v>
      </c>
      <c r="AN1339" t="str">
        <f t="shared" si="152"/>
        <v>Pass_Completed</v>
      </c>
      <c r="AP1339" t="str">
        <f t="shared" si="153"/>
        <v>Offensive</v>
      </c>
      <c r="BB1339" s="23"/>
      <c r="BD1339" s="21"/>
      <c r="BE1339" s="21"/>
      <c r="BF1339" s="21"/>
      <c r="BG1339" s="21"/>
      <c r="BH1339" s="21"/>
      <c r="BI1339" s="21"/>
    </row>
    <row r="1340" spans="1:61" x14ac:dyDescent="0.2">
      <c r="A1340">
        <v>709</v>
      </c>
      <c r="B1340" t="s">
        <v>887</v>
      </c>
      <c r="C1340" t="str">
        <f t="shared" si="149"/>
        <v/>
      </c>
      <c r="D1340" t="str">
        <f t="shared" si="154"/>
        <v/>
      </c>
      <c r="H1340">
        <f t="shared" si="150"/>
        <v>2</v>
      </c>
      <c r="R1340">
        <v>80</v>
      </c>
      <c r="S1340">
        <v>1</v>
      </c>
      <c r="T1340" t="str">
        <f t="shared" si="148"/>
        <v>e</v>
      </c>
      <c r="AM1340" t="str">
        <f t="shared" si="151"/>
        <v>Pass</v>
      </c>
      <c r="AN1340" t="str">
        <f t="shared" si="152"/>
        <v>Pass_Completed</v>
      </c>
      <c r="AP1340" t="str">
        <f t="shared" si="153"/>
        <v>Offensive</v>
      </c>
      <c r="BB1340" s="23"/>
      <c r="BD1340" s="21"/>
      <c r="BE1340" s="21"/>
      <c r="BF1340" s="21"/>
      <c r="BG1340" s="21"/>
      <c r="BH1340" s="21"/>
      <c r="BI1340" s="21"/>
    </row>
    <row r="1341" spans="1:61" x14ac:dyDescent="0.2">
      <c r="A1341">
        <v>710</v>
      </c>
      <c r="B1341" t="s">
        <v>887</v>
      </c>
      <c r="C1341" t="str">
        <f t="shared" si="149"/>
        <v/>
      </c>
      <c r="D1341" t="str">
        <f t="shared" si="154"/>
        <v/>
      </c>
      <c r="H1341">
        <f t="shared" si="150"/>
        <v>2</v>
      </c>
      <c r="I1341" s="5" t="s">
        <v>448</v>
      </c>
      <c r="J1341" s="5" t="s">
        <v>446</v>
      </c>
      <c r="K1341" s="5" t="s">
        <v>768</v>
      </c>
      <c r="L1341" s="7" t="s">
        <v>638</v>
      </c>
      <c r="Q1341" t="s">
        <v>619</v>
      </c>
      <c r="R1341">
        <v>80</v>
      </c>
      <c r="S1341">
        <v>1</v>
      </c>
      <c r="T1341" t="str">
        <f t="shared" si="148"/>
        <v>e</v>
      </c>
      <c r="U1341" t="s">
        <v>257</v>
      </c>
      <c r="V1341" t="s">
        <v>191</v>
      </c>
      <c r="W1341" t="s">
        <v>87</v>
      </c>
      <c r="X1341" t="s">
        <v>706</v>
      </c>
      <c r="AF1341" t="s">
        <v>401</v>
      </c>
      <c r="AJ1341">
        <v>1</v>
      </c>
      <c r="AM1341" t="str">
        <f t="shared" si="151"/>
        <v>Zone_Entry_Exit</v>
      </c>
      <c r="AN1341" t="str">
        <f t="shared" si="152"/>
        <v>Zone_Entry</v>
      </c>
      <c r="AP1341" t="str">
        <f t="shared" si="153"/>
        <v>Offensive</v>
      </c>
      <c r="BB1341" s="23"/>
      <c r="BD1341" s="21"/>
      <c r="BE1341" s="21"/>
      <c r="BF1341" s="21"/>
      <c r="BG1341" s="21"/>
      <c r="BH1341" s="21"/>
      <c r="BI1341" s="21"/>
    </row>
    <row r="1342" spans="1:61" x14ac:dyDescent="0.2">
      <c r="A1342">
        <v>710</v>
      </c>
      <c r="B1342" t="s">
        <v>887</v>
      </c>
      <c r="C1342" t="str">
        <f t="shared" si="149"/>
        <v/>
      </c>
      <c r="D1342" t="str">
        <f t="shared" si="154"/>
        <v/>
      </c>
      <c r="H1342">
        <f t="shared" si="150"/>
        <v>2</v>
      </c>
      <c r="R1342">
        <v>42</v>
      </c>
      <c r="T1342" t="str">
        <f t="shared" si="148"/>
        <v>o</v>
      </c>
      <c r="AJ1342">
        <v>1</v>
      </c>
      <c r="AM1342" t="str">
        <f t="shared" si="151"/>
        <v>Zone_Entry_Exit</v>
      </c>
      <c r="AN1342" t="str">
        <f t="shared" si="152"/>
        <v>Zone_Entry</v>
      </c>
      <c r="AP1342" t="str">
        <f t="shared" si="153"/>
        <v>Defensive</v>
      </c>
      <c r="BB1342" s="23"/>
      <c r="BD1342" s="21"/>
      <c r="BE1342" s="21"/>
      <c r="BF1342" s="21"/>
      <c r="BG1342" s="21"/>
      <c r="BH1342" s="21"/>
      <c r="BI1342" s="21"/>
    </row>
    <row r="1343" spans="1:61" x14ac:dyDescent="0.2">
      <c r="A1343">
        <v>710</v>
      </c>
      <c r="B1343" t="s">
        <v>887</v>
      </c>
      <c r="C1343" t="str">
        <f t="shared" si="149"/>
        <v/>
      </c>
      <c r="D1343" t="str">
        <f t="shared" si="154"/>
        <v/>
      </c>
      <c r="H1343">
        <f t="shared" si="150"/>
        <v>2</v>
      </c>
      <c r="R1343">
        <v>9</v>
      </c>
      <c r="T1343" t="str">
        <f t="shared" si="148"/>
        <v>o</v>
      </c>
      <c r="AM1343" t="str">
        <f t="shared" si="151"/>
        <v>Zone_Entry_Exit</v>
      </c>
      <c r="AN1343" t="str">
        <f t="shared" si="152"/>
        <v>Zone_Entry</v>
      </c>
      <c r="AP1343" t="str">
        <f t="shared" si="153"/>
        <v>Defensive</v>
      </c>
      <c r="BB1343" s="23"/>
      <c r="BD1343" s="21"/>
      <c r="BE1343" s="21"/>
      <c r="BF1343" s="21"/>
      <c r="BG1343" s="21"/>
      <c r="BH1343" s="21"/>
      <c r="BI1343" s="21"/>
    </row>
    <row r="1344" spans="1:61" x14ac:dyDescent="0.2">
      <c r="A1344">
        <v>711</v>
      </c>
      <c r="B1344">
        <v>120</v>
      </c>
      <c r="C1344">
        <f t="shared" si="149"/>
        <v>9120</v>
      </c>
      <c r="D1344">
        <f t="shared" si="154"/>
        <v>9120</v>
      </c>
      <c r="H1344">
        <f t="shared" si="150"/>
        <v>2</v>
      </c>
      <c r="I1344" s="5" t="s">
        <v>768</v>
      </c>
      <c r="J1344" s="5" t="s">
        <v>638</v>
      </c>
      <c r="Q1344" t="s">
        <v>619</v>
      </c>
      <c r="R1344">
        <v>80</v>
      </c>
      <c r="S1344">
        <v>1</v>
      </c>
      <c r="T1344" t="str">
        <f t="shared" si="148"/>
        <v>e</v>
      </c>
      <c r="U1344" t="s">
        <v>7</v>
      </c>
      <c r="V1344" t="s">
        <v>914</v>
      </c>
      <c r="W1344" t="s">
        <v>53</v>
      </c>
      <c r="X1344" t="s">
        <v>705</v>
      </c>
      <c r="AF1344" t="s">
        <v>401</v>
      </c>
      <c r="AJ1344">
        <v>1</v>
      </c>
      <c r="AM1344" t="str">
        <f t="shared" si="151"/>
        <v>Shot</v>
      </c>
      <c r="AN1344" t="str">
        <f t="shared" si="152"/>
        <v>Shot_MissedPost</v>
      </c>
      <c r="AP1344" t="str">
        <f t="shared" si="153"/>
        <v>Offensive</v>
      </c>
      <c r="BB1344" s="23"/>
      <c r="BD1344" s="21"/>
      <c r="BE1344" s="21"/>
      <c r="BF1344" s="21"/>
      <c r="BG1344" s="21"/>
      <c r="BH1344" s="21"/>
      <c r="BI1344" s="21"/>
    </row>
    <row r="1345" spans="1:61" x14ac:dyDescent="0.2">
      <c r="A1345">
        <v>711</v>
      </c>
      <c r="B1345">
        <v>120</v>
      </c>
      <c r="C1345">
        <f t="shared" si="149"/>
        <v>9120</v>
      </c>
      <c r="D1345">
        <f t="shared" si="154"/>
        <v>9120</v>
      </c>
      <c r="H1345">
        <f t="shared" si="150"/>
        <v>2</v>
      </c>
      <c r="R1345">
        <v>42</v>
      </c>
      <c r="T1345" t="str">
        <f t="shared" si="148"/>
        <v>o</v>
      </c>
      <c r="AJ1345">
        <v>1</v>
      </c>
      <c r="AM1345" t="str">
        <f t="shared" si="151"/>
        <v>Shot</v>
      </c>
      <c r="AN1345" t="str">
        <f t="shared" si="152"/>
        <v>Shot_MissedPost</v>
      </c>
      <c r="AP1345" t="str">
        <f t="shared" si="153"/>
        <v>Defensive</v>
      </c>
      <c r="BB1345" s="23"/>
      <c r="BD1345" s="21"/>
      <c r="BE1345" s="21"/>
      <c r="BF1345" s="21"/>
      <c r="BG1345" s="21"/>
      <c r="BH1345" s="21"/>
      <c r="BI1345" s="21"/>
    </row>
    <row r="1346" spans="1:61" x14ac:dyDescent="0.2">
      <c r="A1346">
        <v>712</v>
      </c>
      <c r="B1346">
        <v>120</v>
      </c>
      <c r="C1346">
        <f t="shared" si="149"/>
        <v>9120</v>
      </c>
      <c r="D1346">
        <f t="shared" si="154"/>
        <v>9120</v>
      </c>
      <c r="H1346">
        <f t="shared" si="150"/>
        <v>2</v>
      </c>
      <c r="I1346" s="5" t="s">
        <v>768</v>
      </c>
      <c r="J1346" s="5" t="s">
        <v>638</v>
      </c>
      <c r="Q1346" t="s">
        <v>619</v>
      </c>
      <c r="R1346">
        <v>80</v>
      </c>
      <c r="S1346">
        <v>1</v>
      </c>
      <c r="T1346" t="str">
        <f t="shared" si="148"/>
        <v>e</v>
      </c>
      <c r="U1346" t="s">
        <v>10</v>
      </c>
      <c r="V1346" t="s">
        <v>190</v>
      </c>
      <c r="W1346" t="s">
        <v>79</v>
      </c>
      <c r="AF1346" t="s">
        <v>401</v>
      </c>
      <c r="AM1346" t="str">
        <f t="shared" si="151"/>
        <v>Turnover</v>
      </c>
      <c r="AN1346" t="str">
        <f t="shared" si="152"/>
        <v>Turnover_Giveaway</v>
      </c>
      <c r="AP1346" t="str">
        <f t="shared" si="153"/>
        <v>Offensive</v>
      </c>
      <c r="BB1346" s="23"/>
      <c r="BD1346" s="21"/>
      <c r="BE1346" s="21"/>
      <c r="BF1346" s="21"/>
      <c r="BG1346" s="21"/>
      <c r="BH1346" s="21"/>
      <c r="BI1346" s="21"/>
    </row>
    <row r="1347" spans="1:61" x14ac:dyDescent="0.2">
      <c r="A1347">
        <v>713</v>
      </c>
      <c r="B1347" t="s">
        <v>887</v>
      </c>
      <c r="C1347" t="str">
        <f t="shared" si="149"/>
        <v/>
      </c>
      <c r="D1347" t="str">
        <f t="shared" si="154"/>
        <v/>
      </c>
      <c r="H1347">
        <f t="shared" si="150"/>
        <v>2</v>
      </c>
      <c r="I1347" s="5" t="s">
        <v>768</v>
      </c>
      <c r="J1347" s="5" t="s">
        <v>762</v>
      </c>
      <c r="Q1347" t="s">
        <v>619</v>
      </c>
      <c r="R1347">
        <v>89</v>
      </c>
      <c r="S1347">
        <v>1</v>
      </c>
      <c r="T1347" t="str">
        <f t="shared" ref="T1347:T1410" si="156">IF(S1347="x","",IF(S1347=1,"e","o"))</f>
        <v>e</v>
      </c>
      <c r="U1347" t="s">
        <v>15</v>
      </c>
      <c r="V1347" t="s">
        <v>698</v>
      </c>
      <c r="X1347" t="s">
        <v>705</v>
      </c>
      <c r="Y1347" t="s">
        <v>851</v>
      </c>
      <c r="AA1347" t="s">
        <v>705</v>
      </c>
      <c r="AF1347" t="s">
        <v>401</v>
      </c>
      <c r="AJ1347">
        <v>1</v>
      </c>
      <c r="AM1347" t="str">
        <f t="shared" si="151"/>
        <v>Possession</v>
      </c>
      <c r="AN1347" t="str">
        <f t="shared" si="152"/>
        <v>PuckRecovery</v>
      </c>
      <c r="AP1347" t="str">
        <f t="shared" si="153"/>
        <v>Offensive</v>
      </c>
      <c r="BB1347" s="23"/>
      <c r="BD1347" s="21"/>
      <c r="BE1347" s="21"/>
      <c r="BF1347" s="21"/>
      <c r="BG1347" s="21"/>
      <c r="BH1347" s="21"/>
      <c r="BI1347" s="21"/>
    </row>
    <row r="1348" spans="1:61" x14ac:dyDescent="0.2">
      <c r="A1348">
        <v>713</v>
      </c>
      <c r="B1348" t="s">
        <v>887</v>
      </c>
      <c r="C1348" t="str">
        <f t="shared" ref="C1348:C1411" si="157">IF(B1348&lt;&gt;"",9000+B1348,"")</f>
        <v/>
      </c>
      <c r="D1348" t="str">
        <f t="shared" si="154"/>
        <v/>
      </c>
      <c r="H1348">
        <f t="shared" si="150"/>
        <v>2</v>
      </c>
      <c r="R1348">
        <v>24</v>
      </c>
      <c r="T1348" t="str">
        <f t="shared" si="156"/>
        <v>o</v>
      </c>
      <c r="Y1348" t="s">
        <v>783</v>
      </c>
      <c r="AA1348" t="s">
        <v>705</v>
      </c>
      <c r="AJ1348">
        <v>1</v>
      </c>
      <c r="AM1348" t="str">
        <f t="shared" si="151"/>
        <v>Possession</v>
      </c>
      <c r="AN1348" t="str">
        <f t="shared" si="152"/>
        <v>PuckRecovery</v>
      </c>
      <c r="AP1348" t="str">
        <f t="shared" si="153"/>
        <v>Defensive</v>
      </c>
      <c r="BB1348" s="23"/>
      <c r="BD1348" s="21"/>
      <c r="BE1348" s="21"/>
      <c r="BF1348" s="21"/>
      <c r="BG1348" s="21"/>
      <c r="BH1348" s="21"/>
      <c r="BI1348" s="21"/>
    </row>
    <row r="1349" spans="1:61" x14ac:dyDescent="0.2">
      <c r="A1349">
        <v>714</v>
      </c>
      <c r="B1349" t="s">
        <v>887</v>
      </c>
      <c r="C1349" t="str">
        <f t="shared" si="157"/>
        <v/>
      </c>
      <c r="D1349" t="str">
        <f t="shared" si="154"/>
        <v/>
      </c>
      <c r="H1349">
        <f t="shared" ref="H1349:H1412" si="158">IF(U1349="Intermission",H1348+1,H1348)</f>
        <v>2</v>
      </c>
      <c r="I1349" s="5" t="s">
        <v>768</v>
      </c>
      <c r="J1349" s="5" t="s">
        <v>762</v>
      </c>
      <c r="Q1349" t="s">
        <v>619</v>
      </c>
      <c r="R1349">
        <v>89</v>
      </c>
      <c r="S1349">
        <v>1</v>
      </c>
      <c r="T1349" t="str">
        <f t="shared" si="156"/>
        <v>e</v>
      </c>
      <c r="U1349" t="s">
        <v>247</v>
      </c>
      <c r="V1349" t="s">
        <v>421</v>
      </c>
      <c r="W1349" t="s">
        <v>466</v>
      </c>
      <c r="X1349" t="s">
        <v>706</v>
      </c>
      <c r="Y1349" t="s">
        <v>680</v>
      </c>
      <c r="AA1349" t="s">
        <v>706</v>
      </c>
      <c r="AF1349" t="s">
        <v>401</v>
      </c>
      <c r="AJ1349">
        <v>1</v>
      </c>
      <c r="AM1349" t="str">
        <f t="shared" ref="AM1349:AM1412" si="159">IF(U1349&lt;&gt;"",U1349,IF($A1349=$A1348,AM1348,""))</f>
        <v>Play</v>
      </c>
      <c r="AN1349" t="str">
        <f t="shared" ref="AN1349:AN1412" si="160">IF(V1349&lt;&gt;"",V1349,IF($A1349=$A1348,AN1348,""))</f>
        <v>Play_Offensive</v>
      </c>
      <c r="AP1349" t="str">
        <f t="shared" si="153"/>
        <v>Offensive</v>
      </c>
      <c r="BB1349" s="23"/>
      <c r="BD1349" s="21"/>
      <c r="BE1349" s="21"/>
      <c r="BF1349" s="21"/>
      <c r="BG1349" s="21"/>
      <c r="BH1349" s="21"/>
      <c r="BI1349" s="21"/>
    </row>
    <row r="1350" spans="1:61" x14ac:dyDescent="0.2">
      <c r="A1350">
        <v>714</v>
      </c>
      <c r="B1350" t="s">
        <v>887</v>
      </c>
      <c r="C1350" t="str">
        <f t="shared" si="157"/>
        <v/>
      </c>
      <c r="D1350" t="str">
        <f t="shared" si="154"/>
        <v/>
      </c>
      <c r="H1350">
        <f t="shared" si="158"/>
        <v>2</v>
      </c>
      <c r="R1350">
        <v>24</v>
      </c>
      <c r="T1350" t="str">
        <f t="shared" si="156"/>
        <v>o</v>
      </c>
      <c r="AJ1350">
        <v>1</v>
      </c>
      <c r="AM1350" t="str">
        <f t="shared" si="159"/>
        <v>Play</v>
      </c>
      <c r="AN1350" t="str">
        <f t="shared" si="160"/>
        <v>Play_Offensive</v>
      </c>
      <c r="AP1350" t="str">
        <f t="shared" ref="AP1350:AP1413" si="161">IF(AND(T1350="e",OR(AM1350="Save",AN1350="Turnover_Takeaway",AN1350="Play_Defensive")),"Defensive",IF(AND(T1350="o",OR(AM1350="Save",AN1350="Turnover_Takeaway",AN1350="Play_Defensive")),"Offensive",IF(OR(AM1350="Deadice",AM1350="Stoppage",AM1350="Intermission"),"",IF(T1350="e","Offensive",IF(T1350="o","Defensive","")))))</f>
        <v>Defensive</v>
      </c>
      <c r="BB1350" s="23"/>
      <c r="BD1350" s="21"/>
      <c r="BE1350" s="21"/>
      <c r="BF1350" s="21"/>
      <c r="BG1350" s="21"/>
      <c r="BH1350" s="21"/>
      <c r="BI1350" s="21"/>
    </row>
    <row r="1351" spans="1:61" x14ac:dyDescent="0.2">
      <c r="A1351">
        <v>715</v>
      </c>
      <c r="B1351" t="s">
        <v>887</v>
      </c>
      <c r="C1351" t="str">
        <f t="shared" si="157"/>
        <v/>
      </c>
      <c r="D1351" t="str">
        <f t="shared" si="154"/>
        <v/>
      </c>
      <c r="H1351">
        <f t="shared" si="158"/>
        <v>2</v>
      </c>
      <c r="I1351" s="5" t="s">
        <v>768</v>
      </c>
      <c r="J1351" s="5" t="s">
        <v>640</v>
      </c>
      <c r="Q1351" t="s">
        <v>619</v>
      </c>
      <c r="R1351">
        <v>80</v>
      </c>
      <c r="S1351">
        <v>1</v>
      </c>
      <c r="T1351" t="str">
        <f t="shared" si="156"/>
        <v>e</v>
      </c>
      <c r="U1351" t="s">
        <v>15</v>
      </c>
      <c r="V1351" t="s">
        <v>697</v>
      </c>
      <c r="X1351" t="s">
        <v>706</v>
      </c>
      <c r="Y1351" t="s">
        <v>720</v>
      </c>
      <c r="AA1351" t="s">
        <v>706</v>
      </c>
      <c r="AF1351" t="s">
        <v>401</v>
      </c>
      <c r="AM1351" t="str">
        <f t="shared" si="159"/>
        <v>Possession</v>
      </c>
      <c r="AN1351" t="str">
        <f t="shared" si="160"/>
        <v>PuckRetrieval</v>
      </c>
      <c r="AP1351" t="str">
        <f t="shared" si="161"/>
        <v>Offensive</v>
      </c>
      <c r="BB1351" s="23"/>
      <c r="BD1351" s="21"/>
      <c r="BE1351" s="21"/>
      <c r="BF1351" s="21"/>
      <c r="BG1351" s="21"/>
      <c r="BH1351" s="21"/>
      <c r="BI1351" s="21"/>
    </row>
    <row r="1352" spans="1:61" x14ac:dyDescent="0.2">
      <c r="A1352">
        <v>716</v>
      </c>
      <c r="B1352" t="s">
        <v>887</v>
      </c>
      <c r="C1352" t="str">
        <f t="shared" si="157"/>
        <v/>
      </c>
      <c r="D1352" t="str">
        <f t="shared" si="154"/>
        <v/>
      </c>
      <c r="H1352">
        <f t="shared" si="158"/>
        <v>2</v>
      </c>
      <c r="I1352" s="5" t="s">
        <v>768</v>
      </c>
      <c r="J1352" s="5" t="s">
        <v>640</v>
      </c>
      <c r="Q1352" t="s">
        <v>619</v>
      </c>
      <c r="R1352">
        <v>80</v>
      </c>
      <c r="S1352">
        <v>1</v>
      </c>
      <c r="T1352" t="str">
        <f t="shared" si="156"/>
        <v>e</v>
      </c>
      <c r="U1352" t="s">
        <v>8</v>
      </c>
      <c r="V1352" t="s">
        <v>189</v>
      </c>
      <c r="W1352" t="s">
        <v>69</v>
      </c>
      <c r="X1352" t="s">
        <v>706</v>
      </c>
      <c r="Y1352" t="s">
        <v>814</v>
      </c>
      <c r="AA1352" t="s">
        <v>706</v>
      </c>
      <c r="AF1352" t="s">
        <v>401</v>
      </c>
      <c r="AM1352" t="str">
        <f t="shared" si="159"/>
        <v>Pass</v>
      </c>
      <c r="AN1352" t="str">
        <f t="shared" si="160"/>
        <v>Pass_Completed</v>
      </c>
      <c r="AP1352" t="str">
        <f t="shared" si="161"/>
        <v>Offensive</v>
      </c>
      <c r="BB1352" s="23"/>
      <c r="BD1352" s="21"/>
      <c r="BE1352" s="21"/>
      <c r="BF1352" s="21"/>
      <c r="BG1352" s="21"/>
      <c r="BH1352" s="21"/>
      <c r="BI1352" s="21"/>
    </row>
    <row r="1353" spans="1:61" x14ac:dyDescent="0.2">
      <c r="A1353">
        <v>716</v>
      </c>
      <c r="B1353" t="s">
        <v>887</v>
      </c>
      <c r="C1353" t="str">
        <f t="shared" si="157"/>
        <v/>
      </c>
      <c r="D1353" t="str">
        <f t="shared" ref="D1353:D1416" si="162">IF(C1353&lt;&gt;"",C1353,B1353)</f>
        <v/>
      </c>
      <c r="H1353">
        <f t="shared" si="158"/>
        <v>2</v>
      </c>
      <c r="R1353">
        <v>25</v>
      </c>
      <c r="S1353">
        <v>1</v>
      </c>
      <c r="T1353" t="str">
        <f t="shared" si="156"/>
        <v>e</v>
      </c>
      <c r="AM1353" t="str">
        <f t="shared" si="159"/>
        <v>Pass</v>
      </c>
      <c r="AN1353" t="str">
        <f t="shared" si="160"/>
        <v>Pass_Completed</v>
      </c>
      <c r="AP1353" t="str">
        <f t="shared" si="161"/>
        <v>Offensive</v>
      </c>
      <c r="BB1353" s="23"/>
      <c r="BD1353" s="21"/>
      <c r="BE1353" s="21"/>
      <c r="BF1353" s="21"/>
      <c r="BG1353" s="21"/>
      <c r="BH1353" s="21"/>
      <c r="BI1353" s="21"/>
    </row>
    <row r="1354" spans="1:61" x14ac:dyDescent="0.2">
      <c r="A1354">
        <v>717</v>
      </c>
      <c r="B1354">
        <v>121</v>
      </c>
      <c r="C1354">
        <f t="shared" si="157"/>
        <v>9121</v>
      </c>
      <c r="D1354">
        <f t="shared" si="162"/>
        <v>9121</v>
      </c>
      <c r="H1354">
        <f t="shared" si="158"/>
        <v>2</v>
      </c>
      <c r="I1354" s="5" t="s">
        <v>768</v>
      </c>
      <c r="J1354" s="5" t="s">
        <v>789</v>
      </c>
      <c r="Q1354" t="s">
        <v>619</v>
      </c>
      <c r="R1354">
        <v>25</v>
      </c>
      <c r="S1354">
        <v>1</v>
      </c>
      <c r="T1354" t="str">
        <f t="shared" si="156"/>
        <v>e</v>
      </c>
      <c r="U1354" t="s">
        <v>7</v>
      </c>
      <c r="V1354" t="s">
        <v>208</v>
      </c>
      <c r="W1354" t="s">
        <v>53</v>
      </c>
      <c r="X1354" t="s">
        <v>705</v>
      </c>
      <c r="AF1354" t="s">
        <v>401</v>
      </c>
      <c r="AJ1354">
        <v>1</v>
      </c>
      <c r="AM1354" t="str">
        <f t="shared" si="159"/>
        <v>Shot</v>
      </c>
      <c r="AN1354" t="str">
        <f t="shared" si="160"/>
        <v>Shot_Blocked</v>
      </c>
      <c r="AP1354" t="str">
        <f t="shared" si="161"/>
        <v>Offensive</v>
      </c>
      <c r="BB1354" s="23"/>
      <c r="BD1354" s="21"/>
      <c r="BE1354" s="21"/>
      <c r="BF1354" s="21"/>
      <c r="BG1354" s="21"/>
      <c r="BH1354" s="21"/>
      <c r="BI1354" s="21"/>
    </row>
    <row r="1355" spans="1:61" x14ac:dyDescent="0.2">
      <c r="A1355">
        <v>717</v>
      </c>
      <c r="B1355">
        <v>121</v>
      </c>
      <c r="C1355">
        <f t="shared" si="157"/>
        <v>9121</v>
      </c>
      <c r="D1355">
        <f t="shared" si="162"/>
        <v>9121</v>
      </c>
      <c r="H1355">
        <f t="shared" si="158"/>
        <v>2</v>
      </c>
      <c r="R1355">
        <v>61</v>
      </c>
      <c r="T1355" t="str">
        <f t="shared" si="156"/>
        <v>o</v>
      </c>
      <c r="Y1355" t="s">
        <v>722</v>
      </c>
      <c r="Z1355" t="s">
        <v>681</v>
      </c>
      <c r="AA1355" t="s">
        <v>706</v>
      </c>
      <c r="AJ1355">
        <v>1</v>
      </c>
      <c r="AM1355" t="str">
        <f t="shared" si="159"/>
        <v>Shot</v>
      </c>
      <c r="AN1355" t="str">
        <f t="shared" si="160"/>
        <v>Shot_Blocked</v>
      </c>
      <c r="AP1355" t="str">
        <f t="shared" si="161"/>
        <v>Defensive</v>
      </c>
      <c r="BB1355" s="23"/>
      <c r="BD1355" s="21"/>
      <c r="BE1355" s="21"/>
      <c r="BF1355" s="21"/>
      <c r="BG1355" s="21"/>
      <c r="BH1355" s="21"/>
      <c r="BI1355" s="21"/>
    </row>
    <row r="1356" spans="1:61" x14ac:dyDescent="0.2">
      <c r="A1356">
        <v>718</v>
      </c>
      <c r="B1356">
        <v>121</v>
      </c>
      <c r="C1356">
        <f t="shared" si="157"/>
        <v>9121</v>
      </c>
      <c r="D1356">
        <f t="shared" si="162"/>
        <v>9121</v>
      </c>
      <c r="H1356">
        <f t="shared" si="158"/>
        <v>2</v>
      </c>
      <c r="I1356" s="5" t="s">
        <v>768</v>
      </c>
      <c r="J1356" s="5" t="s">
        <v>789</v>
      </c>
      <c r="Q1356" t="s">
        <v>620</v>
      </c>
      <c r="R1356">
        <v>61</v>
      </c>
      <c r="S1356">
        <v>1</v>
      </c>
      <c r="T1356" t="str">
        <f t="shared" si="156"/>
        <v>e</v>
      </c>
      <c r="U1356" t="s">
        <v>257</v>
      </c>
      <c r="V1356" t="s">
        <v>201</v>
      </c>
      <c r="W1356" t="s">
        <v>183</v>
      </c>
      <c r="X1356" t="s">
        <v>705</v>
      </c>
      <c r="AF1356" t="s">
        <v>623</v>
      </c>
      <c r="AJ1356">
        <v>1</v>
      </c>
      <c r="AM1356" t="str">
        <f t="shared" si="159"/>
        <v>Zone_Entry_Exit</v>
      </c>
      <c r="AN1356" t="str">
        <f t="shared" si="160"/>
        <v>Zone_Exit</v>
      </c>
      <c r="AP1356" t="str">
        <f t="shared" si="161"/>
        <v>Offensive</v>
      </c>
      <c r="BB1356" s="23"/>
      <c r="BD1356" s="21"/>
      <c r="BE1356" s="21"/>
      <c r="BF1356" s="21"/>
      <c r="BG1356" s="21"/>
      <c r="BH1356" s="21"/>
      <c r="BI1356" s="21"/>
    </row>
    <row r="1357" spans="1:61" x14ac:dyDescent="0.2">
      <c r="A1357">
        <v>718</v>
      </c>
      <c r="B1357">
        <v>121</v>
      </c>
      <c r="C1357">
        <f t="shared" si="157"/>
        <v>9121</v>
      </c>
      <c r="D1357">
        <f t="shared" si="162"/>
        <v>9121</v>
      </c>
      <c r="H1357">
        <f t="shared" si="158"/>
        <v>2</v>
      </c>
      <c r="R1357">
        <v>25</v>
      </c>
      <c r="T1357" t="str">
        <f t="shared" si="156"/>
        <v>o</v>
      </c>
      <c r="AJ1357">
        <v>1</v>
      </c>
      <c r="AM1357" t="str">
        <f t="shared" si="159"/>
        <v>Zone_Entry_Exit</v>
      </c>
      <c r="AN1357" t="str">
        <f t="shared" si="160"/>
        <v>Zone_Exit</v>
      </c>
      <c r="AP1357" t="str">
        <f t="shared" si="161"/>
        <v>Defensive</v>
      </c>
      <c r="BB1357" s="23"/>
      <c r="BD1357" s="21"/>
      <c r="BE1357" s="21"/>
      <c r="BF1357" s="21"/>
      <c r="BG1357" s="21"/>
      <c r="BH1357" s="21"/>
      <c r="BI1357" s="21"/>
    </row>
    <row r="1358" spans="1:61" x14ac:dyDescent="0.2">
      <c r="A1358">
        <v>719</v>
      </c>
      <c r="B1358" t="s">
        <v>887</v>
      </c>
      <c r="C1358" t="str">
        <f t="shared" si="157"/>
        <v/>
      </c>
      <c r="D1358" t="str">
        <f t="shared" si="162"/>
        <v/>
      </c>
      <c r="H1358">
        <f t="shared" si="158"/>
        <v>2</v>
      </c>
      <c r="I1358" s="5" t="s">
        <v>768</v>
      </c>
      <c r="J1358" s="5" t="s">
        <v>810</v>
      </c>
      <c r="K1358" s="5" t="s">
        <v>768</v>
      </c>
      <c r="L1358" s="7" t="s">
        <v>711</v>
      </c>
      <c r="Q1358" t="s">
        <v>619</v>
      </c>
      <c r="R1358">
        <v>4</v>
      </c>
      <c r="S1358">
        <v>1</v>
      </c>
      <c r="T1358" t="str">
        <f t="shared" si="156"/>
        <v>e</v>
      </c>
      <c r="U1358" t="s">
        <v>15</v>
      </c>
      <c r="V1358" t="s">
        <v>698</v>
      </c>
      <c r="X1358" t="s">
        <v>706</v>
      </c>
      <c r="Y1358" t="s">
        <v>752</v>
      </c>
      <c r="Z1358" t="s">
        <v>758</v>
      </c>
      <c r="AA1358" t="s">
        <v>706</v>
      </c>
      <c r="AF1358" t="s">
        <v>635</v>
      </c>
      <c r="AM1358" t="str">
        <f t="shared" si="159"/>
        <v>Possession</v>
      </c>
      <c r="AN1358" t="str">
        <f t="shared" si="160"/>
        <v>PuckRecovery</v>
      </c>
      <c r="AP1358" t="str">
        <f t="shared" si="161"/>
        <v>Offensive</v>
      </c>
      <c r="BB1358" s="23"/>
      <c r="BD1358" s="21"/>
      <c r="BE1358" s="21"/>
      <c r="BF1358" s="21"/>
      <c r="BG1358" s="21"/>
      <c r="BH1358" s="21"/>
      <c r="BI1358" s="21"/>
    </row>
    <row r="1359" spans="1:61" x14ac:dyDescent="0.2">
      <c r="A1359">
        <v>720</v>
      </c>
      <c r="B1359">
        <v>122</v>
      </c>
      <c r="C1359">
        <f t="shared" si="157"/>
        <v>9122</v>
      </c>
      <c r="D1359">
        <f t="shared" si="162"/>
        <v>9122</v>
      </c>
      <c r="H1359">
        <f t="shared" si="158"/>
        <v>2</v>
      </c>
      <c r="I1359" s="5" t="s">
        <v>768</v>
      </c>
      <c r="J1359" s="5" t="s">
        <v>711</v>
      </c>
      <c r="Q1359" t="s">
        <v>619</v>
      </c>
      <c r="R1359">
        <v>4</v>
      </c>
      <c r="S1359">
        <v>1</v>
      </c>
      <c r="T1359" t="str">
        <f t="shared" si="156"/>
        <v>e</v>
      </c>
      <c r="U1359" t="s">
        <v>257</v>
      </c>
      <c r="V1359" t="s">
        <v>191</v>
      </c>
      <c r="W1359" t="s">
        <v>89</v>
      </c>
      <c r="X1359" t="s">
        <v>705</v>
      </c>
      <c r="Y1359" t="s">
        <v>718</v>
      </c>
      <c r="AA1359" t="s">
        <v>705</v>
      </c>
      <c r="AF1359" t="s">
        <v>635</v>
      </c>
      <c r="AM1359" t="str">
        <f t="shared" si="159"/>
        <v>Zone_Entry_Exit</v>
      </c>
      <c r="AN1359" t="str">
        <f t="shared" si="160"/>
        <v>Zone_Entry</v>
      </c>
      <c r="AP1359" t="str">
        <f t="shared" si="161"/>
        <v>Offensive</v>
      </c>
      <c r="BB1359" s="23"/>
      <c r="BD1359" s="21"/>
      <c r="BE1359" s="21"/>
      <c r="BF1359" s="21"/>
      <c r="BG1359" s="21"/>
      <c r="BH1359" s="21"/>
      <c r="BI1359" s="21"/>
    </row>
    <row r="1360" spans="1:61" x14ac:dyDescent="0.2">
      <c r="A1360">
        <v>721</v>
      </c>
      <c r="B1360">
        <v>122</v>
      </c>
      <c r="C1360">
        <f t="shared" si="157"/>
        <v>9122</v>
      </c>
      <c r="D1360">
        <f t="shared" si="162"/>
        <v>9122</v>
      </c>
      <c r="H1360">
        <f t="shared" si="158"/>
        <v>2</v>
      </c>
      <c r="I1360" s="5" t="s">
        <v>768</v>
      </c>
      <c r="J1360" s="5" t="s">
        <v>711</v>
      </c>
      <c r="Q1360" t="s">
        <v>619</v>
      </c>
      <c r="R1360">
        <v>4</v>
      </c>
      <c r="S1360">
        <v>1</v>
      </c>
      <c r="T1360" t="str">
        <f t="shared" si="156"/>
        <v>e</v>
      </c>
      <c r="U1360" t="s">
        <v>10</v>
      </c>
      <c r="V1360" t="s">
        <v>190</v>
      </c>
      <c r="W1360" t="s">
        <v>387</v>
      </c>
      <c r="AF1360" t="s">
        <v>635</v>
      </c>
      <c r="AM1360" t="str">
        <f t="shared" si="159"/>
        <v>Turnover</v>
      </c>
      <c r="AN1360" t="str">
        <f t="shared" si="160"/>
        <v>Turnover_Giveaway</v>
      </c>
      <c r="AP1360" t="str">
        <f t="shared" si="161"/>
        <v>Offensive</v>
      </c>
      <c r="BB1360" s="23"/>
      <c r="BD1360" s="21"/>
      <c r="BE1360" s="21"/>
      <c r="BF1360" s="21"/>
      <c r="BG1360" s="21"/>
      <c r="BH1360" s="21"/>
      <c r="BI1360" s="21"/>
    </row>
    <row r="1361" spans="1:61" x14ac:dyDescent="0.2">
      <c r="A1361">
        <v>722</v>
      </c>
      <c r="B1361" t="s">
        <v>887</v>
      </c>
      <c r="C1361" t="str">
        <f t="shared" si="157"/>
        <v/>
      </c>
      <c r="D1361" t="str">
        <f t="shared" si="162"/>
        <v/>
      </c>
      <c r="H1361">
        <f t="shared" si="158"/>
        <v>2</v>
      </c>
      <c r="I1361" s="5" t="s">
        <v>768</v>
      </c>
      <c r="J1361" s="5" t="s">
        <v>717</v>
      </c>
      <c r="K1361" s="5" t="s">
        <v>768</v>
      </c>
      <c r="L1361" s="7" t="s">
        <v>779</v>
      </c>
      <c r="Q1361" t="s">
        <v>620</v>
      </c>
      <c r="R1361">
        <v>9</v>
      </c>
      <c r="S1361">
        <v>1</v>
      </c>
      <c r="T1361" t="str">
        <f t="shared" si="156"/>
        <v>e</v>
      </c>
      <c r="U1361" t="s">
        <v>15</v>
      </c>
      <c r="V1361" t="s">
        <v>697</v>
      </c>
      <c r="X1361" t="s">
        <v>706</v>
      </c>
      <c r="Y1361" t="s">
        <v>720</v>
      </c>
      <c r="Z1361" t="s">
        <v>679</v>
      </c>
      <c r="AA1361" t="s">
        <v>706</v>
      </c>
      <c r="AF1361" t="s">
        <v>623</v>
      </c>
      <c r="AM1361" t="str">
        <f t="shared" si="159"/>
        <v>Possession</v>
      </c>
      <c r="AN1361" t="str">
        <f t="shared" si="160"/>
        <v>PuckRetrieval</v>
      </c>
      <c r="AP1361" t="str">
        <f t="shared" si="161"/>
        <v>Offensive</v>
      </c>
      <c r="BB1361" s="23"/>
      <c r="BD1361" s="21"/>
      <c r="BE1361" s="21"/>
      <c r="BF1361" s="21"/>
      <c r="BG1361" s="21"/>
      <c r="BH1361" s="21"/>
      <c r="BI1361" s="21"/>
    </row>
    <row r="1362" spans="1:61" x14ac:dyDescent="0.2">
      <c r="A1362">
        <v>723</v>
      </c>
      <c r="B1362" t="s">
        <v>887</v>
      </c>
      <c r="C1362" t="str">
        <f t="shared" si="157"/>
        <v/>
      </c>
      <c r="D1362" t="str">
        <f t="shared" si="162"/>
        <v/>
      </c>
      <c r="H1362">
        <f t="shared" si="158"/>
        <v>2</v>
      </c>
      <c r="I1362" s="5" t="s">
        <v>768</v>
      </c>
      <c r="J1362" s="5" t="s">
        <v>779</v>
      </c>
      <c r="Q1362" t="s">
        <v>620</v>
      </c>
      <c r="R1362">
        <v>9</v>
      </c>
      <c r="S1362">
        <v>1</v>
      </c>
      <c r="T1362" t="str">
        <f t="shared" si="156"/>
        <v>e</v>
      </c>
      <c r="U1362" t="s">
        <v>8</v>
      </c>
      <c r="V1362" t="s">
        <v>189</v>
      </c>
      <c r="W1362" t="s">
        <v>70</v>
      </c>
      <c r="X1362" t="s">
        <v>706</v>
      </c>
      <c r="Y1362" t="s">
        <v>784</v>
      </c>
      <c r="AA1362" t="s">
        <v>706</v>
      </c>
      <c r="AF1362" t="s">
        <v>623</v>
      </c>
      <c r="AM1362" t="str">
        <f t="shared" si="159"/>
        <v>Pass</v>
      </c>
      <c r="AN1362" t="str">
        <f t="shared" si="160"/>
        <v>Pass_Completed</v>
      </c>
      <c r="AP1362" t="str">
        <f t="shared" si="161"/>
        <v>Offensive</v>
      </c>
      <c r="BB1362" s="23"/>
      <c r="BD1362" s="21"/>
      <c r="BE1362" s="21"/>
      <c r="BF1362" s="21"/>
      <c r="BG1362" s="21"/>
      <c r="BH1362" s="21"/>
      <c r="BI1362" s="21"/>
    </row>
    <row r="1363" spans="1:61" x14ac:dyDescent="0.2">
      <c r="A1363">
        <v>723</v>
      </c>
      <c r="B1363" t="s">
        <v>887</v>
      </c>
      <c r="C1363" t="str">
        <f t="shared" si="157"/>
        <v/>
      </c>
      <c r="D1363" t="str">
        <f t="shared" si="162"/>
        <v/>
      </c>
      <c r="H1363">
        <f t="shared" si="158"/>
        <v>2</v>
      </c>
      <c r="R1363">
        <v>42</v>
      </c>
      <c r="S1363">
        <v>1</v>
      </c>
      <c r="T1363" t="str">
        <f t="shared" si="156"/>
        <v>e</v>
      </c>
      <c r="AJ1363">
        <v>1</v>
      </c>
      <c r="AM1363" t="str">
        <f t="shared" si="159"/>
        <v>Pass</v>
      </c>
      <c r="AN1363" t="str">
        <f t="shared" si="160"/>
        <v>Pass_Completed</v>
      </c>
      <c r="AP1363" t="str">
        <f t="shared" si="161"/>
        <v>Offensive</v>
      </c>
      <c r="BB1363" s="23"/>
      <c r="BD1363" s="21"/>
      <c r="BE1363" s="21"/>
      <c r="BF1363" s="21"/>
      <c r="BG1363" s="21"/>
      <c r="BH1363" s="21"/>
      <c r="BI1363" s="21"/>
    </row>
    <row r="1364" spans="1:61" x14ac:dyDescent="0.2">
      <c r="A1364">
        <v>723</v>
      </c>
      <c r="B1364" t="s">
        <v>887</v>
      </c>
      <c r="C1364" t="str">
        <f t="shared" si="157"/>
        <v/>
      </c>
      <c r="D1364" t="str">
        <f t="shared" si="162"/>
        <v/>
      </c>
      <c r="H1364">
        <f t="shared" si="158"/>
        <v>2</v>
      </c>
      <c r="R1364">
        <v>91</v>
      </c>
      <c r="T1364" t="str">
        <f t="shared" si="156"/>
        <v>o</v>
      </c>
      <c r="AJ1364">
        <v>1</v>
      </c>
      <c r="AM1364" t="str">
        <f t="shared" si="159"/>
        <v>Pass</v>
      </c>
      <c r="AN1364" t="str">
        <f t="shared" si="160"/>
        <v>Pass_Completed</v>
      </c>
      <c r="AP1364" t="str">
        <f t="shared" si="161"/>
        <v>Defensive</v>
      </c>
      <c r="BB1364" s="23"/>
      <c r="BD1364" s="21"/>
      <c r="BE1364" s="21"/>
      <c r="BF1364" s="21"/>
      <c r="BG1364" s="21"/>
      <c r="BH1364" s="21"/>
      <c r="BI1364" s="21"/>
    </row>
    <row r="1365" spans="1:61" x14ac:dyDescent="0.2">
      <c r="A1365">
        <v>724</v>
      </c>
      <c r="B1365" t="s">
        <v>887</v>
      </c>
      <c r="C1365" t="str">
        <f t="shared" si="157"/>
        <v/>
      </c>
      <c r="D1365" t="str">
        <f t="shared" si="162"/>
        <v/>
      </c>
      <c r="H1365">
        <f t="shared" si="158"/>
        <v>2</v>
      </c>
      <c r="I1365" s="5" t="s">
        <v>768</v>
      </c>
      <c r="J1365" s="5" t="s">
        <v>779</v>
      </c>
      <c r="K1365" s="5" t="s">
        <v>768</v>
      </c>
      <c r="L1365" s="7" t="s">
        <v>726</v>
      </c>
      <c r="Q1365" t="s">
        <v>620</v>
      </c>
      <c r="R1365">
        <v>42</v>
      </c>
      <c r="S1365">
        <v>1</v>
      </c>
      <c r="T1365" t="str">
        <f t="shared" si="156"/>
        <v>e</v>
      </c>
      <c r="U1365" t="s">
        <v>15</v>
      </c>
      <c r="V1365" t="s">
        <v>684</v>
      </c>
      <c r="X1365" t="s">
        <v>706</v>
      </c>
      <c r="AF1365" t="s">
        <v>623</v>
      </c>
      <c r="AJ1365">
        <v>1</v>
      </c>
      <c r="AM1365" t="str">
        <f t="shared" si="159"/>
        <v>Possession</v>
      </c>
      <c r="AN1365" t="str">
        <f t="shared" si="160"/>
        <v>Regroup</v>
      </c>
      <c r="AP1365" t="str">
        <f t="shared" si="161"/>
        <v>Offensive</v>
      </c>
      <c r="BB1365" s="23"/>
      <c r="BD1365" s="21"/>
      <c r="BE1365" s="21"/>
      <c r="BF1365" s="21"/>
      <c r="BG1365" s="21"/>
      <c r="BH1365" s="21"/>
      <c r="BI1365" s="21"/>
    </row>
    <row r="1366" spans="1:61" x14ac:dyDescent="0.2">
      <c r="A1366">
        <v>724</v>
      </c>
      <c r="B1366" t="s">
        <v>887</v>
      </c>
      <c r="C1366" t="str">
        <f t="shared" si="157"/>
        <v/>
      </c>
      <c r="D1366" t="str">
        <f t="shared" si="162"/>
        <v/>
      </c>
      <c r="H1366">
        <f t="shared" si="158"/>
        <v>2</v>
      </c>
      <c r="R1366">
        <v>91</v>
      </c>
      <c r="T1366" t="str">
        <f t="shared" si="156"/>
        <v>o</v>
      </c>
      <c r="AJ1366">
        <v>1</v>
      </c>
      <c r="AM1366" t="str">
        <f t="shared" si="159"/>
        <v>Possession</v>
      </c>
      <c r="AN1366" t="str">
        <f t="shared" si="160"/>
        <v>Regroup</v>
      </c>
      <c r="AP1366" t="str">
        <f t="shared" si="161"/>
        <v>Defensive</v>
      </c>
      <c r="BB1366" s="23"/>
      <c r="BD1366" s="21"/>
      <c r="BE1366" s="21"/>
      <c r="BF1366" s="21"/>
      <c r="BG1366" s="21"/>
      <c r="BH1366" s="21"/>
      <c r="BI1366" s="21"/>
    </row>
    <row r="1367" spans="1:61" x14ac:dyDescent="0.2">
      <c r="A1367">
        <v>725</v>
      </c>
      <c r="B1367">
        <v>123</v>
      </c>
      <c r="C1367">
        <f t="shared" si="157"/>
        <v>9123</v>
      </c>
      <c r="D1367">
        <f t="shared" si="162"/>
        <v>9123</v>
      </c>
      <c r="H1367">
        <f t="shared" si="158"/>
        <v>2</v>
      </c>
      <c r="I1367" s="5" t="s">
        <v>768</v>
      </c>
      <c r="J1367" s="5" t="s">
        <v>726</v>
      </c>
      <c r="Q1367" t="s">
        <v>620</v>
      </c>
      <c r="R1367">
        <v>42</v>
      </c>
      <c r="S1367">
        <v>1</v>
      </c>
      <c r="T1367" t="str">
        <f t="shared" si="156"/>
        <v>e</v>
      </c>
      <c r="U1367" t="s">
        <v>8</v>
      </c>
      <c r="V1367" t="s">
        <v>189</v>
      </c>
      <c r="W1367" t="s">
        <v>70</v>
      </c>
      <c r="X1367" t="s">
        <v>706</v>
      </c>
      <c r="Y1367" t="s">
        <v>678</v>
      </c>
      <c r="AA1367" t="s">
        <v>706</v>
      </c>
      <c r="AF1367" t="s">
        <v>623</v>
      </c>
      <c r="AM1367" t="str">
        <f t="shared" si="159"/>
        <v>Pass</v>
      </c>
      <c r="AN1367" t="str">
        <f t="shared" si="160"/>
        <v>Pass_Completed</v>
      </c>
      <c r="AP1367" t="str">
        <f t="shared" si="161"/>
        <v>Offensive</v>
      </c>
      <c r="BB1367" s="23"/>
      <c r="BD1367" s="21"/>
      <c r="BE1367" s="21"/>
      <c r="BF1367" s="21"/>
      <c r="BG1367" s="21"/>
      <c r="BH1367" s="21"/>
      <c r="BI1367" s="21"/>
    </row>
    <row r="1368" spans="1:61" x14ac:dyDescent="0.2">
      <c r="A1368">
        <v>725</v>
      </c>
      <c r="B1368">
        <v>123</v>
      </c>
      <c r="C1368">
        <f t="shared" si="157"/>
        <v>9123</v>
      </c>
      <c r="D1368">
        <f t="shared" si="162"/>
        <v>9123</v>
      </c>
      <c r="H1368">
        <f t="shared" si="158"/>
        <v>2</v>
      </c>
      <c r="R1368">
        <v>61</v>
      </c>
      <c r="S1368">
        <v>1</v>
      </c>
      <c r="T1368" t="str">
        <f t="shared" si="156"/>
        <v>e</v>
      </c>
      <c r="AM1368" t="str">
        <f t="shared" si="159"/>
        <v>Pass</v>
      </c>
      <c r="AN1368" t="str">
        <f t="shared" si="160"/>
        <v>Pass_Completed</v>
      </c>
      <c r="AP1368" t="str">
        <f t="shared" si="161"/>
        <v>Offensive</v>
      </c>
      <c r="BB1368" s="23"/>
      <c r="BD1368" s="21"/>
      <c r="BE1368" s="21"/>
      <c r="BF1368" s="21"/>
      <c r="BG1368" s="21"/>
      <c r="BH1368" s="21"/>
      <c r="BI1368" s="21"/>
    </row>
    <row r="1369" spans="1:61" x14ac:dyDescent="0.2">
      <c r="A1369">
        <v>726</v>
      </c>
      <c r="B1369">
        <v>123</v>
      </c>
      <c r="C1369">
        <f t="shared" si="157"/>
        <v>9123</v>
      </c>
      <c r="D1369">
        <f t="shared" si="162"/>
        <v>9123</v>
      </c>
      <c r="H1369">
        <f t="shared" si="158"/>
        <v>2</v>
      </c>
      <c r="I1369" s="5" t="s">
        <v>768</v>
      </c>
      <c r="J1369" s="5" t="s">
        <v>726</v>
      </c>
      <c r="Q1369" t="s">
        <v>620</v>
      </c>
      <c r="R1369">
        <v>42</v>
      </c>
      <c r="S1369">
        <v>1</v>
      </c>
      <c r="T1369" t="str">
        <f t="shared" si="156"/>
        <v>e</v>
      </c>
      <c r="U1369" t="s">
        <v>257</v>
      </c>
      <c r="V1369" t="s">
        <v>201</v>
      </c>
      <c r="W1369" t="s">
        <v>91</v>
      </c>
      <c r="X1369" t="s">
        <v>706</v>
      </c>
      <c r="AF1369" t="s">
        <v>623</v>
      </c>
      <c r="AM1369" t="str">
        <f t="shared" si="159"/>
        <v>Zone_Entry_Exit</v>
      </c>
      <c r="AN1369" t="str">
        <f t="shared" si="160"/>
        <v>Zone_Exit</v>
      </c>
      <c r="AP1369" t="str">
        <f t="shared" si="161"/>
        <v>Offensive</v>
      </c>
      <c r="BB1369" s="23"/>
      <c r="BD1369" s="21"/>
      <c r="BE1369" s="21"/>
      <c r="BF1369" s="21"/>
      <c r="BG1369" s="21"/>
      <c r="BH1369" s="21"/>
      <c r="BI1369" s="21"/>
    </row>
    <row r="1370" spans="1:61" x14ac:dyDescent="0.2">
      <c r="A1370">
        <v>726</v>
      </c>
      <c r="B1370">
        <v>123</v>
      </c>
      <c r="C1370">
        <f t="shared" si="157"/>
        <v>9123</v>
      </c>
      <c r="D1370">
        <f t="shared" si="162"/>
        <v>9123</v>
      </c>
      <c r="H1370">
        <f t="shared" si="158"/>
        <v>2</v>
      </c>
      <c r="R1370">
        <v>61</v>
      </c>
      <c r="S1370">
        <v>1</v>
      </c>
      <c r="T1370" t="str">
        <f t="shared" si="156"/>
        <v>e</v>
      </c>
      <c r="AM1370" t="str">
        <f t="shared" si="159"/>
        <v>Zone_Entry_Exit</v>
      </c>
      <c r="AN1370" t="str">
        <f t="shared" si="160"/>
        <v>Zone_Exit</v>
      </c>
      <c r="AP1370" t="str">
        <f t="shared" si="161"/>
        <v>Offensive</v>
      </c>
      <c r="BB1370" s="23"/>
      <c r="BD1370" s="21"/>
      <c r="BE1370" s="21"/>
      <c r="BF1370" s="21"/>
      <c r="BG1370" s="21"/>
      <c r="BH1370" s="21"/>
      <c r="BI1370" s="21"/>
    </row>
    <row r="1371" spans="1:61" x14ac:dyDescent="0.2">
      <c r="A1371">
        <v>727</v>
      </c>
      <c r="B1371" t="s">
        <v>887</v>
      </c>
      <c r="C1371" t="str">
        <f t="shared" si="157"/>
        <v/>
      </c>
      <c r="D1371" t="str">
        <f t="shared" si="162"/>
        <v/>
      </c>
      <c r="H1371">
        <f t="shared" si="158"/>
        <v>2</v>
      </c>
      <c r="I1371" s="5" t="s">
        <v>768</v>
      </c>
      <c r="J1371" s="5" t="s">
        <v>726</v>
      </c>
      <c r="K1371" s="5" t="s">
        <v>768</v>
      </c>
      <c r="L1371" s="7" t="s">
        <v>766</v>
      </c>
      <c r="Q1371" t="s">
        <v>620</v>
      </c>
      <c r="R1371">
        <v>61</v>
      </c>
      <c r="S1371">
        <v>1</v>
      </c>
      <c r="T1371" t="str">
        <f t="shared" si="156"/>
        <v>e</v>
      </c>
      <c r="U1371" t="s">
        <v>15</v>
      </c>
      <c r="AF1371" t="s">
        <v>635</v>
      </c>
      <c r="AM1371" t="str">
        <f t="shared" si="159"/>
        <v>Possession</v>
      </c>
      <c r="AN1371" t="str">
        <f t="shared" si="160"/>
        <v/>
      </c>
      <c r="AP1371" t="str">
        <f t="shared" si="161"/>
        <v>Offensive</v>
      </c>
      <c r="BB1371" s="23"/>
      <c r="BD1371" s="21"/>
      <c r="BE1371" s="21"/>
      <c r="BF1371" s="21"/>
      <c r="BG1371" s="21"/>
      <c r="BH1371" s="21"/>
      <c r="BI1371" s="21"/>
    </row>
    <row r="1372" spans="1:61" x14ac:dyDescent="0.2">
      <c r="A1372">
        <v>728</v>
      </c>
      <c r="B1372">
        <v>124</v>
      </c>
      <c r="C1372">
        <f t="shared" si="157"/>
        <v>9124</v>
      </c>
      <c r="D1372">
        <f t="shared" si="162"/>
        <v>9124</v>
      </c>
      <c r="H1372">
        <f t="shared" si="158"/>
        <v>2</v>
      </c>
      <c r="I1372" s="5" t="s">
        <v>768</v>
      </c>
      <c r="J1372" s="5" t="s">
        <v>766</v>
      </c>
      <c r="Q1372" t="s">
        <v>620</v>
      </c>
      <c r="R1372">
        <v>61</v>
      </c>
      <c r="S1372">
        <v>1</v>
      </c>
      <c r="T1372" t="str">
        <f t="shared" si="156"/>
        <v>e</v>
      </c>
      <c r="U1372" t="s">
        <v>8</v>
      </c>
      <c r="V1372" t="s">
        <v>189</v>
      </c>
      <c r="W1372" t="s">
        <v>70</v>
      </c>
      <c r="X1372" t="s">
        <v>706</v>
      </c>
      <c r="AF1372" t="s">
        <v>635</v>
      </c>
      <c r="AM1372" t="str">
        <f t="shared" si="159"/>
        <v>Pass</v>
      </c>
      <c r="AN1372" t="str">
        <f t="shared" si="160"/>
        <v>Pass_Completed</v>
      </c>
      <c r="AP1372" t="str">
        <f t="shared" si="161"/>
        <v>Offensive</v>
      </c>
      <c r="BB1372" s="23"/>
      <c r="BD1372" s="21"/>
      <c r="BE1372" s="21"/>
      <c r="BF1372" s="21"/>
      <c r="BG1372" s="21"/>
      <c r="BH1372" s="21"/>
      <c r="BI1372" s="21"/>
    </row>
    <row r="1373" spans="1:61" x14ac:dyDescent="0.2">
      <c r="A1373">
        <v>728</v>
      </c>
      <c r="B1373">
        <v>124</v>
      </c>
      <c r="C1373">
        <f t="shared" si="157"/>
        <v>9124</v>
      </c>
      <c r="D1373">
        <f t="shared" si="162"/>
        <v>9124</v>
      </c>
      <c r="H1373">
        <f t="shared" si="158"/>
        <v>2</v>
      </c>
      <c r="R1373">
        <v>24</v>
      </c>
      <c r="S1373">
        <v>1</v>
      </c>
      <c r="T1373" t="str">
        <f t="shared" si="156"/>
        <v>e</v>
      </c>
      <c r="AM1373" t="str">
        <f t="shared" si="159"/>
        <v>Pass</v>
      </c>
      <c r="AN1373" t="str">
        <f t="shared" si="160"/>
        <v>Pass_Completed</v>
      </c>
      <c r="AP1373" t="str">
        <f t="shared" si="161"/>
        <v>Offensive</v>
      </c>
      <c r="BB1373" s="23"/>
      <c r="BD1373" s="21"/>
      <c r="BE1373" s="21"/>
      <c r="BF1373" s="21"/>
      <c r="BG1373" s="21"/>
      <c r="BH1373" s="21"/>
      <c r="BI1373" s="21"/>
    </row>
    <row r="1374" spans="1:61" x14ac:dyDescent="0.2">
      <c r="A1374">
        <v>729</v>
      </c>
      <c r="B1374">
        <v>124</v>
      </c>
      <c r="C1374">
        <f t="shared" si="157"/>
        <v>9124</v>
      </c>
      <c r="D1374">
        <f t="shared" si="162"/>
        <v>9124</v>
      </c>
      <c r="H1374">
        <f t="shared" si="158"/>
        <v>2</v>
      </c>
      <c r="I1374" s="5" t="s">
        <v>768</v>
      </c>
      <c r="J1374" s="5" t="s">
        <v>766</v>
      </c>
      <c r="Q1374" t="s">
        <v>620</v>
      </c>
      <c r="R1374">
        <v>61</v>
      </c>
      <c r="S1374">
        <v>1</v>
      </c>
      <c r="T1374" t="str">
        <f t="shared" si="156"/>
        <v>e</v>
      </c>
      <c r="U1374" t="s">
        <v>257</v>
      </c>
      <c r="V1374" t="s">
        <v>191</v>
      </c>
      <c r="W1374" t="s">
        <v>88</v>
      </c>
      <c r="X1374" t="s">
        <v>706</v>
      </c>
      <c r="AF1374" t="s">
        <v>635</v>
      </c>
      <c r="AM1374" t="str">
        <f t="shared" si="159"/>
        <v>Zone_Entry_Exit</v>
      </c>
      <c r="AN1374" t="str">
        <f t="shared" si="160"/>
        <v>Zone_Entry</v>
      </c>
      <c r="AP1374" t="str">
        <f t="shared" si="161"/>
        <v>Offensive</v>
      </c>
      <c r="BB1374" s="23"/>
      <c r="BD1374" s="21"/>
      <c r="BE1374" s="21"/>
      <c r="BF1374" s="21"/>
      <c r="BG1374" s="21"/>
      <c r="BH1374" s="21"/>
      <c r="BI1374" s="21"/>
    </row>
    <row r="1375" spans="1:61" x14ac:dyDescent="0.2">
      <c r="A1375">
        <v>729</v>
      </c>
      <c r="B1375">
        <v>124</v>
      </c>
      <c r="C1375">
        <f t="shared" si="157"/>
        <v>9124</v>
      </c>
      <c r="D1375">
        <f t="shared" si="162"/>
        <v>9124</v>
      </c>
      <c r="H1375">
        <f t="shared" si="158"/>
        <v>2</v>
      </c>
      <c r="R1375">
        <v>24</v>
      </c>
      <c r="S1375">
        <v>1</v>
      </c>
      <c r="T1375" t="str">
        <f t="shared" si="156"/>
        <v>e</v>
      </c>
      <c r="AM1375" t="str">
        <f t="shared" si="159"/>
        <v>Zone_Entry_Exit</v>
      </c>
      <c r="AN1375" t="str">
        <f t="shared" si="160"/>
        <v>Zone_Entry</v>
      </c>
      <c r="AP1375" t="str">
        <f t="shared" si="161"/>
        <v>Offensive</v>
      </c>
      <c r="BB1375" s="23"/>
      <c r="BD1375" s="21"/>
      <c r="BE1375" s="21"/>
      <c r="BF1375" s="21"/>
      <c r="BG1375" s="21"/>
      <c r="BH1375" s="21"/>
      <c r="BI1375" s="21"/>
    </row>
    <row r="1376" spans="1:61" x14ac:dyDescent="0.2">
      <c r="A1376">
        <v>730</v>
      </c>
      <c r="B1376" t="s">
        <v>887</v>
      </c>
      <c r="C1376" t="str">
        <f t="shared" si="157"/>
        <v/>
      </c>
      <c r="D1376" t="str">
        <f t="shared" si="162"/>
        <v/>
      </c>
      <c r="H1376">
        <f t="shared" si="158"/>
        <v>2</v>
      </c>
      <c r="I1376" s="5" t="s">
        <v>768</v>
      </c>
      <c r="J1376" s="5" t="s">
        <v>766</v>
      </c>
      <c r="K1376" s="5" t="s">
        <v>768</v>
      </c>
      <c r="L1376" s="7" t="s">
        <v>731</v>
      </c>
      <c r="Q1376" t="s">
        <v>620</v>
      </c>
      <c r="R1376">
        <v>24</v>
      </c>
      <c r="S1376">
        <v>1</v>
      </c>
      <c r="T1376" t="str">
        <f t="shared" si="156"/>
        <v>e</v>
      </c>
      <c r="U1376" t="s">
        <v>15</v>
      </c>
      <c r="Y1376" t="s">
        <v>728</v>
      </c>
      <c r="AF1376" t="s">
        <v>401</v>
      </c>
      <c r="AJ1376">
        <v>1</v>
      </c>
      <c r="AM1376" t="str">
        <f t="shared" si="159"/>
        <v>Possession</v>
      </c>
      <c r="AN1376" t="str">
        <f t="shared" si="160"/>
        <v/>
      </c>
      <c r="AP1376" t="str">
        <f t="shared" si="161"/>
        <v>Offensive</v>
      </c>
      <c r="BB1376" s="23"/>
      <c r="BD1376" s="21"/>
      <c r="BE1376" s="21"/>
      <c r="BF1376" s="21"/>
      <c r="BG1376" s="21"/>
      <c r="BH1376" s="21"/>
      <c r="BI1376" s="21"/>
    </row>
    <row r="1377" spans="1:61" x14ac:dyDescent="0.2">
      <c r="A1377">
        <v>730</v>
      </c>
      <c r="B1377" t="s">
        <v>887</v>
      </c>
      <c r="C1377" t="str">
        <f t="shared" si="157"/>
        <v/>
      </c>
      <c r="D1377" t="str">
        <f t="shared" si="162"/>
        <v/>
      </c>
      <c r="H1377">
        <f t="shared" si="158"/>
        <v>2</v>
      </c>
      <c r="R1377">
        <v>25</v>
      </c>
      <c r="T1377" t="str">
        <f t="shared" si="156"/>
        <v>o</v>
      </c>
      <c r="AJ1377">
        <v>1</v>
      </c>
      <c r="AM1377" t="str">
        <f t="shared" si="159"/>
        <v>Possession</v>
      </c>
      <c r="AN1377" t="str">
        <f t="shared" si="160"/>
        <v/>
      </c>
      <c r="AP1377" t="str">
        <f t="shared" si="161"/>
        <v>Defensive</v>
      </c>
      <c r="BB1377" s="23"/>
      <c r="BD1377" s="21"/>
      <c r="BE1377" s="21"/>
      <c r="BF1377" s="21"/>
      <c r="BG1377" s="21"/>
      <c r="BH1377" s="21"/>
      <c r="BI1377" s="21"/>
    </row>
    <row r="1378" spans="1:61" x14ac:dyDescent="0.2">
      <c r="A1378">
        <v>731</v>
      </c>
      <c r="B1378">
        <v>125</v>
      </c>
      <c r="C1378">
        <f t="shared" si="157"/>
        <v>9125</v>
      </c>
      <c r="D1378">
        <f t="shared" si="162"/>
        <v>9125</v>
      </c>
      <c r="H1378">
        <f t="shared" si="158"/>
        <v>2</v>
      </c>
      <c r="I1378" s="5" t="s">
        <v>768</v>
      </c>
      <c r="J1378" s="5" t="s">
        <v>731</v>
      </c>
      <c r="Q1378" t="s">
        <v>620</v>
      </c>
      <c r="R1378">
        <v>24</v>
      </c>
      <c r="S1378">
        <v>1</v>
      </c>
      <c r="T1378" t="str">
        <f t="shared" si="156"/>
        <v>e</v>
      </c>
      <c r="U1378" t="s">
        <v>7</v>
      </c>
      <c r="V1378" t="s">
        <v>198</v>
      </c>
      <c r="W1378" t="s">
        <v>53</v>
      </c>
      <c r="X1378" t="s">
        <v>705</v>
      </c>
      <c r="AF1378" t="s">
        <v>401</v>
      </c>
      <c r="AJ1378">
        <v>1</v>
      </c>
      <c r="AM1378" t="str">
        <f t="shared" si="159"/>
        <v>Shot</v>
      </c>
      <c r="AN1378" t="str">
        <f t="shared" si="160"/>
        <v>Shot_Missed</v>
      </c>
      <c r="AP1378" t="str">
        <f t="shared" si="161"/>
        <v>Offensive</v>
      </c>
      <c r="BB1378" s="23"/>
      <c r="BD1378" s="21"/>
      <c r="BE1378" s="21"/>
      <c r="BF1378" s="21"/>
      <c r="BG1378" s="21"/>
      <c r="BH1378" s="21"/>
      <c r="BI1378" s="21"/>
    </row>
    <row r="1379" spans="1:61" x14ac:dyDescent="0.2">
      <c r="A1379">
        <v>731</v>
      </c>
      <c r="B1379">
        <v>125</v>
      </c>
      <c r="C1379">
        <f t="shared" si="157"/>
        <v>9125</v>
      </c>
      <c r="D1379">
        <f t="shared" si="162"/>
        <v>9125</v>
      </c>
      <c r="H1379">
        <f t="shared" si="158"/>
        <v>2</v>
      </c>
      <c r="R1379">
        <v>25</v>
      </c>
      <c r="T1379" t="str">
        <f t="shared" si="156"/>
        <v>o</v>
      </c>
      <c r="Y1379" t="s">
        <v>715</v>
      </c>
      <c r="AJ1379">
        <v>1</v>
      </c>
      <c r="AM1379" t="str">
        <f t="shared" si="159"/>
        <v>Shot</v>
      </c>
      <c r="AN1379" t="str">
        <f t="shared" si="160"/>
        <v>Shot_Missed</v>
      </c>
      <c r="AP1379" t="str">
        <f t="shared" si="161"/>
        <v>Defensive</v>
      </c>
      <c r="BB1379" s="23"/>
      <c r="BD1379" s="21"/>
      <c r="BE1379" s="21"/>
      <c r="BF1379" s="21"/>
      <c r="BG1379" s="21"/>
      <c r="BH1379" s="21"/>
      <c r="BI1379" s="21"/>
    </row>
    <row r="1380" spans="1:61" x14ac:dyDescent="0.2">
      <c r="A1380">
        <v>732</v>
      </c>
      <c r="B1380">
        <v>125</v>
      </c>
      <c r="C1380">
        <f t="shared" si="157"/>
        <v>9125</v>
      </c>
      <c r="D1380">
        <f t="shared" si="162"/>
        <v>9125</v>
      </c>
      <c r="H1380">
        <f t="shared" si="158"/>
        <v>2</v>
      </c>
      <c r="I1380" s="5" t="s">
        <v>768</v>
      </c>
      <c r="J1380" s="5" t="s">
        <v>731</v>
      </c>
      <c r="Q1380" t="s">
        <v>620</v>
      </c>
      <c r="R1380">
        <v>24</v>
      </c>
      <c r="S1380">
        <v>1</v>
      </c>
      <c r="T1380" t="str">
        <f t="shared" si="156"/>
        <v>e</v>
      </c>
      <c r="U1380" t="s">
        <v>10</v>
      </c>
      <c r="V1380" t="s">
        <v>190</v>
      </c>
      <c r="W1380" t="s">
        <v>79</v>
      </c>
      <c r="AF1380" t="s">
        <v>401</v>
      </c>
      <c r="AJ1380">
        <v>1</v>
      </c>
      <c r="AM1380" t="str">
        <f t="shared" si="159"/>
        <v>Turnover</v>
      </c>
      <c r="AN1380" t="str">
        <f t="shared" si="160"/>
        <v>Turnover_Giveaway</v>
      </c>
      <c r="AP1380" t="str">
        <f t="shared" si="161"/>
        <v>Offensive</v>
      </c>
      <c r="BB1380" s="23"/>
      <c r="BD1380" s="21"/>
      <c r="BE1380" s="21"/>
      <c r="BF1380" s="21"/>
      <c r="BG1380" s="21"/>
      <c r="BH1380" s="21"/>
      <c r="BI1380" s="21"/>
    </row>
    <row r="1381" spans="1:61" x14ac:dyDescent="0.2">
      <c r="A1381">
        <v>732</v>
      </c>
      <c r="B1381">
        <v>125</v>
      </c>
      <c r="C1381">
        <f t="shared" si="157"/>
        <v>9125</v>
      </c>
      <c r="D1381">
        <f t="shared" si="162"/>
        <v>9125</v>
      </c>
      <c r="H1381">
        <f t="shared" si="158"/>
        <v>2</v>
      </c>
      <c r="R1381">
        <v>25</v>
      </c>
      <c r="T1381" t="str">
        <f t="shared" si="156"/>
        <v>o</v>
      </c>
      <c r="Y1381" t="s">
        <v>715</v>
      </c>
      <c r="AJ1381">
        <v>1</v>
      </c>
      <c r="AM1381" t="str">
        <f t="shared" si="159"/>
        <v>Turnover</v>
      </c>
      <c r="AN1381" t="str">
        <f t="shared" si="160"/>
        <v>Turnover_Giveaway</v>
      </c>
      <c r="AP1381" t="str">
        <f t="shared" si="161"/>
        <v>Defensive</v>
      </c>
      <c r="BB1381" s="23"/>
      <c r="BD1381" s="21"/>
      <c r="BE1381" s="21"/>
      <c r="BF1381" s="21"/>
      <c r="BG1381" s="21"/>
      <c r="BH1381" s="21"/>
      <c r="BI1381" s="21"/>
    </row>
    <row r="1382" spans="1:61" x14ac:dyDescent="0.2">
      <c r="A1382">
        <v>733</v>
      </c>
      <c r="B1382" t="s">
        <v>887</v>
      </c>
      <c r="C1382" t="str">
        <f t="shared" si="157"/>
        <v/>
      </c>
      <c r="D1382" t="str">
        <f t="shared" si="162"/>
        <v/>
      </c>
      <c r="H1382">
        <f t="shared" si="158"/>
        <v>2</v>
      </c>
      <c r="I1382" s="5" t="s">
        <v>768</v>
      </c>
      <c r="J1382" s="5" t="s">
        <v>732</v>
      </c>
      <c r="Q1382" t="s">
        <v>619</v>
      </c>
      <c r="R1382">
        <v>80</v>
      </c>
      <c r="S1382">
        <v>1</v>
      </c>
      <c r="T1382" t="str">
        <f t="shared" si="156"/>
        <v>e</v>
      </c>
      <c r="U1382" t="s">
        <v>15</v>
      </c>
      <c r="V1382" t="s">
        <v>697</v>
      </c>
      <c r="X1382" t="s">
        <v>706</v>
      </c>
      <c r="Y1382" t="s">
        <v>683</v>
      </c>
      <c r="AA1382" t="s">
        <v>706</v>
      </c>
      <c r="AF1382" t="s">
        <v>623</v>
      </c>
      <c r="AJ1382">
        <v>1</v>
      </c>
      <c r="AM1382" t="str">
        <f t="shared" si="159"/>
        <v>Possession</v>
      </c>
      <c r="AN1382" t="str">
        <f t="shared" si="160"/>
        <v>PuckRetrieval</v>
      </c>
      <c r="AP1382" t="str">
        <f t="shared" si="161"/>
        <v>Offensive</v>
      </c>
      <c r="BB1382" s="23"/>
      <c r="BD1382" s="21"/>
      <c r="BE1382" s="21"/>
      <c r="BF1382" s="21"/>
      <c r="BG1382" s="21"/>
      <c r="BH1382" s="21"/>
      <c r="BI1382" s="21"/>
    </row>
    <row r="1383" spans="1:61" x14ac:dyDescent="0.2">
      <c r="A1383">
        <v>733</v>
      </c>
      <c r="B1383" t="s">
        <v>887</v>
      </c>
      <c r="C1383" t="str">
        <f t="shared" si="157"/>
        <v/>
      </c>
      <c r="D1383" t="str">
        <f t="shared" si="162"/>
        <v/>
      </c>
      <c r="H1383">
        <f t="shared" si="158"/>
        <v>2</v>
      </c>
      <c r="R1383">
        <v>22</v>
      </c>
      <c r="T1383" t="str">
        <f t="shared" si="156"/>
        <v>o</v>
      </c>
      <c r="Y1383" t="s">
        <v>851</v>
      </c>
      <c r="AA1383" t="s">
        <v>705</v>
      </c>
      <c r="AJ1383">
        <v>1</v>
      </c>
      <c r="AM1383" t="str">
        <f t="shared" si="159"/>
        <v>Possession</v>
      </c>
      <c r="AN1383" t="str">
        <f t="shared" si="160"/>
        <v>PuckRetrieval</v>
      </c>
      <c r="AP1383" t="str">
        <f t="shared" si="161"/>
        <v>Defensive</v>
      </c>
      <c r="BB1383" s="23"/>
      <c r="BD1383" s="21"/>
      <c r="BE1383" s="21"/>
      <c r="BF1383" s="21"/>
      <c r="BG1383" s="21"/>
      <c r="BH1383" s="21"/>
      <c r="BI1383" s="21"/>
    </row>
    <row r="1384" spans="1:61" x14ac:dyDescent="0.2">
      <c r="A1384">
        <v>734</v>
      </c>
      <c r="B1384" t="s">
        <v>887</v>
      </c>
      <c r="C1384" t="str">
        <f t="shared" si="157"/>
        <v/>
      </c>
      <c r="D1384" t="str">
        <f t="shared" si="162"/>
        <v/>
      </c>
      <c r="H1384">
        <f t="shared" si="158"/>
        <v>2</v>
      </c>
      <c r="I1384" s="5" t="s">
        <v>768</v>
      </c>
      <c r="J1384" s="5" t="s">
        <v>732</v>
      </c>
      <c r="K1384" s="5" t="s">
        <v>768</v>
      </c>
      <c r="L1384" s="7" t="s">
        <v>733</v>
      </c>
      <c r="Q1384" t="s">
        <v>619</v>
      </c>
      <c r="R1384">
        <v>80</v>
      </c>
      <c r="S1384">
        <v>1</v>
      </c>
      <c r="T1384" t="str">
        <f t="shared" si="156"/>
        <v>e</v>
      </c>
      <c r="U1384" t="s">
        <v>15</v>
      </c>
      <c r="AF1384" t="s">
        <v>623</v>
      </c>
      <c r="AJ1384">
        <v>1</v>
      </c>
      <c r="AM1384" t="str">
        <f t="shared" si="159"/>
        <v>Possession</v>
      </c>
      <c r="AN1384" t="str">
        <f t="shared" si="160"/>
        <v/>
      </c>
      <c r="AP1384" t="str">
        <f t="shared" si="161"/>
        <v>Offensive</v>
      </c>
      <c r="BB1384" s="23"/>
      <c r="BD1384" s="21"/>
      <c r="BE1384" s="21"/>
      <c r="BF1384" s="21"/>
      <c r="BG1384" s="21"/>
      <c r="BH1384" s="21"/>
      <c r="BI1384" s="21"/>
    </row>
    <row r="1385" spans="1:61" x14ac:dyDescent="0.2">
      <c r="A1385">
        <v>734</v>
      </c>
      <c r="B1385" t="s">
        <v>887</v>
      </c>
      <c r="C1385" t="str">
        <f t="shared" si="157"/>
        <v/>
      </c>
      <c r="D1385" t="str">
        <f t="shared" si="162"/>
        <v/>
      </c>
      <c r="H1385">
        <f t="shared" si="158"/>
        <v>2</v>
      </c>
      <c r="R1385">
        <v>42</v>
      </c>
      <c r="T1385" t="str">
        <f t="shared" si="156"/>
        <v>o</v>
      </c>
      <c r="Y1385" t="s">
        <v>715</v>
      </c>
      <c r="AJ1385">
        <v>1</v>
      </c>
      <c r="AM1385" t="str">
        <f t="shared" si="159"/>
        <v>Possession</v>
      </c>
      <c r="AN1385" t="str">
        <f t="shared" si="160"/>
        <v/>
      </c>
      <c r="AP1385" t="str">
        <f t="shared" si="161"/>
        <v>Defensive</v>
      </c>
      <c r="BB1385" s="23"/>
      <c r="BD1385" s="21"/>
      <c r="BE1385" s="21"/>
      <c r="BF1385" s="21"/>
      <c r="BG1385" s="21"/>
      <c r="BH1385" s="21"/>
      <c r="BI1385" s="21"/>
    </row>
    <row r="1386" spans="1:61" x14ac:dyDescent="0.2">
      <c r="A1386">
        <v>735</v>
      </c>
      <c r="B1386" t="s">
        <v>887</v>
      </c>
      <c r="C1386" t="str">
        <f t="shared" si="157"/>
        <v/>
      </c>
      <c r="D1386" t="str">
        <f t="shared" si="162"/>
        <v/>
      </c>
      <c r="H1386">
        <f t="shared" si="158"/>
        <v>2</v>
      </c>
      <c r="I1386" s="5" t="s">
        <v>768</v>
      </c>
      <c r="J1386" s="5" t="s">
        <v>733</v>
      </c>
      <c r="Q1386" t="s">
        <v>620</v>
      </c>
      <c r="R1386">
        <v>42</v>
      </c>
      <c r="S1386">
        <v>1</v>
      </c>
      <c r="T1386" t="str">
        <f t="shared" si="156"/>
        <v>e</v>
      </c>
      <c r="U1386" t="s">
        <v>10</v>
      </c>
      <c r="V1386" t="s">
        <v>200</v>
      </c>
      <c r="W1386" t="s">
        <v>82</v>
      </c>
      <c r="X1386" t="s">
        <v>706</v>
      </c>
      <c r="Y1386" t="s">
        <v>714</v>
      </c>
      <c r="AA1386" t="s">
        <v>706</v>
      </c>
      <c r="AF1386" t="s">
        <v>401</v>
      </c>
      <c r="AJ1386">
        <v>1</v>
      </c>
      <c r="AM1386" t="str">
        <f t="shared" si="159"/>
        <v>Turnover</v>
      </c>
      <c r="AN1386" t="str">
        <f t="shared" si="160"/>
        <v>Turnover_Takeaway</v>
      </c>
      <c r="AP1386" t="str">
        <f t="shared" si="161"/>
        <v>Defensive</v>
      </c>
      <c r="BB1386" s="23"/>
      <c r="BD1386" s="21"/>
      <c r="BE1386" s="21"/>
      <c r="BF1386" s="21"/>
      <c r="BG1386" s="21"/>
      <c r="BH1386" s="21"/>
      <c r="BI1386" s="21"/>
    </row>
    <row r="1387" spans="1:61" x14ac:dyDescent="0.2">
      <c r="A1387">
        <v>735</v>
      </c>
      <c r="B1387" t="s">
        <v>887</v>
      </c>
      <c r="C1387" t="str">
        <f t="shared" si="157"/>
        <v/>
      </c>
      <c r="D1387" t="str">
        <f t="shared" si="162"/>
        <v/>
      </c>
      <c r="H1387">
        <f t="shared" si="158"/>
        <v>2</v>
      </c>
      <c r="R1387">
        <v>80</v>
      </c>
      <c r="T1387" t="str">
        <f t="shared" si="156"/>
        <v>o</v>
      </c>
      <c r="AJ1387">
        <v>1</v>
      </c>
      <c r="AM1387" t="str">
        <f t="shared" si="159"/>
        <v>Turnover</v>
      </c>
      <c r="AN1387" t="str">
        <f t="shared" si="160"/>
        <v>Turnover_Takeaway</v>
      </c>
      <c r="AP1387" t="str">
        <f t="shared" si="161"/>
        <v>Offensive</v>
      </c>
      <c r="BB1387" s="23"/>
      <c r="BD1387" s="21"/>
      <c r="BE1387" s="21"/>
      <c r="BF1387" s="21"/>
      <c r="BG1387" s="21"/>
      <c r="BH1387" s="21"/>
      <c r="BI1387" s="21"/>
    </row>
    <row r="1388" spans="1:61" x14ac:dyDescent="0.2">
      <c r="A1388">
        <v>736</v>
      </c>
      <c r="B1388" t="s">
        <v>887</v>
      </c>
      <c r="C1388" t="str">
        <f t="shared" si="157"/>
        <v/>
      </c>
      <c r="D1388" t="str">
        <f t="shared" si="162"/>
        <v/>
      </c>
      <c r="H1388">
        <f t="shared" si="158"/>
        <v>2</v>
      </c>
      <c r="I1388" s="5" t="s">
        <v>768</v>
      </c>
      <c r="J1388" s="5" t="s">
        <v>733</v>
      </c>
      <c r="K1388" s="5" t="s">
        <v>768</v>
      </c>
      <c r="L1388" s="7" t="s">
        <v>734</v>
      </c>
      <c r="Q1388" t="s">
        <v>620</v>
      </c>
      <c r="R1388">
        <v>42</v>
      </c>
      <c r="S1388">
        <v>1</v>
      </c>
      <c r="T1388" t="str">
        <f t="shared" si="156"/>
        <v>e</v>
      </c>
      <c r="U1388" t="s">
        <v>15</v>
      </c>
      <c r="V1388" t="s">
        <v>453</v>
      </c>
      <c r="Y1388" t="s">
        <v>825</v>
      </c>
      <c r="AA1388" t="s">
        <v>706</v>
      </c>
      <c r="AF1388" t="s">
        <v>401</v>
      </c>
      <c r="AJ1388">
        <v>1</v>
      </c>
      <c r="AM1388" t="str">
        <f t="shared" si="159"/>
        <v>Possession</v>
      </c>
      <c r="AN1388" t="str">
        <f t="shared" si="160"/>
        <v>Breakaway</v>
      </c>
      <c r="AP1388" t="str">
        <f t="shared" si="161"/>
        <v>Offensive</v>
      </c>
      <c r="BB1388" s="23"/>
      <c r="BD1388" s="21"/>
      <c r="BE1388" s="21"/>
      <c r="BF1388" s="21"/>
      <c r="BG1388" s="21"/>
      <c r="BH1388" s="21"/>
      <c r="BI1388" s="21"/>
    </row>
    <row r="1389" spans="1:61" x14ac:dyDescent="0.2">
      <c r="A1389">
        <v>736</v>
      </c>
      <c r="B1389" t="s">
        <v>887</v>
      </c>
      <c r="C1389" t="str">
        <f t="shared" si="157"/>
        <v/>
      </c>
      <c r="D1389" t="str">
        <f t="shared" si="162"/>
        <v/>
      </c>
      <c r="H1389">
        <f t="shared" si="158"/>
        <v>2</v>
      </c>
      <c r="R1389">
        <v>4</v>
      </c>
      <c r="T1389" t="str">
        <f t="shared" si="156"/>
        <v>o</v>
      </c>
      <c r="Y1389" t="s">
        <v>715</v>
      </c>
      <c r="AA1389" t="s">
        <v>705</v>
      </c>
      <c r="AJ1389">
        <v>1</v>
      </c>
      <c r="AM1389" t="str">
        <f t="shared" si="159"/>
        <v>Possession</v>
      </c>
      <c r="AN1389" t="str">
        <f t="shared" si="160"/>
        <v>Breakaway</v>
      </c>
      <c r="AP1389" t="str">
        <f t="shared" si="161"/>
        <v>Defensive</v>
      </c>
      <c r="BB1389" s="23"/>
      <c r="BD1389" s="21"/>
      <c r="BE1389" s="21"/>
      <c r="BF1389" s="21"/>
      <c r="BG1389" s="21"/>
      <c r="BH1389" s="21"/>
      <c r="BI1389" s="21"/>
    </row>
    <row r="1390" spans="1:61" x14ac:dyDescent="0.2">
      <c r="A1390">
        <v>737</v>
      </c>
      <c r="B1390" t="s">
        <v>887</v>
      </c>
      <c r="C1390" t="str">
        <f t="shared" si="157"/>
        <v/>
      </c>
      <c r="D1390" t="str">
        <f t="shared" si="162"/>
        <v/>
      </c>
      <c r="H1390">
        <f t="shared" si="158"/>
        <v>2</v>
      </c>
      <c r="I1390" s="5" t="s">
        <v>768</v>
      </c>
      <c r="J1390" s="5" t="s">
        <v>734</v>
      </c>
      <c r="Q1390" t="s">
        <v>620</v>
      </c>
      <c r="R1390">
        <v>42</v>
      </c>
      <c r="S1390">
        <v>1</v>
      </c>
      <c r="T1390" t="str">
        <f t="shared" si="156"/>
        <v>e</v>
      </c>
      <c r="U1390" t="s">
        <v>7</v>
      </c>
      <c r="V1390" t="s">
        <v>222</v>
      </c>
      <c r="W1390" t="s">
        <v>53</v>
      </c>
      <c r="X1390" t="s">
        <v>706</v>
      </c>
      <c r="AF1390" t="s">
        <v>401</v>
      </c>
      <c r="AJ1390">
        <v>1</v>
      </c>
      <c r="AM1390" t="str">
        <f t="shared" si="159"/>
        <v>Shot</v>
      </c>
      <c r="AN1390" t="str">
        <f t="shared" si="160"/>
        <v>Shot_OnNetSaved</v>
      </c>
      <c r="AP1390" t="str">
        <f t="shared" si="161"/>
        <v>Offensive</v>
      </c>
      <c r="BB1390" s="23"/>
      <c r="BD1390" s="21"/>
      <c r="BE1390" s="21"/>
      <c r="BF1390" s="21"/>
      <c r="BG1390" s="21"/>
      <c r="BH1390" s="21"/>
      <c r="BI1390" s="21"/>
    </row>
    <row r="1391" spans="1:61" x14ac:dyDescent="0.2">
      <c r="A1391">
        <v>737</v>
      </c>
      <c r="B1391" t="s">
        <v>887</v>
      </c>
      <c r="C1391" t="str">
        <f t="shared" si="157"/>
        <v/>
      </c>
      <c r="D1391" t="str">
        <f t="shared" si="162"/>
        <v/>
      </c>
      <c r="H1391">
        <f t="shared" si="158"/>
        <v>2</v>
      </c>
      <c r="R1391">
        <v>30</v>
      </c>
      <c r="T1391" t="str">
        <f t="shared" si="156"/>
        <v>o</v>
      </c>
      <c r="AM1391" t="str">
        <f t="shared" si="159"/>
        <v>Shot</v>
      </c>
      <c r="AN1391" t="str">
        <f t="shared" si="160"/>
        <v>Shot_OnNetSaved</v>
      </c>
      <c r="AP1391" t="str">
        <f t="shared" si="161"/>
        <v>Defensive</v>
      </c>
      <c r="BB1391" s="23"/>
      <c r="BD1391" s="21"/>
      <c r="BE1391" s="21"/>
      <c r="BF1391" s="21"/>
      <c r="BG1391" s="21"/>
      <c r="BH1391" s="21"/>
      <c r="BI1391" s="21"/>
    </row>
    <row r="1392" spans="1:61" x14ac:dyDescent="0.2">
      <c r="A1392">
        <v>737</v>
      </c>
      <c r="B1392" t="s">
        <v>887</v>
      </c>
      <c r="C1392" t="str">
        <f t="shared" si="157"/>
        <v/>
      </c>
      <c r="D1392" t="str">
        <f t="shared" si="162"/>
        <v/>
      </c>
      <c r="H1392">
        <f t="shared" si="158"/>
        <v>2</v>
      </c>
      <c r="R1392">
        <v>4</v>
      </c>
      <c r="T1392" t="str">
        <f t="shared" si="156"/>
        <v>o</v>
      </c>
      <c r="Y1392" t="s">
        <v>715</v>
      </c>
      <c r="AJ1392">
        <v>1</v>
      </c>
      <c r="AM1392" t="str">
        <f t="shared" si="159"/>
        <v>Shot</v>
      </c>
      <c r="AN1392" t="str">
        <f t="shared" si="160"/>
        <v>Shot_OnNetSaved</v>
      </c>
      <c r="AP1392" t="str">
        <f t="shared" si="161"/>
        <v>Defensive</v>
      </c>
      <c r="BB1392" s="23"/>
      <c r="BD1392" s="21"/>
      <c r="BE1392" s="21"/>
      <c r="BF1392" s="21"/>
      <c r="BG1392" s="21"/>
      <c r="BH1392" s="21"/>
      <c r="BI1392" s="21"/>
    </row>
    <row r="1393" spans="1:61" x14ac:dyDescent="0.2">
      <c r="A1393">
        <v>738</v>
      </c>
      <c r="B1393" t="s">
        <v>887</v>
      </c>
      <c r="C1393" t="str">
        <f t="shared" si="157"/>
        <v/>
      </c>
      <c r="D1393" t="str">
        <f t="shared" si="162"/>
        <v/>
      </c>
      <c r="H1393">
        <f t="shared" si="158"/>
        <v>2</v>
      </c>
      <c r="I1393" s="5" t="s">
        <v>768</v>
      </c>
      <c r="J1393" s="5" t="s">
        <v>734</v>
      </c>
      <c r="Q1393" t="s">
        <v>619</v>
      </c>
      <c r="R1393">
        <v>30</v>
      </c>
      <c r="S1393">
        <v>1</v>
      </c>
      <c r="T1393" t="str">
        <f t="shared" si="156"/>
        <v>e</v>
      </c>
      <c r="U1393" t="s">
        <v>17</v>
      </c>
      <c r="V1393" t="s">
        <v>196</v>
      </c>
      <c r="W1393" t="s">
        <v>102</v>
      </c>
      <c r="AF1393" t="s">
        <v>623</v>
      </c>
      <c r="AM1393" t="str">
        <f t="shared" si="159"/>
        <v>Save</v>
      </c>
      <c r="AN1393" t="str">
        <f t="shared" si="160"/>
        <v>Save_Rebound</v>
      </c>
      <c r="AP1393" t="str">
        <f t="shared" si="161"/>
        <v>Defensive</v>
      </c>
      <c r="BB1393" s="23"/>
      <c r="BD1393" s="21"/>
      <c r="BE1393" s="21"/>
      <c r="BF1393" s="21"/>
      <c r="BG1393" s="21"/>
      <c r="BH1393" s="21"/>
      <c r="BI1393" s="21"/>
    </row>
    <row r="1394" spans="1:61" x14ac:dyDescent="0.2">
      <c r="A1394">
        <v>738</v>
      </c>
      <c r="B1394" t="s">
        <v>887</v>
      </c>
      <c r="C1394" t="str">
        <f t="shared" si="157"/>
        <v/>
      </c>
      <c r="D1394" t="str">
        <f t="shared" si="162"/>
        <v/>
      </c>
      <c r="H1394">
        <f t="shared" si="158"/>
        <v>2</v>
      </c>
      <c r="R1394">
        <v>4</v>
      </c>
      <c r="S1394">
        <v>1</v>
      </c>
      <c r="T1394" t="str">
        <f t="shared" si="156"/>
        <v>e</v>
      </c>
      <c r="Y1394" t="s">
        <v>715</v>
      </c>
      <c r="AJ1394">
        <v>1</v>
      </c>
      <c r="AM1394" t="str">
        <f t="shared" si="159"/>
        <v>Save</v>
      </c>
      <c r="AN1394" t="str">
        <f t="shared" si="160"/>
        <v>Save_Rebound</v>
      </c>
      <c r="AP1394" t="str">
        <f t="shared" si="161"/>
        <v>Defensive</v>
      </c>
      <c r="BB1394" s="23"/>
      <c r="BD1394" s="21"/>
      <c r="BE1394" s="21"/>
      <c r="BF1394" s="21"/>
      <c r="BG1394" s="21"/>
      <c r="BH1394" s="21"/>
      <c r="BI1394" s="21"/>
    </row>
    <row r="1395" spans="1:61" x14ac:dyDescent="0.2">
      <c r="A1395">
        <v>738</v>
      </c>
      <c r="B1395" t="s">
        <v>887</v>
      </c>
      <c r="C1395" t="str">
        <f t="shared" si="157"/>
        <v/>
      </c>
      <c r="D1395" t="str">
        <f t="shared" si="162"/>
        <v/>
      </c>
      <c r="H1395">
        <f t="shared" si="158"/>
        <v>2</v>
      </c>
      <c r="R1395">
        <v>42</v>
      </c>
      <c r="T1395" t="str">
        <f t="shared" si="156"/>
        <v>o</v>
      </c>
      <c r="AJ1395">
        <v>1</v>
      </c>
      <c r="AM1395" t="str">
        <f t="shared" si="159"/>
        <v>Save</v>
      </c>
      <c r="AN1395" t="str">
        <f t="shared" si="160"/>
        <v>Save_Rebound</v>
      </c>
      <c r="AP1395" t="str">
        <f t="shared" si="161"/>
        <v>Offensive</v>
      </c>
      <c r="BB1395" s="23"/>
      <c r="BD1395" s="21"/>
      <c r="BE1395" s="21"/>
      <c r="BF1395" s="21"/>
      <c r="BG1395" s="21"/>
      <c r="BH1395" s="21"/>
      <c r="BI1395" s="21"/>
    </row>
    <row r="1396" spans="1:61" x14ac:dyDescent="0.2">
      <c r="A1396">
        <v>739</v>
      </c>
      <c r="B1396" t="s">
        <v>887</v>
      </c>
      <c r="C1396" t="str">
        <f t="shared" si="157"/>
        <v/>
      </c>
      <c r="D1396" t="str">
        <f t="shared" si="162"/>
        <v/>
      </c>
      <c r="H1396">
        <f t="shared" si="158"/>
        <v>2</v>
      </c>
      <c r="I1396" s="5" t="s">
        <v>768</v>
      </c>
      <c r="J1396" s="5" t="s">
        <v>734</v>
      </c>
      <c r="Q1396" t="s">
        <v>619</v>
      </c>
      <c r="R1396">
        <v>30</v>
      </c>
      <c r="S1396">
        <v>1</v>
      </c>
      <c r="T1396" t="str">
        <f t="shared" si="156"/>
        <v>e</v>
      </c>
      <c r="U1396" t="s">
        <v>250</v>
      </c>
      <c r="V1396" t="s">
        <v>252</v>
      </c>
      <c r="AF1396" t="s">
        <v>623</v>
      </c>
      <c r="AM1396" t="str">
        <f t="shared" si="159"/>
        <v>Rebound</v>
      </c>
      <c r="AN1396" t="str">
        <f t="shared" si="160"/>
        <v>Rebound_OppTeamRecovered</v>
      </c>
      <c r="AP1396" t="str">
        <f t="shared" si="161"/>
        <v>Offensive</v>
      </c>
      <c r="BB1396" s="23"/>
      <c r="BD1396" s="21"/>
      <c r="BE1396" s="21"/>
      <c r="BF1396" s="21"/>
      <c r="BG1396" s="21"/>
      <c r="BH1396" s="21"/>
      <c r="BI1396" s="21"/>
    </row>
    <row r="1397" spans="1:61" x14ac:dyDescent="0.2">
      <c r="A1397">
        <v>740</v>
      </c>
      <c r="B1397" t="s">
        <v>887</v>
      </c>
      <c r="C1397" t="str">
        <f t="shared" si="157"/>
        <v/>
      </c>
      <c r="D1397" t="str">
        <f t="shared" si="162"/>
        <v/>
      </c>
      <c r="H1397">
        <f t="shared" si="158"/>
        <v>2</v>
      </c>
      <c r="I1397" s="5" t="s">
        <v>768</v>
      </c>
      <c r="J1397" s="5" t="s">
        <v>447</v>
      </c>
      <c r="Q1397" t="s">
        <v>620</v>
      </c>
      <c r="R1397">
        <v>42</v>
      </c>
      <c r="S1397">
        <v>1</v>
      </c>
      <c r="T1397" t="str">
        <f t="shared" si="156"/>
        <v>e</v>
      </c>
      <c r="U1397" t="s">
        <v>15</v>
      </c>
      <c r="V1397" t="s">
        <v>698</v>
      </c>
      <c r="X1397" t="s">
        <v>706</v>
      </c>
      <c r="Y1397" t="s">
        <v>739</v>
      </c>
      <c r="AA1397" t="s">
        <v>706</v>
      </c>
      <c r="AF1397" t="s">
        <v>401</v>
      </c>
      <c r="AJ1397">
        <v>1</v>
      </c>
      <c r="AM1397" t="str">
        <f t="shared" si="159"/>
        <v>Possession</v>
      </c>
      <c r="AN1397" t="str">
        <f t="shared" si="160"/>
        <v>PuckRecovery</v>
      </c>
      <c r="AP1397" t="str">
        <f t="shared" si="161"/>
        <v>Offensive</v>
      </c>
      <c r="BB1397" s="23"/>
      <c r="BD1397" s="21"/>
      <c r="BE1397" s="21"/>
      <c r="BF1397" s="21"/>
      <c r="BG1397" s="21"/>
      <c r="BH1397" s="21"/>
      <c r="BI1397" s="21"/>
    </row>
    <row r="1398" spans="1:61" x14ac:dyDescent="0.2">
      <c r="A1398">
        <v>740</v>
      </c>
      <c r="B1398" t="s">
        <v>887</v>
      </c>
      <c r="C1398" t="str">
        <f t="shared" si="157"/>
        <v/>
      </c>
      <c r="D1398" t="str">
        <f t="shared" si="162"/>
        <v/>
      </c>
      <c r="H1398">
        <f t="shared" si="158"/>
        <v>2</v>
      </c>
      <c r="R1398">
        <v>4</v>
      </c>
      <c r="T1398" t="str">
        <f t="shared" si="156"/>
        <v>o</v>
      </c>
      <c r="Y1398" t="s">
        <v>832</v>
      </c>
      <c r="AJ1398">
        <v>1</v>
      </c>
      <c r="AM1398" t="str">
        <f t="shared" si="159"/>
        <v>Possession</v>
      </c>
      <c r="AN1398" t="str">
        <f t="shared" si="160"/>
        <v>PuckRecovery</v>
      </c>
      <c r="AP1398" t="str">
        <f t="shared" si="161"/>
        <v>Defensive</v>
      </c>
      <c r="BB1398" s="23"/>
      <c r="BD1398" s="21"/>
      <c r="BE1398" s="21"/>
      <c r="BF1398" s="21"/>
      <c r="BG1398" s="21"/>
      <c r="BH1398" s="21"/>
      <c r="BI1398" s="21"/>
    </row>
    <row r="1399" spans="1:61" x14ac:dyDescent="0.2">
      <c r="A1399">
        <v>741</v>
      </c>
      <c r="B1399" t="s">
        <v>887</v>
      </c>
      <c r="C1399" t="str">
        <f t="shared" si="157"/>
        <v/>
      </c>
      <c r="D1399" t="str">
        <f t="shared" si="162"/>
        <v/>
      </c>
      <c r="H1399">
        <f t="shared" si="158"/>
        <v>2</v>
      </c>
      <c r="I1399" s="5" t="s">
        <v>768</v>
      </c>
      <c r="J1399" s="5" t="s">
        <v>447</v>
      </c>
      <c r="K1399" s="5" t="s">
        <v>768</v>
      </c>
      <c r="L1399" s="7" t="s">
        <v>446</v>
      </c>
      <c r="Q1399" t="s">
        <v>620</v>
      </c>
      <c r="R1399">
        <v>42</v>
      </c>
      <c r="S1399">
        <v>1</v>
      </c>
      <c r="T1399" t="str">
        <f t="shared" si="156"/>
        <v>e</v>
      </c>
      <c r="U1399" t="s">
        <v>15</v>
      </c>
      <c r="AF1399" t="s">
        <v>401</v>
      </c>
      <c r="AJ1399">
        <v>1</v>
      </c>
      <c r="AM1399" t="str">
        <f t="shared" si="159"/>
        <v>Possession</v>
      </c>
      <c r="AN1399" t="str">
        <f t="shared" si="160"/>
        <v/>
      </c>
      <c r="AP1399" t="str">
        <f t="shared" si="161"/>
        <v>Offensive</v>
      </c>
      <c r="BB1399" s="23"/>
      <c r="BD1399" s="21"/>
      <c r="BE1399" s="21"/>
      <c r="BF1399" s="21"/>
      <c r="BG1399" s="21"/>
      <c r="BH1399" s="21"/>
      <c r="BI1399" s="21"/>
    </row>
    <row r="1400" spans="1:61" x14ac:dyDescent="0.2">
      <c r="A1400">
        <v>741</v>
      </c>
      <c r="B1400" t="s">
        <v>887</v>
      </c>
      <c r="C1400" t="str">
        <f t="shared" si="157"/>
        <v/>
      </c>
      <c r="D1400" t="str">
        <f t="shared" si="162"/>
        <v/>
      </c>
      <c r="H1400">
        <f t="shared" si="158"/>
        <v>2</v>
      </c>
      <c r="R1400">
        <v>4</v>
      </c>
      <c r="T1400" t="str">
        <f t="shared" si="156"/>
        <v>o</v>
      </c>
      <c r="Y1400" t="s">
        <v>832</v>
      </c>
      <c r="AJ1400">
        <v>1</v>
      </c>
      <c r="AM1400" t="str">
        <f t="shared" si="159"/>
        <v>Possession</v>
      </c>
      <c r="AN1400" t="str">
        <f t="shared" si="160"/>
        <v/>
      </c>
      <c r="AP1400" t="str">
        <f t="shared" si="161"/>
        <v>Defensive</v>
      </c>
      <c r="BB1400" s="23"/>
      <c r="BD1400" s="21"/>
      <c r="BE1400" s="21"/>
      <c r="BF1400" s="21"/>
      <c r="BG1400" s="21"/>
      <c r="BH1400" s="21"/>
      <c r="BI1400" s="21"/>
    </row>
    <row r="1401" spans="1:61" x14ac:dyDescent="0.2">
      <c r="A1401">
        <v>741</v>
      </c>
      <c r="B1401" t="s">
        <v>887</v>
      </c>
      <c r="C1401" t="str">
        <f t="shared" si="157"/>
        <v/>
      </c>
      <c r="D1401" t="str">
        <f t="shared" si="162"/>
        <v/>
      </c>
      <c r="H1401">
        <f t="shared" si="158"/>
        <v>2</v>
      </c>
      <c r="R1401">
        <v>91</v>
      </c>
      <c r="T1401" t="str">
        <f t="shared" si="156"/>
        <v>o</v>
      </c>
      <c r="Y1401" t="s">
        <v>715</v>
      </c>
      <c r="AA1401" t="s">
        <v>706</v>
      </c>
      <c r="AJ1401">
        <v>1</v>
      </c>
      <c r="AM1401" t="str">
        <f t="shared" si="159"/>
        <v>Possession</v>
      </c>
      <c r="AN1401" t="str">
        <f t="shared" si="160"/>
        <v/>
      </c>
      <c r="AP1401" t="str">
        <f t="shared" si="161"/>
        <v>Defensive</v>
      </c>
      <c r="BB1401" s="23"/>
      <c r="BD1401" s="21"/>
      <c r="BE1401" s="21"/>
      <c r="BF1401" s="21"/>
      <c r="BG1401" s="21"/>
      <c r="BH1401" s="21"/>
      <c r="BI1401" s="21"/>
    </row>
    <row r="1402" spans="1:61" x14ac:dyDescent="0.2">
      <c r="A1402">
        <v>742</v>
      </c>
      <c r="B1402" t="s">
        <v>887</v>
      </c>
      <c r="C1402" t="str">
        <f t="shared" si="157"/>
        <v/>
      </c>
      <c r="D1402" t="str">
        <f t="shared" si="162"/>
        <v/>
      </c>
      <c r="H1402">
        <f t="shared" si="158"/>
        <v>2</v>
      </c>
      <c r="I1402" s="5" t="s">
        <v>768</v>
      </c>
      <c r="J1402" s="5" t="s">
        <v>446</v>
      </c>
      <c r="Q1402" t="s">
        <v>620</v>
      </c>
      <c r="R1402">
        <v>91</v>
      </c>
      <c r="S1402">
        <v>1</v>
      </c>
      <c r="T1402" t="str">
        <f t="shared" si="156"/>
        <v>e</v>
      </c>
      <c r="U1402" t="s">
        <v>10</v>
      </c>
      <c r="V1402" t="s">
        <v>200</v>
      </c>
      <c r="W1402" t="s">
        <v>82</v>
      </c>
      <c r="Y1402" t="s">
        <v>714</v>
      </c>
      <c r="AA1402" t="s">
        <v>706</v>
      </c>
      <c r="AF1402" t="s">
        <v>623</v>
      </c>
      <c r="AJ1402">
        <v>1</v>
      </c>
      <c r="AM1402" t="str">
        <f t="shared" si="159"/>
        <v>Turnover</v>
      </c>
      <c r="AN1402" t="str">
        <f t="shared" si="160"/>
        <v>Turnover_Takeaway</v>
      </c>
      <c r="AP1402" t="str">
        <f t="shared" si="161"/>
        <v>Defensive</v>
      </c>
      <c r="BB1402" s="23"/>
      <c r="BD1402" s="21"/>
      <c r="BE1402" s="21"/>
      <c r="BF1402" s="21"/>
      <c r="BG1402" s="21"/>
      <c r="BH1402" s="21"/>
      <c r="BI1402" s="21"/>
    </row>
    <row r="1403" spans="1:61" x14ac:dyDescent="0.2">
      <c r="A1403">
        <v>742</v>
      </c>
      <c r="B1403" t="s">
        <v>887</v>
      </c>
      <c r="C1403" t="str">
        <f t="shared" si="157"/>
        <v/>
      </c>
      <c r="D1403" t="str">
        <f t="shared" si="162"/>
        <v/>
      </c>
      <c r="H1403">
        <f t="shared" si="158"/>
        <v>2</v>
      </c>
      <c r="R1403">
        <v>4</v>
      </c>
      <c r="S1403">
        <v>1</v>
      </c>
      <c r="T1403" t="str">
        <f t="shared" si="156"/>
        <v>e</v>
      </c>
      <c r="Y1403" t="s">
        <v>832</v>
      </c>
      <c r="AJ1403">
        <v>1</v>
      </c>
      <c r="AM1403" t="str">
        <f t="shared" si="159"/>
        <v>Turnover</v>
      </c>
      <c r="AN1403" t="str">
        <f t="shared" si="160"/>
        <v>Turnover_Takeaway</v>
      </c>
      <c r="AP1403" t="str">
        <f t="shared" si="161"/>
        <v>Defensive</v>
      </c>
      <c r="BB1403" s="23"/>
      <c r="BD1403" s="21"/>
      <c r="BE1403" s="21"/>
      <c r="BF1403" s="21"/>
      <c r="BG1403" s="21"/>
      <c r="BH1403" s="21"/>
      <c r="BI1403" s="21"/>
    </row>
    <row r="1404" spans="1:61" x14ac:dyDescent="0.2">
      <c r="A1404">
        <v>742</v>
      </c>
      <c r="B1404" t="s">
        <v>887</v>
      </c>
      <c r="C1404" t="str">
        <f t="shared" si="157"/>
        <v/>
      </c>
      <c r="D1404" t="str">
        <f t="shared" si="162"/>
        <v/>
      </c>
      <c r="H1404">
        <f t="shared" si="158"/>
        <v>2</v>
      </c>
      <c r="R1404">
        <v>42</v>
      </c>
      <c r="T1404" t="str">
        <f t="shared" si="156"/>
        <v>o</v>
      </c>
      <c r="AJ1404">
        <v>1</v>
      </c>
      <c r="AM1404" t="str">
        <f t="shared" si="159"/>
        <v>Turnover</v>
      </c>
      <c r="AN1404" t="str">
        <f t="shared" si="160"/>
        <v>Turnover_Takeaway</v>
      </c>
      <c r="AP1404" t="str">
        <f t="shared" si="161"/>
        <v>Offensive</v>
      </c>
      <c r="BB1404" s="23"/>
      <c r="BD1404" s="21"/>
      <c r="BE1404" s="21"/>
      <c r="BF1404" s="21"/>
      <c r="BG1404" s="21"/>
      <c r="BH1404" s="21"/>
      <c r="BI1404" s="21"/>
    </row>
    <row r="1405" spans="1:61" x14ac:dyDescent="0.2">
      <c r="A1405">
        <v>743</v>
      </c>
      <c r="B1405">
        <v>126</v>
      </c>
      <c r="C1405">
        <f t="shared" si="157"/>
        <v>9126</v>
      </c>
      <c r="D1405">
        <f t="shared" si="162"/>
        <v>9126</v>
      </c>
      <c r="H1405">
        <f t="shared" si="158"/>
        <v>2</v>
      </c>
      <c r="I1405" s="5" t="s">
        <v>768</v>
      </c>
      <c r="J1405" s="5" t="s">
        <v>446</v>
      </c>
      <c r="Q1405" t="s">
        <v>619</v>
      </c>
      <c r="R1405">
        <v>91</v>
      </c>
      <c r="S1405">
        <v>1</v>
      </c>
      <c r="T1405" t="str">
        <f t="shared" si="156"/>
        <v>e</v>
      </c>
      <c r="U1405" t="s">
        <v>257</v>
      </c>
      <c r="V1405" t="s">
        <v>819</v>
      </c>
      <c r="W1405" t="s">
        <v>92</v>
      </c>
      <c r="X1405" t="s">
        <v>705</v>
      </c>
      <c r="Y1405" t="s">
        <v>746</v>
      </c>
      <c r="AA1405" t="s">
        <v>705</v>
      </c>
      <c r="AF1405" t="s">
        <v>623</v>
      </c>
      <c r="AM1405" t="str">
        <f t="shared" si="159"/>
        <v>Zone_Entry_Exit</v>
      </c>
      <c r="AN1405" t="str">
        <f t="shared" si="160"/>
        <v>Zone_ExitFailed</v>
      </c>
      <c r="AP1405" t="str">
        <f t="shared" si="161"/>
        <v>Offensive</v>
      </c>
      <c r="BB1405" s="23"/>
      <c r="BD1405" s="21"/>
      <c r="BE1405" s="21"/>
      <c r="BF1405" s="21"/>
      <c r="BG1405" s="21"/>
      <c r="BH1405" s="21"/>
      <c r="BI1405" s="21"/>
    </row>
    <row r="1406" spans="1:61" x14ac:dyDescent="0.2">
      <c r="A1406">
        <v>744</v>
      </c>
      <c r="B1406">
        <v>126</v>
      </c>
      <c r="C1406">
        <f t="shared" si="157"/>
        <v>9126</v>
      </c>
      <c r="D1406">
        <f t="shared" si="162"/>
        <v>9126</v>
      </c>
      <c r="H1406">
        <f t="shared" si="158"/>
        <v>2</v>
      </c>
      <c r="I1406" s="5" t="s">
        <v>768</v>
      </c>
      <c r="J1406" s="5" t="s">
        <v>446</v>
      </c>
      <c r="Q1406" t="s">
        <v>619</v>
      </c>
      <c r="R1406">
        <v>91</v>
      </c>
      <c r="S1406">
        <v>1</v>
      </c>
      <c r="T1406" t="str">
        <f t="shared" si="156"/>
        <v>e</v>
      </c>
      <c r="U1406" t="s">
        <v>10</v>
      </c>
      <c r="V1406" t="s">
        <v>190</v>
      </c>
      <c r="W1406" t="s">
        <v>398</v>
      </c>
      <c r="Y1406" t="s">
        <v>746</v>
      </c>
      <c r="AA1406" t="s">
        <v>705</v>
      </c>
      <c r="AF1406" t="s">
        <v>623</v>
      </c>
      <c r="AM1406" t="str">
        <f t="shared" si="159"/>
        <v>Turnover</v>
      </c>
      <c r="AN1406" t="str">
        <f t="shared" si="160"/>
        <v>Turnover_Giveaway</v>
      </c>
      <c r="AP1406" t="str">
        <f t="shared" si="161"/>
        <v>Offensive</v>
      </c>
      <c r="BB1406" s="23"/>
      <c r="BD1406" s="21"/>
      <c r="BE1406" s="21"/>
      <c r="BF1406" s="21"/>
      <c r="BG1406" s="21"/>
      <c r="BH1406" s="21"/>
      <c r="BI1406" s="21"/>
    </row>
    <row r="1407" spans="1:61" x14ac:dyDescent="0.2">
      <c r="A1407">
        <v>745</v>
      </c>
      <c r="C1407" t="str">
        <f t="shared" si="157"/>
        <v/>
      </c>
      <c r="D1407">
        <f t="shared" si="162"/>
        <v>0</v>
      </c>
      <c r="H1407">
        <f t="shared" si="158"/>
        <v>2</v>
      </c>
      <c r="I1407" s="5" t="s">
        <v>733</v>
      </c>
      <c r="J1407" s="5" t="s">
        <v>637</v>
      </c>
      <c r="K1407" s="5" t="s">
        <v>733</v>
      </c>
      <c r="L1407" s="7" t="s">
        <v>762</v>
      </c>
      <c r="Q1407" t="s">
        <v>620</v>
      </c>
      <c r="R1407">
        <v>9</v>
      </c>
      <c r="S1407">
        <v>1</v>
      </c>
      <c r="T1407" t="str">
        <f t="shared" si="156"/>
        <v>e</v>
      </c>
      <c r="U1407" t="s">
        <v>15</v>
      </c>
      <c r="V1407" t="s">
        <v>697</v>
      </c>
      <c r="X1407" t="s">
        <v>706</v>
      </c>
      <c r="Y1407" t="s">
        <v>712</v>
      </c>
      <c r="AA1407" t="s">
        <v>706</v>
      </c>
      <c r="AF1407" t="s">
        <v>401</v>
      </c>
      <c r="AM1407" t="str">
        <f t="shared" si="159"/>
        <v>Possession</v>
      </c>
      <c r="AN1407" t="str">
        <f t="shared" si="160"/>
        <v>PuckRetrieval</v>
      </c>
      <c r="AP1407" t="str">
        <f t="shared" si="161"/>
        <v>Offensive</v>
      </c>
      <c r="BB1407" s="23"/>
      <c r="BD1407" s="21"/>
      <c r="BE1407" s="21"/>
      <c r="BF1407" s="21"/>
      <c r="BG1407" s="21"/>
      <c r="BH1407" s="21"/>
      <c r="BI1407" s="21"/>
    </row>
    <row r="1408" spans="1:61" x14ac:dyDescent="0.2">
      <c r="A1408">
        <v>746</v>
      </c>
      <c r="C1408" t="str">
        <f t="shared" si="157"/>
        <v/>
      </c>
      <c r="D1408">
        <f t="shared" si="162"/>
        <v>0</v>
      </c>
      <c r="H1408">
        <f t="shared" si="158"/>
        <v>2</v>
      </c>
      <c r="I1408" s="5" t="s">
        <v>733</v>
      </c>
      <c r="J1408" s="5" t="s">
        <v>762</v>
      </c>
      <c r="Q1408" t="s">
        <v>620</v>
      </c>
      <c r="R1408">
        <v>9</v>
      </c>
      <c r="S1408">
        <v>1</v>
      </c>
      <c r="T1408" t="str">
        <f t="shared" si="156"/>
        <v>e</v>
      </c>
      <c r="U1408" t="s">
        <v>7</v>
      </c>
      <c r="V1408" t="s">
        <v>208</v>
      </c>
      <c r="W1408" t="s">
        <v>53</v>
      </c>
      <c r="X1408" t="s">
        <v>705</v>
      </c>
      <c r="AF1408" t="s">
        <v>401</v>
      </c>
      <c r="AM1408" t="str">
        <f t="shared" si="159"/>
        <v>Shot</v>
      </c>
      <c r="AN1408" t="str">
        <f t="shared" si="160"/>
        <v>Shot_Blocked</v>
      </c>
      <c r="AP1408" t="str">
        <f t="shared" si="161"/>
        <v>Offensive</v>
      </c>
      <c r="BB1408" s="23"/>
      <c r="BD1408" s="21"/>
      <c r="BE1408" s="21"/>
      <c r="BF1408" s="21"/>
      <c r="BG1408" s="21"/>
      <c r="BH1408" s="21"/>
      <c r="BI1408" s="21"/>
    </row>
    <row r="1409" spans="1:61" x14ac:dyDescent="0.2">
      <c r="A1409">
        <v>746</v>
      </c>
      <c r="B1409" t="s">
        <v>887</v>
      </c>
      <c r="C1409" t="str">
        <f t="shared" si="157"/>
        <v/>
      </c>
      <c r="D1409" t="str">
        <f t="shared" si="162"/>
        <v/>
      </c>
      <c r="H1409">
        <f t="shared" si="158"/>
        <v>2</v>
      </c>
      <c r="R1409">
        <v>25</v>
      </c>
      <c r="T1409" t="str">
        <f t="shared" si="156"/>
        <v>o</v>
      </c>
      <c r="Y1409" t="s">
        <v>681</v>
      </c>
      <c r="AA1409" t="s">
        <v>706</v>
      </c>
      <c r="AF1409" t="s">
        <v>401</v>
      </c>
      <c r="AM1409" t="str">
        <f t="shared" si="159"/>
        <v>Shot</v>
      </c>
      <c r="AN1409" t="str">
        <f t="shared" si="160"/>
        <v>Shot_Blocked</v>
      </c>
      <c r="AP1409" t="str">
        <f t="shared" si="161"/>
        <v>Defensive</v>
      </c>
      <c r="BB1409" s="23"/>
      <c r="BD1409" s="21"/>
      <c r="BE1409" s="21"/>
      <c r="BF1409" s="21"/>
      <c r="BG1409" s="21"/>
      <c r="BH1409" s="21"/>
      <c r="BI1409" s="21"/>
    </row>
    <row r="1410" spans="1:61" x14ac:dyDescent="0.2">
      <c r="A1410">
        <v>747</v>
      </c>
      <c r="B1410" t="s">
        <v>887</v>
      </c>
      <c r="C1410" t="str">
        <f t="shared" si="157"/>
        <v/>
      </c>
      <c r="D1410" t="str">
        <f t="shared" si="162"/>
        <v/>
      </c>
      <c r="H1410">
        <f t="shared" si="158"/>
        <v>2</v>
      </c>
      <c r="I1410" s="5" t="s">
        <v>733</v>
      </c>
      <c r="J1410" s="5" t="s">
        <v>788</v>
      </c>
      <c r="K1410" s="5" t="s">
        <v>733</v>
      </c>
      <c r="L1410" s="7" t="s">
        <v>773</v>
      </c>
      <c r="Q1410" t="s">
        <v>620</v>
      </c>
      <c r="R1410">
        <v>22</v>
      </c>
      <c r="S1410">
        <v>1</v>
      </c>
      <c r="T1410" t="str">
        <f t="shared" si="156"/>
        <v>e</v>
      </c>
      <c r="U1410" t="s">
        <v>15</v>
      </c>
      <c r="V1410" t="s">
        <v>698</v>
      </c>
      <c r="X1410" t="s">
        <v>706</v>
      </c>
      <c r="Y1410" t="s">
        <v>739</v>
      </c>
      <c r="AA1410" t="s">
        <v>706</v>
      </c>
      <c r="AF1410" t="s">
        <v>401</v>
      </c>
      <c r="AJ1410">
        <v>1</v>
      </c>
      <c r="AM1410" t="str">
        <f t="shared" si="159"/>
        <v>Possession</v>
      </c>
      <c r="AN1410" t="str">
        <f t="shared" si="160"/>
        <v>PuckRecovery</v>
      </c>
      <c r="AP1410" t="str">
        <f t="shared" si="161"/>
        <v>Offensive</v>
      </c>
      <c r="BB1410" s="23"/>
      <c r="BD1410" s="21"/>
      <c r="BE1410" s="21"/>
      <c r="BF1410" s="21"/>
      <c r="BG1410" s="21"/>
      <c r="BH1410" s="21"/>
      <c r="BI1410" s="21"/>
    </row>
    <row r="1411" spans="1:61" x14ac:dyDescent="0.2">
      <c r="A1411">
        <v>748</v>
      </c>
      <c r="B1411">
        <v>127</v>
      </c>
      <c r="C1411">
        <f t="shared" si="157"/>
        <v>9127</v>
      </c>
      <c r="D1411">
        <f t="shared" si="162"/>
        <v>9127</v>
      </c>
      <c r="H1411">
        <f t="shared" si="158"/>
        <v>2</v>
      </c>
      <c r="I1411" s="5" t="s">
        <v>733</v>
      </c>
      <c r="J1411" s="5" t="s">
        <v>773</v>
      </c>
      <c r="Q1411" t="s">
        <v>620</v>
      </c>
      <c r="R1411">
        <v>22</v>
      </c>
      <c r="S1411">
        <v>1</v>
      </c>
      <c r="T1411" t="str">
        <f t="shared" ref="T1411:T1469" si="163">IF(S1411="x","",IF(S1411=1,"e","o"))</f>
        <v>e</v>
      </c>
      <c r="U1411" t="s">
        <v>7</v>
      </c>
      <c r="V1411" t="s">
        <v>208</v>
      </c>
      <c r="W1411" t="s">
        <v>53</v>
      </c>
      <c r="X1411" t="s">
        <v>705</v>
      </c>
      <c r="AF1411" t="s">
        <v>401</v>
      </c>
      <c r="AJ1411">
        <v>1</v>
      </c>
      <c r="AM1411" t="str">
        <f t="shared" si="159"/>
        <v>Shot</v>
      </c>
      <c r="AN1411" t="str">
        <f t="shared" si="160"/>
        <v>Shot_Blocked</v>
      </c>
      <c r="AP1411" t="str">
        <f t="shared" si="161"/>
        <v>Offensive</v>
      </c>
      <c r="BB1411" s="23"/>
      <c r="BD1411" s="21"/>
      <c r="BE1411" s="21"/>
      <c r="BF1411" s="21"/>
      <c r="BG1411" s="21"/>
      <c r="BH1411" s="21"/>
      <c r="BI1411" s="21"/>
    </row>
    <row r="1412" spans="1:61" x14ac:dyDescent="0.2">
      <c r="A1412">
        <v>748</v>
      </c>
      <c r="B1412">
        <v>127</v>
      </c>
      <c r="C1412">
        <f t="shared" ref="C1412:C1475" si="164">IF(B1412&lt;&gt;"",9000+B1412,"")</f>
        <v>9127</v>
      </c>
      <c r="D1412">
        <f t="shared" si="162"/>
        <v>9127</v>
      </c>
      <c r="H1412">
        <f t="shared" si="158"/>
        <v>2</v>
      </c>
      <c r="R1412">
        <v>80</v>
      </c>
      <c r="T1412" t="str">
        <f t="shared" si="163"/>
        <v>o</v>
      </c>
      <c r="Y1412" t="s">
        <v>681</v>
      </c>
      <c r="AA1412" t="s">
        <v>706</v>
      </c>
      <c r="AF1412" t="s">
        <v>401</v>
      </c>
      <c r="AJ1412">
        <v>1</v>
      </c>
      <c r="AM1412" t="str">
        <f t="shared" si="159"/>
        <v>Shot</v>
      </c>
      <c r="AN1412" t="str">
        <f t="shared" si="160"/>
        <v>Shot_Blocked</v>
      </c>
      <c r="AP1412" t="str">
        <f t="shared" si="161"/>
        <v>Defensive</v>
      </c>
      <c r="BB1412" s="23"/>
      <c r="BD1412" s="21"/>
      <c r="BE1412" s="21"/>
      <c r="BF1412" s="21"/>
      <c r="BG1412" s="21"/>
      <c r="BH1412" s="21"/>
      <c r="BI1412" s="21"/>
    </row>
    <row r="1413" spans="1:61" x14ac:dyDescent="0.2">
      <c r="A1413">
        <v>749</v>
      </c>
      <c r="B1413">
        <v>127</v>
      </c>
      <c r="C1413">
        <f t="shared" si="164"/>
        <v>9127</v>
      </c>
      <c r="D1413">
        <f t="shared" si="162"/>
        <v>9127</v>
      </c>
      <c r="H1413">
        <f t="shared" ref="H1413:H1476" si="165">IF(U1413="Intermission",H1412+1,H1412)</f>
        <v>2</v>
      </c>
      <c r="I1413" s="5" t="s">
        <v>733</v>
      </c>
      <c r="J1413" s="5" t="s">
        <v>773</v>
      </c>
      <c r="Q1413" t="s">
        <v>620</v>
      </c>
      <c r="R1413">
        <v>22</v>
      </c>
      <c r="S1413">
        <v>1</v>
      </c>
      <c r="T1413" t="str">
        <f t="shared" si="163"/>
        <v>e</v>
      </c>
      <c r="U1413" t="s">
        <v>10</v>
      </c>
      <c r="V1413" t="s">
        <v>190</v>
      </c>
      <c r="W1413" t="s">
        <v>78</v>
      </c>
      <c r="AF1413" t="s">
        <v>401</v>
      </c>
      <c r="AJ1413">
        <v>1</v>
      </c>
      <c r="AM1413" t="str">
        <f t="shared" ref="AM1413:AM1476" si="166">IF(U1413&lt;&gt;"",U1413,IF($A1413=$A1412,AM1412,""))</f>
        <v>Turnover</v>
      </c>
      <c r="AN1413" t="str">
        <f t="shared" ref="AN1413:AN1476" si="167">IF(V1413&lt;&gt;"",V1413,IF($A1413=$A1412,AN1412,""))</f>
        <v>Turnover_Giveaway</v>
      </c>
      <c r="AP1413" t="str">
        <f t="shared" si="161"/>
        <v>Offensive</v>
      </c>
      <c r="BB1413" s="23"/>
      <c r="BD1413" s="21"/>
      <c r="BE1413" s="21"/>
      <c r="BF1413" s="21"/>
      <c r="BG1413" s="21"/>
      <c r="BH1413" s="21"/>
      <c r="BI1413" s="21"/>
    </row>
    <row r="1414" spans="1:61" x14ac:dyDescent="0.2">
      <c r="A1414">
        <v>749</v>
      </c>
      <c r="B1414">
        <v>127</v>
      </c>
      <c r="C1414">
        <f t="shared" si="164"/>
        <v>9127</v>
      </c>
      <c r="D1414">
        <f t="shared" si="162"/>
        <v>9127</v>
      </c>
      <c r="H1414">
        <f t="shared" si="165"/>
        <v>2</v>
      </c>
      <c r="R1414">
        <v>80</v>
      </c>
      <c r="T1414" t="str">
        <f t="shared" si="163"/>
        <v>o</v>
      </c>
      <c r="Y1414" t="s">
        <v>681</v>
      </c>
      <c r="AA1414" t="s">
        <v>706</v>
      </c>
      <c r="AF1414" t="s">
        <v>401</v>
      </c>
      <c r="AJ1414">
        <v>1</v>
      </c>
      <c r="AM1414" t="str">
        <f t="shared" si="166"/>
        <v>Turnover</v>
      </c>
      <c r="AN1414" t="str">
        <f t="shared" si="167"/>
        <v>Turnover_Giveaway</v>
      </c>
      <c r="AP1414" t="str">
        <f t="shared" ref="AP1414:AP1477" si="168">IF(AND(T1414="e",OR(AM1414="Save",AN1414="Turnover_Takeaway",AN1414="Play_Defensive")),"Defensive",IF(AND(T1414="o",OR(AM1414="Save",AN1414="Turnover_Takeaway",AN1414="Play_Defensive")),"Offensive",IF(OR(AM1414="Deadice",AM1414="Stoppage",AM1414="Intermission"),"",IF(T1414="e","Offensive",IF(T1414="o","Defensive","")))))</f>
        <v>Defensive</v>
      </c>
      <c r="BB1414" s="23"/>
      <c r="BD1414" s="21"/>
      <c r="BE1414" s="21"/>
      <c r="BF1414" s="21"/>
      <c r="BG1414" s="21"/>
      <c r="BH1414" s="21"/>
      <c r="BI1414" s="21"/>
    </row>
    <row r="1415" spans="1:61" x14ac:dyDescent="0.2">
      <c r="A1415">
        <v>750</v>
      </c>
      <c r="B1415" t="s">
        <v>887</v>
      </c>
      <c r="C1415" t="str">
        <f t="shared" si="164"/>
        <v/>
      </c>
      <c r="D1415" t="str">
        <f t="shared" si="162"/>
        <v/>
      </c>
      <c r="H1415">
        <f t="shared" si="165"/>
        <v>2</v>
      </c>
      <c r="I1415" s="5" t="s">
        <v>733</v>
      </c>
      <c r="J1415" s="5" t="s">
        <v>753</v>
      </c>
      <c r="K1415" s="5" t="s">
        <v>733</v>
      </c>
      <c r="L1415" s="7" t="s">
        <v>755</v>
      </c>
      <c r="Q1415" t="s">
        <v>619</v>
      </c>
      <c r="R1415">
        <v>25</v>
      </c>
      <c r="S1415">
        <v>1</v>
      </c>
      <c r="T1415" t="str">
        <f t="shared" si="163"/>
        <v>e</v>
      </c>
      <c r="U1415" t="s">
        <v>15</v>
      </c>
      <c r="V1415" t="s">
        <v>697</v>
      </c>
      <c r="X1415" t="s">
        <v>706</v>
      </c>
      <c r="Y1415" t="s">
        <v>683</v>
      </c>
      <c r="AA1415" t="s">
        <v>706</v>
      </c>
      <c r="AF1415" t="s">
        <v>623</v>
      </c>
      <c r="AM1415" t="str">
        <f t="shared" si="166"/>
        <v>Possession</v>
      </c>
      <c r="AN1415" t="str">
        <f t="shared" si="167"/>
        <v>PuckRetrieval</v>
      </c>
      <c r="AP1415" t="str">
        <f t="shared" si="168"/>
        <v>Offensive</v>
      </c>
      <c r="BB1415" s="23"/>
      <c r="BD1415" s="21"/>
      <c r="BE1415" s="21"/>
      <c r="BF1415" s="21"/>
      <c r="BG1415" s="21"/>
      <c r="BH1415" s="21"/>
      <c r="BI1415" s="21"/>
    </row>
    <row r="1416" spans="1:61" x14ac:dyDescent="0.2">
      <c r="A1416">
        <v>751</v>
      </c>
      <c r="B1416">
        <v>128</v>
      </c>
      <c r="C1416">
        <f t="shared" si="164"/>
        <v>9128</v>
      </c>
      <c r="D1416">
        <f t="shared" si="162"/>
        <v>9128</v>
      </c>
      <c r="H1416">
        <f t="shared" si="165"/>
        <v>2</v>
      </c>
      <c r="I1416" s="5" t="s">
        <v>733</v>
      </c>
      <c r="J1416" s="5" t="s">
        <v>755</v>
      </c>
      <c r="Q1416" t="s">
        <v>619</v>
      </c>
      <c r="R1416">
        <v>25</v>
      </c>
      <c r="S1416">
        <v>1</v>
      </c>
      <c r="T1416" t="str">
        <f t="shared" si="163"/>
        <v>e</v>
      </c>
      <c r="U1416" t="s">
        <v>8</v>
      </c>
      <c r="V1416" t="s">
        <v>199</v>
      </c>
      <c r="W1416" t="s">
        <v>67</v>
      </c>
      <c r="X1416" t="s">
        <v>705</v>
      </c>
      <c r="Y1416" t="s">
        <v>744</v>
      </c>
      <c r="AA1416" t="s">
        <v>705</v>
      </c>
      <c r="AF1416" t="s">
        <v>623</v>
      </c>
      <c r="AJ1416">
        <v>1</v>
      </c>
      <c r="AM1416" t="str">
        <f t="shared" si="166"/>
        <v>Pass</v>
      </c>
      <c r="AN1416" t="str">
        <f t="shared" si="167"/>
        <v>Pass_Missed</v>
      </c>
      <c r="AP1416" t="str">
        <f t="shared" si="168"/>
        <v>Offensive</v>
      </c>
      <c r="BB1416" s="23"/>
      <c r="BD1416" s="21"/>
      <c r="BE1416" s="21"/>
      <c r="BF1416" s="21"/>
      <c r="BG1416" s="21"/>
      <c r="BH1416" s="21"/>
      <c r="BI1416" s="21"/>
    </row>
    <row r="1417" spans="1:61" x14ac:dyDescent="0.2">
      <c r="A1417">
        <v>751</v>
      </c>
      <c r="B1417">
        <v>128</v>
      </c>
      <c r="C1417">
        <f t="shared" si="164"/>
        <v>9128</v>
      </c>
      <c r="D1417">
        <f t="shared" ref="D1417:D1480" si="169">IF(C1417&lt;&gt;"",C1417,B1417)</f>
        <v>9128</v>
      </c>
      <c r="H1417">
        <f t="shared" si="165"/>
        <v>2</v>
      </c>
      <c r="R1417">
        <v>91</v>
      </c>
      <c r="S1417">
        <v>1</v>
      </c>
      <c r="T1417" t="str">
        <f t="shared" si="163"/>
        <v>e</v>
      </c>
      <c r="AM1417" t="str">
        <f t="shared" si="166"/>
        <v>Pass</v>
      </c>
      <c r="AN1417" t="str">
        <f t="shared" si="167"/>
        <v>Pass_Missed</v>
      </c>
      <c r="AP1417" t="str">
        <f t="shared" si="168"/>
        <v>Offensive</v>
      </c>
      <c r="BB1417" s="23"/>
      <c r="BD1417" s="21"/>
      <c r="BE1417" s="21"/>
      <c r="BF1417" s="21"/>
      <c r="BG1417" s="21"/>
      <c r="BH1417" s="21"/>
      <c r="BI1417" s="21"/>
    </row>
    <row r="1418" spans="1:61" x14ac:dyDescent="0.2">
      <c r="A1418">
        <v>751</v>
      </c>
      <c r="B1418">
        <v>128</v>
      </c>
      <c r="C1418">
        <f t="shared" si="164"/>
        <v>9128</v>
      </c>
      <c r="D1418">
        <f t="shared" si="169"/>
        <v>9128</v>
      </c>
      <c r="H1418">
        <f t="shared" si="165"/>
        <v>2</v>
      </c>
      <c r="R1418">
        <v>61</v>
      </c>
      <c r="T1418" t="str">
        <f t="shared" si="163"/>
        <v>o</v>
      </c>
      <c r="Y1418" t="s">
        <v>715</v>
      </c>
      <c r="AJ1418">
        <v>1</v>
      </c>
      <c r="AM1418" t="str">
        <f t="shared" si="166"/>
        <v>Pass</v>
      </c>
      <c r="AN1418" t="str">
        <f t="shared" si="167"/>
        <v>Pass_Missed</v>
      </c>
      <c r="AP1418" t="str">
        <f t="shared" si="168"/>
        <v>Defensive</v>
      </c>
      <c r="BB1418" s="23"/>
      <c r="BD1418" s="21"/>
      <c r="BE1418" s="21"/>
      <c r="BF1418" s="21"/>
      <c r="BG1418" s="21"/>
      <c r="BH1418" s="21"/>
      <c r="BI1418" s="21"/>
    </row>
    <row r="1419" spans="1:61" x14ac:dyDescent="0.2">
      <c r="A1419">
        <v>752</v>
      </c>
      <c r="B1419">
        <v>128</v>
      </c>
      <c r="C1419">
        <f t="shared" si="164"/>
        <v>9128</v>
      </c>
      <c r="D1419">
        <f t="shared" si="169"/>
        <v>9128</v>
      </c>
      <c r="H1419">
        <f t="shared" si="165"/>
        <v>2</v>
      </c>
      <c r="I1419" s="5" t="s">
        <v>733</v>
      </c>
      <c r="J1419" s="5" t="s">
        <v>755</v>
      </c>
      <c r="Q1419" t="s">
        <v>619</v>
      </c>
      <c r="R1419">
        <v>25</v>
      </c>
      <c r="S1419">
        <v>1</v>
      </c>
      <c r="T1419" t="str">
        <f t="shared" ref="T1419:T1424" si="170">IF(S1419="x","",IF(S1419=1,"e","o"))</f>
        <v>e</v>
      </c>
      <c r="U1419" t="s">
        <v>257</v>
      </c>
      <c r="V1419" t="s">
        <v>201</v>
      </c>
      <c r="W1419" t="s">
        <v>409</v>
      </c>
      <c r="X1419" t="s">
        <v>705</v>
      </c>
      <c r="AF1419" t="s">
        <v>623</v>
      </c>
      <c r="AJ1419">
        <v>1</v>
      </c>
      <c r="AM1419" t="str">
        <f t="shared" si="166"/>
        <v>Zone_Entry_Exit</v>
      </c>
      <c r="AN1419" t="str">
        <f t="shared" si="167"/>
        <v>Zone_Exit</v>
      </c>
      <c r="AP1419" t="str">
        <f t="shared" si="168"/>
        <v>Offensive</v>
      </c>
      <c r="BB1419" s="23"/>
      <c r="BD1419" s="21"/>
      <c r="BE1419" s="21"/>
      <c r="BF1419" s="21"/>
      <c r="BG1419" s="21"/>
      <c r="BH1419" s="21"/>
      <c r="BI1419" s="21"/>
    </row>
    <row r="1420" spans="1:61" x14ac:dyDescent="0.2">
      <c r="A1420">
        <v>752</v>
      </c>
      <c r="B1420">
        <v>128</v>
      </c>
      <c r="C1420">
        <f t="shared" si="164"/>
        <v>9128</v>
      </c>
      <c r="D1420">
        <f t="shared" si="169"/>
        <v>9128</v>
      </c>
      <c r="H1420">
        <f t="shared" si="165"/>
        <v>2</v>
      </c>
      <c r="R1420">
        <v>91</v>
      </c>
      <c r="S1420">
        <v>1</v>
      </c>
      <c r="T1420" t="str">
        <f t="shared" si="170"/>
        <v>e</v>
      </c>
      <c r="AM1420" t="str">
        <f t="shared" si="166"/>
        <v>Zone_Entry_Exit</v>
      </c>
      <c r="AN1420" t="str">
        <f t="shared" si="167"/>
        <v>Zone_Exit</v>
      </c>
      <c r="AP1420" t="str">
        <f t="shared" si="168"/>
        <v>Offensive</v>
      </c>
      <c r="BB1420" s="23"/>
      <c r="BD1420" s="21"/>
      <c r="BE1420" s="21"/>
      <c r="BF1420" s="21"/>
      <c r="BG1420" s="21"/>
      <c r="BH1420" s="21"/>
      <c r="BI1420" s="21"/>
    </row>
    <row r="1421" spans="1:61" x14ac:dyDescent="0.2">
      <c r="A1421">
        <v>752</v>
      </c>
      <c r="B1421">
        <v>128</v>
      </c>
      <c r="C1421">
        <f t="shared" si="164"/>
        <v>9128</v>
      </c>
      <c r="D1421">
        <f t="shared" si="169"/>
        <v>9128</v>
      </c>
      <c r="H1421">
        <f t="shared" si="165"/>
        <v>2</v>
      </c>
      <c r="R1421">
        <v>61</v>
      </c>
      <c r="T1421" t="str">
        <f t="shared" si="170"/>
        <v>o</v>
      </c>
      <c r="Y1421" t="s">
        <v>715</v>
      </c>
      <c r="AJ1421">
        <v>1</v>
      </c>
      <c r="AM1421" t="str">
        <f t="shared" si="166"/>
        <v>Zone_Entry_Exit</v>
      </c>
      <c r="AN1421" t="str">
        <f t="shared" si="167"/>
        <v>Zone_Exit</v>
      </c>
      <c r="AP1421" t="str">
        <f t="shared" si="168"/>
        <v>Defensive</v>
      </c>
      <c r="BB1421" s="23"/>
      <c r="BD1421" s="21"/>
      <c r="BE1421" s="21"/>
      <c r="BF1421" s="21"/>
      <c r="BG1421" s="21"/>
      <c r="BH1421" s="21"/>
      <c r="BI1421" s="21"/>
    </row>
    <row r="1422" spans="1:61" x14ac:dyDescent="0.2">
      <c r="A1422">
        <v>753</v>
      </c>
      <c r="C1422" t="str">
        <f t="shared" si="164"/>
        <v/>
      </c>
      <c r="D1422">
        <f t="shared" si="169"/>
        <v>0</v>
      </c>
      <c r="H1422">
        <f t="shared" si="165"/>
        <v>2</v>
      </c>
      <c r="I1422" s="5" t="s">
        <v>733</v>
      </c>
      <c r="J1422" s="5" t="s">
        <v>713</v>
      </c>
      <c r="K1422" s="5" t="s">
        <v>733</v>
      </c>
      <c r="L1422" s="7" t="s">
        <v>776</v>
      </c>
      <c r="Q1422" t="s">
        <v>619</v>
      </c>
      <c r="R1422">
        <v>4</v>
      </c>
      <c r="S1422">
        <v>1</v>
      </c>
      <c r="T1422" t="str">
        <f t="shared" si="170"/>
        <v>e</v>
      </c>
      <c r="U1422" t="s">
        <v>15</v>
      </c>
      <c r="V1422" t="s">
        <v>697</v>
      </c>
      <c r="X1422" t="s">
        <v>705</v>
      </c>
      <c r="Y1422" t="s">
        <v>712</v>
      </c>
      <c r="AA1422" t="s">
        <v>705</v>
      </c>
      <c r="AF1422" t="s">
        <v>635</v>
      </c>
      <c r="AM1422" t="str">
        <f t="shared" si="166"/>
        <v>Possession</v>
      </c>
      <c r="AN1422" t="str">
        <f t="shared" si="167"/>
        <v>PuckRetrieval</v>
      </c>
      <c r="AP1422" t="str">
        <f t="shared" si="168"/>
        <v>Offensive</v>
      </c>
      <c r="BB1422" s="23"/>
      <c r="BD1422" s="21"/>
      <c r="BE1422" s="21"/>
      <c r="BF1422" s="21"/>
      <c r="BG1422" s="21"/>
      <c r="BH1422" s="21"/>
      <c r="BI1422" s="21"/>
    </row>
    <row r="1423" spans="1:61" x14ac:dyDescent="0.2">
      <c r="A1423">
        <v>754</v>
      </c>
      <c r="C1423" t="str">
        <f t="shared" si="164"/>
        <v/>
      </c>
      <c r="D1423">
        <f t="shared" si="169"/>
        <v>0</v>
      </c>
      <c r="H1423">
        <f t="shared" si="165"/>
        <v>2</v>
      </c>
      <c r="I1423" s="5" t="s">
        <v>733</v>
      </c>
      <c r="J1423" s="5" t="s">
        <v>776</v>
      </c>
      <c r="Q1423" t="s">
        <v>619</v>
      </c>
      <c r="R1423">
        <v>4</v>
      </c>
      <c r="S1423">
        <v>1</v>
      </c>
      <c r="T1423" t="str">
        <f t="shared" si="170"/>
        <v>e</v>
      </c>
      <c r="Y1423" t="s">
        <v>744</v>
      </c>
      <c r="AA1423" t="s">
        <v>705</v>
      </c>
      <c r="AF1423" t="s">
        <v>635</v>
      </c>
      <c r="AM1423" t="str">
        <f t="shared" si="166"/>
        <v/>
      </c>
      <c r="AN1423" t="str">
        <f t="shared" si="167"/>
        <v/>
      </c>
      <c r="AP1423" t="str">
        <f t="shared" si="168"/>
        <v>Offensive</v>
      </c>
      <c r="BB1423" s="23"/>
      <c r="BD1423" s="21"/>
      <c r="BE1423" s="21"/>
      <c r="BF1423" s="21"/>
      <c r="BG1423" s="21"/>
      <c r="BH1423" s="21"/>
      <c r="BI1423" s="21"/>
    </row>
    <row r="1424" spans="1:61" x14ac:dyDescent="0.2">
      <c r="A1424">
        <v>754</v>
      </c>
      <c r="C1424" t="str">
        <f t="shared" si="164"/>
        <v/>
      </c>
      <c r="D1424">
        <f t="shared" si="169"/>
        <v>0</v>
      </c>
      <c r="H1424">
        <f t="shared" si="165"/>
        <v>2</v>
      </c>
      <c r="R1424">
        <v>80</v>
      </c>
      <c r="S1424">
        <v>1</v>
      </c>
      <c r="T1424" t="str">
        <f t="shared" si="170"/>
        <v>e</v>
      </c>
      <c r="AM1424" t="str">
        <f t="shared" si="166"/>
        <v/>
      </c>
      <c r="AN1424" t="str">
        <f t="shared" si="167"/>
        <v/>
      </c>
      <c r="AP1424" t="str">
        <f t="shared" si="168"/>
        <v>Offensive</v>
      </c>
      <c r="BB1424" s="23"/>
      <c r="BD1424" s="21"/>
      <c r="BE1424" s="21"/>
      <c r="BF1424" s="21"/>
      <c r="BG1424" s="21"/>
      <c r="BH1424" s="21"/>
      <c r="BI1424" s="21"/>
    </row>
    <row r="1425" spans="1:61" x14ac:dyDescent="0.2">
      <c r="A1425">
        <v>754</v>
      </c>
      <c r="B1425" t="s">
        <v>887</v>
      </c>
      <c r="C1425" t="str">
        <f t="shared" si="164"/>
        <v/>
      </c>
      <c r="D1425" t="str">
        <f t="shared" si="169"/>
        <v/>
      </c>
      <c r="H1425">
        <f t="shared" si="165"/>
        <v>2</v>
      </c>
      <c r="R1425">
        <v>70</v>
      </c>
      <c r="T1425" t="str">
        <f t="shared" si="163"/>
        <v>o</v>
      </c>
      <c r="Y1425" t="s">
        <v>722</v>
      </c>
      <c r="AM1425" t="str">
        <f t="shared" si="166"/>
        <v/>
      </c>
      <c r="AN1425" t="str">
        <f t="shared" si="167"/>
        <v/>
      </c>
      <c r="AP1425" t="str">
        <f t="shared" si="168"/>
        <v>Defensive</v>
      </c>
      <c r="BB1425" s="23"/>
      <c r="BD1425" s="21"/>
      <c r="BE1425" s="21"/>
      <c r="BF1425" s="21"/>
      <c r="BG1425" s="21"/>
      <c r="BH1425" s="21"/>
      <c r="BI1425" s="21"/>
    </row>
    <row r="1426" spans="1:61" x14ac:dyDescent="0.2">
      <c r="A1426">
        <v>755</v>
      </c>
      <c r="B1426" t="s">
        <v>887</v>
      </c>
      <c r="C1426" t="str">
        <f t="shared" si="164"/>
        <v/>
      </c>
      <c r="D1426" t="str">
        <f t="shared" si="169"/>
        <v/>
      </c>
      <c r="H1426">
        <f t="shared" si="165"/>
        <v>2</v>
      </c>
      <c r="I1426" s="5" t="s">
        <v>733</v>
      </c>
      <c r="J1426" s="5" t="s">
        <v>776</v>
      </c>
      <c r="Q1426" t="s">
        <v>619</v>
      </c>
      <c r="R1426">
        <v>4</v>
      </c>
      <c r="S1426">
        <v>1</v>
      </c>
      <c r="T1426" t="str">
        <f t="shared" si="163"/>
        <v>e</v>
      </c>
      <c r="U1426" t="s">
        <v>257</v>
      </c>
      <c r="V1426" t="s">
        <v>191</v>
      </c>
      <c r="W1426" t="s">
        <v>423</v>
      </c>
      <c r="X1426" t="s">
        <v>705</v>
      </c>
      <c r="AF1426" t="s">
        <v>635</v>
      </c>
      <c r="AM1426" t="str">
        <f t="shared" si="166"/>
        <v>Zone_Entry_Exit</v>
      </c>
      <c r="AN1426" t="str">
        <f t="shared" si="167"/>
        <v>Zone_Entry</v>
      </c>
      <c r="AP1426" t="str">
        <f t="shared" si="168"/>
        <v>Offensive</v>
      </c>
      <c r="BB1426" s="23"/>
      <c r="BD1426" s="21"/>
      <c r="BE1426" s="21"/>
      <c r="BF1426" s="21"/>
      <c r="BG1426" s="21"/>
      <c r="BH1426" s="21"/>
      <c r="BI1426" s="21"/>
    </row>
    <row r="1427" spans="1:61" x14ac:dyDescent="0.2">
      <c r="A1427">
        <v>755</v>
      </c>
      <c r="B1427" t="s">
        <v>887</v>
      </c>
      <c r="C1427" t="str">
        <f t="shared" si="164"/>
        <v/>
      </c>
      <c r="D1427" t="str">
        <f t="shared" si="169"/>
        <v/>
      </c>
      <c r="H1427">
        <f t="shared" si="165"/>
        <v>2</v>
      </c>
      <c r="R1427">
        <v>80</v>
      </c>
      <c r="S1427">
        <v>1</v>
      </c>
      <c r="T1427" t="str">
        <f t="shared" si="163"/>
        <v>e</v>
      </c>
      <c r="AM1427" t="str">
        <f t="shared" si="166"/>
        <v>Zone_Entry_Exit</v>
      </c>
      <c r="AN1427" t="str">
        <f t="shared" si="167"/>
        <v>Zone_Entry</v>
      </c>
      <c r="AP1427" t="str">
        <f t="shared" si="168"/>
        <v>Offensive</v>
      </c>
      <c r="BB1427" s="23"/>
      <c r="BD1427" s="21"/>
      <c r="BE1427" s="21"/>
      <c r="BF1427" s="21"/>
      <c r="BG1427" s="21"/>
      <c r="BH1427" s="21"/>
      <c r="BI1427" s="21"/>
    </row>
    <row r="1428" spans="1:61" x14ac:dyDescent="0.2">
      <c r="A1428">
        <v>755</v>
      </c>
      <c r="B1428" t="s">
        <v>887</v>
      </c>
      <c r="C1428" t="str">
        <f t="shared" si="164"/>
        <v/>
      </c>
      <c r="D1428" t="str">
        <f t="shared" si="169"/>
        <v/>
      </c>
      <c r="H1428">
        <f t="shared" si="165"/>
        <v>2</v>
      </c>
      <c r="R1428">
        <v>70</v>
      </c>
      <c r="T1428" t="str">
        <f>IF(S1428="x","",IF(S1428=1,"e","o"))</f>
        <v>o</v>
      </c>
      <c r="Y1428" t="s">
        <v>722</v>
      </c>
      <c r="AM1428" t="str">
        <f t="shared" si="166"/>
        <v>Zone_Entry_Exit</v>
      </c>
      <c r="AN1428" t="str">
        <f t="shared" si="167"/>
        <v>Zone_Entry</v>
      </c>
      <c r="AP1428" t="str">
        <f t="shared" si="168"/>
        <v>Defensive</v>
      </c>
      <c r="BB1428" s="23"/>
      <c r="BD1428" s="21"/>
      <c r="BE1428" s="21"/>
      <c r="BF1428" s="21"/>
      <c r="BG1428" s="21"/>
      <c r="BH1428" s="21"/>
      <c r="BI1428" s="21"/>
    </row>
    <row r="1429" spans="1:61" x14ac:dyDescent="0.2">
      <c r="A1429">
        <v>756</v>
      </c>
      <c r="B1429" t="s">
        <v>887</v>
      </c>
      <c r="C1429" t="str">
        <f t="shared" si="164"/>
        <v/>
      </c>
      <c r="D1429" t="str">
        <f t="shared" si="169"/>
        <v/>
      </c>
      <c r="H1429">
        <f t="shared" si="165"/>
        <v>2</v>
      </c>
      <c r="I1429" s="5" t="s">
        <v>733</v>
      </c>
      <c r="J1429" s="5" t="s">
        <v>779</v>
      </c>
      <c r="Q1429" t="s">
        <v>620</v>
      </c>
      <c r="R1429">
        <v>9</v>
      </c>
      <c r="S1429">
        <v>1</v>
      </c>
      <c r="T1429" t="str">
        <f t="shared" si="163"/>
        <v>e</v>
      </c>
      <c r="U1429" t="s">
        <v>15</v>
      </c>
      <c r="V1429" t="s">
        <v>697</v>
      </c>
      <c r="X1429" t="s">
        <v>706</v>
      </c>
      <c r="Y1429" t="s">
        <v>720</v>
      </c>
      <c r="AA1429" t="s">
        <v>706</v>
      </c>
      <c r="AF1429" t="s">
        <v>623</v>
      </c>
      <c r="AJ1429">
        <v>1</v>
      </c>
      <c r="AM1429" t="str">
        <f t="shared" si="166"/>
        <v>Possession</v>
      </c>
      <c r="AN1429" t="str">
        <f t="shared" si="167"/>
        <v>PuckRetrieval</v>
      </c>
      <c r="AP1429" t="str">
        <f t="shared" si="168"/>
        <v>Offensive</v>
      </c>
      <c r="BB1429" s="23"/>
      <c r="BD1429" s="21"/>
      <c r="BE1429" s="21"/>
      <c r="BF1429" s="21"/>
      <c r="BG1429" s="21"/>
      <c r="BH1429" s="21"/>
      <c r="BI1429" s="21"/>
    </row>
    <row r="1430" spans="1:61" x14ac:dyDescent="0.2">
      <c r="A1430">
        <v>756</v>
      </c>
      <c r="B1430" t="s">
        <v>887</v>
      </c>
      <c r="C1430" t="str">
        <f t="shared" si="164"/>
        <v/>
      </c>
      <c r="D1430" t="str">
        <f t="shared" si="169"/>
        <v/>
      </c>
      <c r="H1430">
        <f t="shared" si="165"/>
        <v>2</v>
      </c>
      <c r="R1430">
        <v>68</v>
      </c>
      <c r="T1430" t="str">
        <f t="shared" si="163"/>
        <v>o</v>
      </c>
      <c r="Y1430" t="s">
        <v>761</v>
      </c>
      <c r="AA1430" t="s">
        <v>705</v>
      </c>
      <c r="AJ1430">
        <v>1</v>
      </c>
      <c r="AM1430" t="str">
        <f t="shared" si="166"/>
        <v>Possession</v>
      </c>
      <c r="AN1430" t="str">
        <f t="shared" si="167"/>
        <v>PuckRetrieval</v>
      </c>
      <c r="AP1430" t="str">
        <f t="shared" si="168"/>
        <v>Defensive</v>
      </c>
      <c r="BB1430" s="23"/>
      <c r="BD1430" s="21"/>
      <c r="BE1430" s="21"/>
      <c r="BF1430" s="21"/>
      <c r="BG1430" s="21"/>
      <c r="BH1430" s="21"/>
      <c r="BI1430" s="21"/>
    </row>
    <row r="1431" spans="1:61" ht="13" customHeight="1" x14ac:dyDescent="0.2">
      <c r="A1431">
        <v>757</v>
      </c>
      <c r="B1431" t="s">
        <v>887</v>
      </c>
      <c r="C1431" t="str">
        <f t="shared" si="164"/>
        <v/>
      </c>
      <c r="D1431" t="str">
        <f t="shared" si="169"/>
        <v/>
      </c>
      <c r="H1431">
        <f t="shared" si="165"/>
        <v>2</v>
      </c>
      <c r="Q1431" t="s">
        <v>620</v>
      </c>
      <c r="R1431">
        <v>9</v>
      </c>
      <c r="S1431">
        <v>1</v>
      </c>
      <c r="T1431" t="str">
        <f t="shared" si="163"/>
        <v>e</v>
      </c>
      <c r="U1431" t="s">
        <v>8</v>
      </c>
      <c r="V1431" t="s">
        <v>189</v>
      </c>
      <c r="W1431" t="s">
        <v>69</v>
      </c>
      <c r="X1431" t="s">
        <v>706</v>
      </c>
      <c r="Y1431" t="s">
        <v>784</v>
      </c>
      <c r="Z1431" t="s">
        <v>814</v>
      </c>
      <c r="AA1431" t="s">
        <v>706</v>
      </c>
      <c r="AF1431" t="s">
        <v>623</v>
      </c>
      <c r="AM1431" t="str">
        <f t="shared" si="166"/>
        <v>Pass</v>
      </c>
      <c r="AN1431" t="str">
        <f t="shared" si="167"/>
        <v>Pass_Completed</v>
      </c>
      <c r="AP1431" t="str">
        <f t="shared" si="168"/>
        <v>Offensive</v>
      </c>
      <c r="BB1431" s="23"/>
      <c r="BD1431" s="21"/>
      <c r="BE1431" s="21"/>
      <c r="BF1431" s="21"/>
      <c r="BG1431" s="21"/>
      <c r="BH1431" s="21"/>
      <c r="BI1431" s="21"/>
    </row>
    <row r="1432" spans="1:61" x14ac:dyDescent="0.2">
      <c r="A1432">
        <v>757</v>
      </c>
      <c r="B1432" t="s">
        <v>887</v>
      </c>
      <c r="C1432" t="str">
        <f t="shared" si="164"/>
        <v/>
      </c>
      <c r="D1432" t="str">
        <f t="shared" si="169"/>
        <v/>
      </c>
      <c r="H1432">
        <f t="shared" si="165"/>
        <v>2</v>
      </c>
      <c r="R1432">
        <v>22</v>
      </c>
      <c r="S1432">
        <v>1</v>
      </c>
      <c r="T1432" t="str">
        <f t="shared" si="163"/>
        <v>e</v>
      </c>
      <c r="AM1432" t="str">
        <f t="shared" si="166"/>
        <v>Pass</v>
      </c>
      <c r="AN1432" t="str">
        <f t="shared" si="167"/>
        <v>Pass_Completed</v>
      </c>
      <c r="AP1432" t="str">
        <f t="shared" si="168"/>
        <v>Offensive</v>
      </c>
      <c r="BB1432" s="23"/>
      <c r="BD1432" s="21"/>
      <c r="BE1432" s="21"/>
      <c r="BF1432" s="21"/>
      <c r="BG1432" s="21"/>
      <c r="BH1432" s="21"/>
      <c r="BI1432" s="21"/>
    </row>
    <row r="1433" spans="1:61" x14ac:dyDescent="0.2">
      <c r="A1433">
        <v>758</v>
      </c>
      <c r="B1433">
        <v>129</v>
      </c>
      <c r="C1433">
        <f t="shared" si="164"/>
        <v>9129</v>
      </c>
      <c r="D1433">
        <f t="shared" si="169"/>
        <v>9129</v>
      </c>
      <c r="H1433">
        <f t="shared" si="165"/>
        <v>2</v>
      </c>
      <c r="I1433" s="5" t="s">
        <v>733</v>
      </c>
      <c r="J1433" s="5" t="s">
        <v>724</v>
      </c>
      <c r="Q1433" t="s">
        <v>620</v>
      </c>
      <c r="R1433">
        <v>22</v>
      </c>
      <c r="S1433">
        <v>1</v>
      </c>
      <c r="T1433" t="str">
        <f t="shared" si="163"/>
        <v>e</v>
      </c>
      <c r="U1433" t="s">
        <v>257</v>
      </c>
      <c r="V1433" t="s">
        <v>201</v>
      </c>
      <c r="W1433" t="s">
        <v>92</v>
      </c>
      <c r="X1433" t="s">
        <v>705</v>
      </c>
      <c r="AF1433" t="s">
        <v>623</v>
      </c>
      <c r="AM1433" t="str">
        <f t="shared" si="166"/>
        <v>Zone_Entry_Exit</v>
      </c>
      <c r="AN1433" t="str">
        <f t="shared" si="167"/>
        <v>Zone_Exit</v>
      </c>
      <c r="AP1433" t="str">
        <f t="shared" si="168"/>
        <v>Offensive</v>
      </c>
      <c r="BB1433" s="23"/>
      <c r="BD1433" s="21"/>
      <c r="BE1433" s="21"/>
      <c r="BF1433" s="21"/>
      <c r="BG1433" s="21"/>
      <c r="BH1433" s="21"/>
      <c r="BI1433" s="21"/>
    </row>
    <row r="1434" spans="1:61" x14ac:dyDescent="0.2">
      <c r="A1434">
        <v>759</v>
      </c>
      <c r="B1434">
        <v>129</v>
      </c>
      <c r="C1434">
        <f t="shared" si="164"/>
        <v>9129</v>
      </c>
      <c r="D1434">
        <f t="shared" si="169"/>
        <v>9129</v>
      </c>
      <c r="H1434">
        <f t="shared" si="165"/>
        <v>2</v>
      </c>
      <c r="I1434" s="5" t="s">
        <v>733</v>
      </c>
      <c r="J1434" s="5" t="s">
        <v>724</v>
      </c>
      <c r="Q1434" t="s">
        <v>620</v>
      </c>
      <c r="R1434">
        <v>22</v>
      </c>
      <c r="S1434">
        <v>1</v>
      </c>
      <c r="T1434" t="str">
        <f t="shared" si="163"/>
        <v>e</v>
      </c>
      <c r="U1434" t="s">
        <v>10</v>
      </c>
      <c r="V1434" t="s">
        <v>190</v>
      </c>
      <c r="W1434" t="s">
        <v>387</v>
      </c>
      <c r="AF1434" t="s">
        <v>623</v>
      </c>
      <c r="AM1434" t="str">
        <f t="shared" si="166"/>
        <v>Turnover</v>
      </c>
      <c r="AN1434" t="str">
        <f t="shared" si="167"/>
        <v>Turnover_Giveaway</v>
      </c>
      <c r="AP1434" t="str">
        <f t="shared" si="168"/>
        <v>Offensive</v>
      </c>
      <c r="BB1434" s="23"/>
      <c r="BD1434" s="21"/>
      <c r="BE1434" s="21"/>
      <c r="BF1434" s="21"/>
      <c r="BG1434" s="21"/>
      <c r="BH1434" s="21"/>
      <c r="BI1434" s="21"/>
    </row>
    <row r="1435" spans="1:61" x14ac:dyDescent="0.2">
      <c r="A1435">
        <v>760</v>
      </c>
      <c r="B1435" t="s">
        <v>887</v>
      </c>
      <c r="C1435" t="str">
        <f t="shared" si="164"/>
        <v/>
      </c>
      <c r="D1435" t="str">
        <f t="shared" si="169"/>
        <v/>
      </c>
      <c r="H1435">
        <f t="shared" si="165"/>
        <v>2</v>
      </c>
      <c r="I1435" s="5" t="s">
        <v>733</v>
      </c>
      <c r="J1435" s="5" t="s">
        <v>780</v>
      </c>
      <c r="Q1435" t="s">
        <v>619</v>
      </c>
      <c r="R1435">
        <v>4</v>
      </c>
      <c r="S1435">
        <v>1</v>
      </c>
      <c r="T1435" t="str">
        <f t="shared" si="163"/>
        <v>e</v>
      </c>
      <c r="U1435" t="s">
        <v>15</v>
      </c>
      <c r="V1435" t="s">
        <v>697</v>
      </c>
      <c r="X1435" t="s">
        <v>705</v>
      </c>
      <c r="Y1435" t="s">
        <v>720</v>
      </c>
      <c r="AA1435" t="s">
        <v>705</v>
      </c>
      <c r="AF1435" t="s">
        <v>635</v>
      </c>
      <c r="AJ1435">
        <v>1</v>
      </c>
      <c r="AM1435" t="str">
        <f t="shared" si="166"/>
        <v>Possession</v>
      </c>
      <c r="AN1435" t="str">
        <f t="shared" si="167"/>
        <v>PuckRetrieval</v>
      </c>
      <c r="AP1435" t="str">
        <f t="shared" si="168"/>
        <v>Offensive</v>
      </c>
      <c r="BB1435" s="23"/>
      <c r="BD1435" s="21"/>
      <c r="BE1435" s="21"/>
      <c r="BF1435" s="21"/>
      <c r="BG1435" s="21"/>
      <c r="BH1435" s="21"/>
      <c r="BI1435" s="21"/>
    </row>
    <row r="1436" spans="1:61" x14ac:dyDescent="0.2">
      <c r="A1436">
        <v>760</v>
      </c>
      <c r="B1436" t="s">
        <v>887</v>
      </c>
      <c r="C1436" t="str">
        <f t="shared" si="164"/>
        <v/>
      </c>
      <c r="D1436" t="str">
        <f t="shared" si="169"/>
        <v/>
      </c>
      <c r="H1436">
        <f t="shared" si="165"/>
        <v>2</v>
      </c>
      <c r="R1436">
        <v>14</v>
      </c>
      <c r="T1436" t="str">
        <f t="shared" si="163"/>
        <v>o</v>
      </c>
      <c r="Y1436" t="s">
        <v>715</v>
      </c>
      <c r="AJ1436">
        <v>1</v>
      </c>
      <c r="AM1436" t="str">
        <f t="shared" si="166"/>
        <v>Possession</v>
      </c>
      <c r="AN1436" t="str">
        <f t="shared" si="167"/>
        <v>PuckRetrieval</v>
      </c>
      <c r="AP1436" t="str">
        <f t="shared" si="168"/>
        <v>Defensive</v>
      </c>
      <c r="BB1436" s="23"/>
      <c r="BD1436" s="21"/>
      <c r="BE1436" s="21"/>
      <c r="BF1436" s="21"/>
      <c r="BG1436" s="21"/>
      <c r="BH1436" s="21"/>
      <c r="BI1436" s="21"/>
    </row>
    <row r="1437" spans="1:61" x14ac:dyDescent="0.2">
      <c r="A1437">
        <v>761</v>
      </c>
      <c r="B1437" t="s">
        <v>887</v>
      </c>
      <c r="C1437" t="str">
        <f t="shared" si="164"/>
        <v/>
      </c>
      <c r="D1437" t="str">
        <f t="shared" si="169"/>
        <v/>
      </c>
      <c r="H1437">
        <f t="shared" si="165"/>
        <v>2</v>
      </c>
      <c r="I1437" s="5" t="s">
        <v>733</v>
      </c>
      <c r="J1437" s="5" t="s">
        <v>780</v>
      </c>
      <c r="Q1437" t="s">
        <v>619</v>
      </c>
      <c r="R1437">
        <v>4</v>
      </c>
      <c r="S1437">
        <v>1</v>
      </c>
      <c r="T1437" t="str">
        <f t="shared" si="163"/>
        <v>e</v>
      </c>
      <c r="U1437" t="s">
        <v>257</v>
      </c>
      <c r="V1437" t="s">
        <v>191</v>
      </c>
      <c r="W1437" t="s">
        <v>89</v>
      </c>
      <c r="X1437" t="s">
        <v>705</v>
      </c>
      <c r="Y1437" t="s">
        <v>718</v>
      </c>
      <c r="AA1437" t="s">
        <v>705</v>
      </c>
      <c r="AF1437" t="s">
        <v>635</v>
      </c>
      <c r="AJ1437">
        <v>1</v>
      </c>
      <c r="AM1437" t="str">
        <f t="shared" si="166"/>
        <v>Zone_Entry_Exit</v>
      </c>
      <c r="AN1437" t="str">
        <f t="shared" si="167"/>
        <v>Zone_Entry</v>
      </c>
      <c r="AP1437" t="str">
        <f t="shared" si="168"/>
        <v>Offensive</v>
      </c>
      <c r="BB1437" s="23"/>
      <c r="BD1437" s="21"/>
      <c r="BE1437" s="21"/>
      <c r="BF1437" s="21"/>
      <c r="BG1437" s="21"/>
      <c r="BH1437" s="21"/>
      <c r="BI1437" s="21"/>
    </row>
    <row r="1438" spans="1:61" x14ac:dyDescent="0.2">
      <c r="A1438">
        <v>761</v>
      </c>
      <c r="B1438" t="s">
        <v>887</v>
      </c>
      <c r="C1438" t="str">
        <f t="shared" si="164"/>
        <v/>
      </c>
      <c r="D1438" t="str">
        <f t="shared" si="169"/>
        <v/>
      </c>
      <c r="H1438">
        <f t="shared" si="165"/>
        <v>2</v>
      </c>
      <c r="R1438">
        <v>14</v>
      </c>
      <c r="T1438" t="str">
        <f t="shared" si="163"/>
        <v>o</v>
      </c>
      <c r="Y1438" t="s">
        <v>715</v>
      </c>
      <c r="AJ1438">
        <v>1</v>
      </c>
      <c r="AM1438" t="str">
        <f t="shared" si="166"/>
        <v>Zone_Entry_Exit</v>
      </c>
      <c r="AN1438" t="str">
        <f t="shared" si="167"/>
        <v>Zone_Entry</v>
      </c>
      <c r="AP1438" t="str">
        <f t="shared" si="168"/>
        <v>Defensive</v>
      </c>
      <c r="BB1438" s="23"/>
      <c r="BD1438" s="21"/>
      <c r="BE1438" s="21"/>
      <c r="BF1438" s="21"/>
      <c r="BG1438" s="21"/>
      <c r="BH1438" s="21"/>
      <c r="BI1438" s="21"/>
    </row>
    <row r="1439" spans="1:61" x14ac:dyDescent="0.2">
      <c r="A1439">
        <v>762</v>
      </c>
      <c r="B1439" t="s">
        <v>887</v>
      </c>
      <c r="C1439" t="str">
        <f t="shared" si="164"/>
        <v/>
      </c>
      <c r="D1439" t="str">
        <f t="shared" si="169"/>
        <v/>
      </c>
      <c r="H1439">
        <f t="shared" si="165"/>
        <v>2</v>
      </c>
      <c r="I1439" s="5" t="s">
        <v>733</v>
      </c>
      <c r="J1439" s="5" t="s">
        <v>780</v>
      </c>
      <c r="Q1439" t="s">
        <v>619</v>
      </c>
      <c r="R1439">
        <v>4</v>
      </c>
      <c r="S1439">
        <v>1</v>
      </c>
      <c r="T1439" t="str">
        <f t="shared" si="163"/>
        <v>e</v>
      </c>
      <c r="U1439" t="s">
        <v>10</v>
      </c>
      <c r="V1439" t="s">
        <v>190</v>
      </c>
      <c r="W1439" t="s">
        <v>398</v>
      </c>
      <c r="Y1439" t="s">
        <v>718</v>
      </c>
      <c r="AA1439" t="s">
        <v>705</v>
      </c>
      <c r="AF1439" t="s">
        <v>635</v>
      </c>
      <c r="AJ1439">
        <v>1</v>
      </c>
      <c r="AM1439" t="str">
        <f t="shared" si="166"/>
        <v>Turnover</v>
      </c>
      <c r="AN1439" t="str">
        <f t="shared" si="167"/>
        <v>Turnover_Giveaway</v>
      </c>
      <c r="AP1439" t="str">
        <f t="shared" si="168"/>
        <v>Offensive</v>
      </c>
      <c r="BB1439" s="23"/>
      <c r="BD1439" s="21"/>
      <c r="BE1439" s="21"/>
      <c r="BF1439" s="21"/>
      <c r="BG1439" s="21"/>
      <c r="BH1439" s="21"/>
      <c r="BI1439" s="21"/>
    </row>
    <row r="1440" spans="1:61" x14ac:dyDescent="0.2">
      <c r="A1440">
        <v>762</v>
      </c>
      <c r="B1440" t="s">
        <v>887</v>
      </c>
      <c r="C1440" t="str">
        <f t="shared" si="164"/>
        <v/>
      </c>
      <c r="D1440" t="str">
        <f t="shared" si="169"/>
        <v/>
      </c>
      <c r="H1440">
        <f t="shared" si="165"/>
        <v>2</v>
      </c>
      <c r="R1440">
        <v>14</v>
      </c>
      <c r="T1440" t="str">
        <f t="shared" si="163"/>
        <v>o</v>
      </c>
      <c r="Y1440" t="s">
        <v>715</v>
      </c>
      <c r="AJ1440">
        <v>1</v>
      </c>
      <c r="AM1440" t="str">
        <f t="shared" si="166"/>
        <v>Turnover</v>
      </c>
      <c r="AN1440" t="str">
        <f t="shared" si="167"/>
        <v>Turnover_Giveaway</v>
      </c>
      <c r="AP1440" t="str">
        <f t="shared" si="168"/>
        <v>Defensive</v>
      </c>
      <c r="BB1440" s="23"/>
      <c r="BD1440" s="21"/>
      <c r="BE1440" s="21"/>
      <c r="BF1440" s="21"/>
      <c r="BG1440" s="21"/>
      <c r="BH1440" s="21"/>
      <c r="BI1440" s="21"/>
    </row>
    <row r="1441" spans="1:61" x14ac:dyDescent="0.2">
      <c r="A1441">
        <v>763</v>
      </c>
      <c r="B1441" t="s">
        <v>887</v>
      </c>
      <c r="C1441" t="str">
        <f t="shared" si="164"/>
        <v/>
      </c>
      <c r="D1441" t="str">
        <f t="shared" si="169"/>
        <v/>
      </c>
      <c r="H1441">
        <f t="shared" si="165"/>
        <v>2</v>
      </c>
      <c r="I1441" s="5" t="s">
        <v>733</v>
      </c>
      <c r="J1441" s="5" t="s">
        <v>731</v>
      </c>
      <c r="Q1441" t="s">
        <v>620</v>
      </c>
      <c r="R1441">
        <v>9</v>
      </c>
      <c r="S1441">
        <v>1</v>
      </c>
      <c r="T1441" t="str">
        <f t="shared" si="163"/>
        <v>e</v>
      </c>
      <c r="U1441" t="s">
        <v>15</v>
      </c>
      <c r="V1441" t="s">
        <v>697</v>
      </c>
      <c r="X1441" t="s">
        <v>705</v>
      </c>
      <c r="Y1441" t="s">
        <v>720</v>
      </c>
      <c r="AA1441" t="s">
        <v>705</v>
      </c>
      <c r="AF1441" t="s">
        <v>623</v>
      </c>
      <c r="AM1441" t="str">
        <f t="shared" si="166"/>
        <v>Possession</v>
      </c>
      <c r="AN1441" t="str">
        <f t="shared" si="167"/>
        <v>PuckRetrieval</v>
      </c>
      <c r="AP1441" t="str">
        <f t="shared" si="168"/>
        <v>Offensive</v>
      </c>
      <c r="BB1441" s="23"/>
      <c r="BD1441" s="21"/>
      <c r="BE1441" s="21"/>
      <c r="BF1441" s="21"/>
      <c r="BG1441" s="21"/>
      <c r="BH1441" s="21"/>
      <c r="BI1441" s="21"/>
    </row>
    <row r="1442" spans="1:61" x14ac:dyDescent="0.2">
      <c r="A1442">
        <v>764</v>
      </c>
      <c r="B1442">
        <v>130</v>
      </c>
      <c r="C1442">
        <f t="shared" si="164"/>
        <v>9130</v>
      </c>
      <c r="D1442">
        <f t="shared" si="169"/>
        <v>9130</v>
      </c>
      <c r="H1442">
        <f t="shared" si="165"/>
        <v>2</v>
      </c>
      <c r="I1442" s="5" t="s">
        <v>733</v>
      </c>
      <c r="J1442" s="5" t="s">
        <v>731</v>
      </c>
      <c r="Q1442" t="s">
        <v>620</v>
      </c>
      <c r="R1442">
        <v>9</v>
      </c>
      <c r="S1442">
        <v>1</v>
      </c>
      <c r="T1442" t="str">
        <f t="shared" si="163"/>
        <v>e</v>
      </c>
      <c r="U1442" t="s">
        <v>8</v>
      </c>
      <c r="V1442" t="s">
        <v>209</v>
      </c>
      <c r="W1442" t="s">
        <v>67</v>
      </c>
      <c r="X1442" t="s">
        <v>705</v>
      </c>
      <c r="Y1442" t="s">
        <v>744</v>
      </c>
      <c r="AA1442" t="s">
        <v>705</v>
      </c>
      <c r="AF1442" t="s">
        <v>623</v>
      </c>
      <c r="AJ1442">
        <v>1</v>
      </c>
      <c r="AM1442" t="str">
        <f t="shared" si="166"/>
        <v>Pass</v>
      </c>
      <c r="AN1442" t="str">
        <f t="shared" si="167"/>
        <v>Pass_Deflected</v>
      </c>
      <c r="AP1442" t="str">
        <f t="shared" si="168"/>
        <v>Offensive</v>
      </c>
      <c r="BB1442" s="23"/>
      <c r="BD1442" s="21"/>
      <c r="BE1442" s="21"/>
      <c r="BF1442" s="21"/>
      <c r="BG1442" s="21"/>
      <c r="BH1442" s="21"/>
      <c r="BI1442" s="21"/>
    </row>
    <row r="1443" spans="1:61" x14ac:dyDescent="0.2">
      <c r="A1443">
        <v>764</v>
      </c>
      <c r="B1443">
        <v>130</v>
      </c>
      <c r="C1443">
        <f t="shared" si="164"/>
        <v>9130</v>
      </c>
      <c r="D1443">
        <f t="shared" si="169"/>
        <v>9130</v>
      </c>
      <c r="H1443">
        <f t="shared" si="165"/>
        <v>2</v>
      </c>
      <c r="R1443">
        <v>70</v>
      </c>
      <c r="S1443">
        <v>1</v>
      </c>
      <c r="T1443" t="str">
        <f t="shared" si="163"/>
        <v>e</v>
      </c>
      <c r="AM1443" t="str">
        <f t="shared" si="166"/>
        <v>Pass</v>
      </c>
      <c r="AN1443" t="str">
        <f t="shared" si="167"/>
        <v>Pass_Deflected</v>
      </c>
      <c r="AP1443" t="str">
        <f t="shared" si="168"/>
        <v>Offensive</v>
      </c>
      <c r="BB1443" s="23"/>
      <c r="BD1443" s="21"/>
      <c r="BE1443" s="21"/>
      <c r="BF1443" s="21"/>
      <c r="BG1443" s="21"/>
      <c r="BH1443" s="21"/>
      <c r="BI1443" s="21"/>
    </row>
    <row r="1444" spans="1:61" x14ac:dyDescent="0.2">
      <c r="A1444">
        <v>764</v>
      </c>
      <c r="B1444">
        <v>130</v>
      </c>
      <c r="C1444">
        <f t="shared" si="164"/>
        <v>9130</v>
      </c>
      <c r="D1444">
        <f t="shared" si="169"/>
        <v>9130</v>
      </c>
      <c r="H1444">
        <f t="shared" si="165"/>
        <v>2</v>
      </c>
      <c r="R1444">
        <v>68</v>
      </c>
      <c r="T1444" t="str">
        <f t="shared" si="163"/>
        <v>o</v>
      </c>
      <c r="Y1444" t="s">
        <v>715</v>
      </c>
      <c r="AJ1444">
        <v>1</v>
      </c>
      <c r="AM1444" t="str">
        <f t="shared" si="166"/>
        <v>Pass</v>
      </c>
      <c r="AN1444" t="str">
        <f t="shared" si="167"/>
        <v>Pass_Deflected</v>
      </c>
      <c r="AP1444" t="str">
        <f t="shared" si="168"/>
        <v>Defensive</v>
      </c>
      <c r="BB1444" s="23"/>
      <c r="BD1444" s="21"/>
      <c r="BE1444" s="21"/>
      <c r="BF1444" s="21"/>
      <c r="BG1444" s="21"/>
      <c r="BH1444" s="21"/>
      <c r="BI1444" s="21"/>
    </row>
    <row r="1445" spans="1:61" x14ac:dyDescent="0.2">
      <c r="A1445">
        <v>764</v>
      </c>
      <c r="B1445">
        <v>130</v>
      </c>
      <c r="C1445">
        <f t="shared" si="164"/>
        <v>9130</v>
      </c>
      <c r="D1445">
        <f t="shared" si="169"/>
        <v>9130</v>
      </c>
      <c r="H1445">
        <f t="shared" si="165"/>
        <v>2</v>
      </c>
      <c r="R1445">
        <v>77</v>
      </c>
      <c r="T1445" t="str">
        <f t="shared" si="163"/>
        <v>o</v>
      </c>
      <c r="Y1445" t="s">
        <v>722</v>
      </c>
      <c r="AM1445" t="str">
        <f t="shared" si="166"/>
        <v>Pass</v>
      </c>
      <c r="AN1445" t="str">
        <f t="shared" si="167"/>
        <v>Pass_Deflected</v>
      </c>
      <c r="AP1445" t="str">
        <f t="shared" si="168"/>
        <v>Defensive</v>
      </c>
      <c r="BB1445" s="23"/>
      <c r="BD1445" s="21"/>
      <c r="BE1445" s="21"/>
      <c r="BF1445" s="21"/>
      <c r="BG1445" s="21"/>
      <c r="BH1445" s="21"/>
      <c r="BI1445" s="21"/>
    </row>
    <row r="1446" spans="1:61" x14ac:dyDescent="0.2">
      <c r="A1446">
        <v>765</v>
      </c>
      <c r="B1446">
        <v>130</v>
      </c>
      <c r="C1446">
        <f t="shared" si="164"/>
        <v>9130</v>
      </c>
      <c r="D1446">
        <f t="shared" si="169"/>
        <v>9130</v>
      </c>
      <c r="H1446">
        <f t="shared" si="165"/>
        <v>2</v>
      </c>
      <c r="I1446" s="5" t="s">
        <v>733</v>
      </c>
      <c r="J1446" s="5" t="s">
        <v>731</v>
      </c>
      <c r="Q1446" t="s">
        <v>620</v>
      </c>
      <c r="R1446">
        <v>9</v>
      </c>
      <c r="S1446">
        <v>1</v>
      </c>
      <c r="T1446" t="str">
        <f>IF(S1446="x","",IF(S1446=1,"e","o"))</f>
        <v>e</v>
      </c>
      <c r="U1446" t="s">
        <v>257</v>
      </c>
      <c r="V1446" t="s">
        <v>201</v>
      </c>
      <c r="W1446" t="s">
        <v>91</v>
      </c>
      <c r="X1446" t="s">
        <v>705</v>
      </c>
      <c r="AF1446" t="s">
        <v>623</v>
      </c>
      <c r="AJ1446">
        <v>1</v>
      </c>
      <c r="AM1446" t="str">
        <f t="shared" si="166"/>
        <v>Zone_Entry_Exit</v>
      </c>
      <c r="AN1446" t="str">
        <f t="shared" si="167"/>
        <v>Zone_Exit</v>
      </c>
      <c r="AP1446" t="str">
        <f t="shared" si="168"/>
        <v>Offensive</v>
      </c>
      <c r="BB1446" s="23"/>
      <c r="BD1446" s="21"/>
      <c r="BE1446" s="21"/>
      <c r="BF1446" s="21"/>
      <c r="BG1446" s="21"/>
      <c r="BH1446" s="21"/>
      <c r="BI1446" s="21"/>
    </row>
    <row r="1447" spans="1:61" x14ac:dyDescent="0.2">
      <c r="A1447">
        <v>765</v>
      </c>
      <c r="B1447">
        <v>130</v>
      </c>
      <c r="C1447">
        <f t="shared" si="164"/>
        <v>9130</v>
      </c>
      <c r="D1447">
        <f t="shared" si="169"/>
        <v>9130</v>
      </c>
      <c r="H1447">
        <f t="shared" si="165"/>
        <v>2</v>
      </c>
      <c r="R1447">
        <v>70</v>
      </c>
      <c r="S1447">
        <v>1</v>
      </c>
      <c r="T1447" t="str">
        <f>IF(S1447="x","",IF(S1447=1,"e","o"))</f>
        <v>e</v>
      </c>
      <c r="AM1447" t="str">
        <f t="shared" si="166"/>
        <v>Zone_Entry_Exit</v>
      </c>
      <c r="AN1447" t="str">
        <f t="shared" si="167"/>
        <v>Zone_Exit</v>
      </c>
      <c r="AP1447" t="str">
        <f t="shared" si="168"/>
        <v>Offensive</v>
      </c>
      <c r="BB1447" s="23"/>
      <c r="BD1447" s="21"/>
      <c r="BE1447" s="21"/>
      <c r="BF1447" s="21"/>
      <c r="BG1447" s="21"/>
      <c r="BH1447" s="21"/>
      <c r="BI1447" s="21"/>
    </row>
    <row r="1448" spans="1:61" x14ac:dyDescent="0.2">
      <c r="A1448">
        <v>765</v>
      </c>
      <c r="B1448">
        <v>130</v>
      </c>
      <c r="C1448">
        <f t="shared" si="164"/>
        <v>9130</v>
      </c>
      <c r="D1448">
        <f t="shared" si="169"/>
        <v>9130</v>
      </c>
      <c r="H1448">
        <f t="shared" si="165"/>
        <v>2</v>
      </c>
      <c r="R1448">
        <v>68</v>
      </c>
      <c r="T1448" t="str">
        <f>IF(S1448="x","",IF(S1448=1,"e","o"))</f>
        <v>o</v>
      </c>
      <c r="Y1448" t="s">
        <v>715</v>
      </c>
      <c r="AJ1448">
        <v>1</v>
      </c>
      <c r="AM1448" t="str">
        <f t="shared" si="166"/>
        <v>Zone_Entry_Exit</v>
      </c>
      <c r="AN1448" t="str">
        <f t="shared" si="167"/>
        <v>Zone_Exit</v>
      </c>
      <c r="AP1448" t="str">
        <f t="shared" si="168"/>
        <v>Defensive</v>
      </c>
      <c r="BB1448" s="23"/>
      <c r="BD1448" s="21"/>
      <c r="BE1448" s="21"/>
      <c r="BF1448" s="21"/>
      <c r="BG1448" s="21"/>
      <c r="BH1448" s="21"/>
      <c r="BI1448" s="21"/>
    </row>
    <row r="1449" spans="1:61" x14ac:dyDescent="0.2">
      <c r="A1449">
        <v>765</v>
      </c>
      <c r="B1449">
        <v>130</v>
      </c>
      <c r="C1449">
        <f t="shared" si="164"/>
        <v>9130</v>
      </c>
      <c r="D1449">
        <f t="shared" si="169"/>
        <v>9130</v>
      </c>
      <c r="H1449">
        <f t="shared" si="165"/>
        <v>2</v>
      </c>
      <c r="R1449">
        <v>77</v>
      </c>
      <c r="T1449" t="str">
        <f>IF(S1449="x","",IF(S1449=1,"e","o"))</f>
        <v>o</v>
      </c>
      <c r="Y1449" t="s">
        <v>722</v>
      </c>
      <c r="AM1449" t="str">
        <f t="shared" si="166"/>
        <v>Zone_Entry_Exit</v>
      </c>
      <c r="AN1449" t="str">
        <f t="shared" si="167"/>
        <v>Zone_Exit</v>
      </c>
      <c r="AP1449" t="str">
        <f t="shared" si="168"/>
        <v>Defensive</v>
      </c>
      <c r="BB1449" s="23"/>
      <c r="BD1449" s="21"/>
      <c r="BE1449" s="21"/>
      <c r="BF1449" s="21"/>
      <c r="BG1449" s="21"/>
      <c r="BH1449" s="21"/>
      <c r="BI1449" s="21"/>
    </row>
    <row r="1450" spans="1:61" x14ac:dyDescent="0.2">
      <c r="A1450">
        <v>766</v>
      </c>
      <c r="B1450" t="s">
        <v>887</v>
      </c>
      <c r="C1450" t="str">
        <f t="shared" si="164"/>
        <v/>
      </c>
      <c r="D1450" t="str">
        <f t="shared" si="169"/>
        <v/>
      </c>
      <c r="H1450">
        <f t="shared" si="165"/>
        <v>2</v>
      </c>
      <c r="I1450" s="5" t="s">
        <v>733</v>
      </c>
      <c r="J1450" s="5" t="s">
        <v>448</v>
      </c>
      <c r="K1450" s="5" t="s">
        <v>733</v>
      </c>
      <c r="L1450" s="7" t="s">
        <v>768</v>
      </c>
      <c r="Q1450" t="s">
        <v>620</v>
      </c>
      <c r="R1450">
        <v>70</v>
      </c>
      <c r="S1450">
        <v>1</v>
      </c>
      <c r="T1450" t="str">
        <f t="shared" si="163"/>
        <v>e</v>
      </c>
      <c r="U1450" t="s">
        <v>15</v>
      </c>
      <c r="V1450" t="s">
        <v>697</v>
      </c>
      <c r="X1450" t="s">
        <v>706</v>
      </c>
      <c r="Y1450" t="s">
        <v>725</v>
      </c>
      <c r="AA1450" t="s">
        <v>706</v>
      </c>
      <c r="AF1450" t="s">
        <v>635</v>
      </c>
      <c r="AM1450" t="str">
        <f t="shared" si="166"/>
        <v>Possession</v>
      </c>
      <c r="AN1450" t="str">
        <f t="shared" si="167"/>
        <v>PuckRetrieval</v>
      </c>
      <c r="AP1450" t="str">
        <f t="shared" si="168"/>
        <v>Offensive</v>
      </c>
      <c r="BB1450" s="23"/>
      <c r="BD1450" s="21"/>
      <c r="BE1450" s="21"/>
      <c r="BF1450" s="21"/>
      <c r="BG1450" s="21"/>
      <c r="BH1450" s="21"/>
      <c r="BI1450" s="21"/>
    </row>
    <row r="1451" spans="1:61" x14ac:dyDescent="0.2">
      <c r="A1451">
        <v>767</v>
      </c>
      <c r="B1451" t="s">
        <v>887</v>
      </c>
      <c r="C1451" t="str">
        <f t="shared" si="164"/>
        <v/>
      </c>
      <c r="D1451" t="str">
        <f t="shared" si="169"/>
        <v/>
      </c>
      <c r="H1451">
        <f t="shared" si="165"/>
        <v>2</v>
      </c>
      <c r="I1451" s="5" t="s">
        <v>733</v>
      </c>
      <c r="J1451" s="5" t="s">
        <v>768</v>
      </c>
      <c r="K1451" s="5" t="s">
        <v>733</v>
      </c>
      <c r="L1451" s="7" t="s">
        <v>742</v>
      </c>
      <c r="Q1451" t="s">
        <v>620</v>
      </c>
      <c r="R1451">
        <v>70</v>
      </c>
      <c r="S1451">
        <v>1</v>
      </c>
      <c r="T1451" t="str">
        <f t="shared" si="163"/>
        <v>e</v>
      </c>
      <c r="U1451" t="s">
        <v>257</v>
      </c>
      <c r="V1451" t="s">
        <v>191</v>
      </c>
      <c r="W1451" t="s">
        <v>87</v>
      </c>
      <c r="Y1451" t="s">
        <v>728</v>
      </c>
      <c r="Z1451" t="s">
        <v>767</v>
      </c>
      <c r="AA1451" t="s">
        <v>706</v>
      </c>
      <c r="AF1451" t="s">
        <v>401</v>
      </c>
      <c r="AJ1451">
        <v>1</v>
      </c>
      <c r="AM1451" t="str">
        <f t="shared" si="166"/>
        <v>Zone_Entry_Exit</v>
      </c>
      <c r="AN1451" t="str">
        <f t="shared" si="167"/>
        <v>Zone_Entry</v>
      </c>
      <c r="AP1451" t="str">
        <f t="shared" si="168"/>
        <v>Offensive</v>
      </c>
      <c r="BB1451" s="23"/>
      <c r="BD1451" s="21"/>
      <c r="BE1451" s="21"/>
      <c r="BF1451" s="21"/>
      <c r="BG1451" s="21"/>
      <c r="BH1451" s="21"/>
      <c r="BI1451" s="21"/>
    </row>
    <row r="1452" spans="1:61" x14ac:dyDescent="0.2">
      <c r="A1452">
        <v>767</v>
      </c>
      <c r="B1452" t="s">
        <v>887</v>
      </c>
      <c r="C1452" t="str">
        <f t="shared" si="164"/>
        <v/>
      </c>
      <c r="D1452" t="str">
        <f t="shared" si="169"/>
        <v/>
      </c>
      <c r="H1452">
        <f t="shared" si="165"/>
        <v>2</v>
      </c>
      <c r="R1452">
        <v>77</v>
      </c>
      <c r="T1452" t="str">
        <f t="shared" si="163"/>
        <v>o</v>
      </c>
      <c r="Y1452" t="s">
        <v>715</v>
      </c>
      <c r="AJ1452">
        <v>1</v>
      </c>
      <c r="AM1452" t="str">
        <f t="shared" si="166"/>
        <v>Zone_Entry_Exit</v>
      </c>
      <c r="AN1452" t="str">
        <f t="shared" si="167"/>
        <v>Zone_Entry</v>
      </c>
      <c r="AP1452" t="str">
        <f t="shared" si="168"/>
        <v>Defensive</v>
      </c>
      <c r="BB1452" s="23"/>
      <c r="BD1452" s="21"/>
      <c r="BE1452" s="21"/>
      <c r="BF1452" s="21"/>
      <c r="BG1452" s="21"/>
      <c r="BH1452" s="21"/>
      <c r="BI1452" s="21"/>
    </row>
    <row r="1453" spans="1:61" x14ac:dyDescent="0.2">
      <c r="A1453">
        <v>767</v>
      </c>
      <c r="B1453" t="s">
        <v>887</v>
      </c>
      <c r="C1453" t="str">
        <f t="shared" si="164"/>
        <v/>
      </c>
      <c r="D1453" t="str">
        <f t="shared" si="169"/>
        <v/>
      </c>
      <c r="H1453">
        <f t="shared" si="165"/>
        <v>2</v>
      </c>
      <c r="R1453">
        <v>18</v>
      </c>
      <c r="T1453" t="str">
        <f t="shared" si="163"/>
        <v>o</v>
      </c>
      <c r="Y1453" t="s">
        <v>787</v>
      </c>
      <c r="Z1453" t="s">
        <v>764</v>
      </c>
      <c r="AM1453" t="str">
        <f t="shared" si="166"/>
        <v>Zone_Entry_Exit</v>
      </c>
      <c r="AN1453" t="str">
        <f t="shared" si="167"/>
        <v>Zone_Entry</v>
      </c>
      <c r="AP1453" t="str">
        <f t="shared" si="168"/>
        <v>Defensive</v>
      </c>
      <c r="BB1453" s="23"/>
      <c r="BD1453" s="21"/>
      <c r="BE1453" s="21"/>
      <c r="BF1453" s="21"/>
      <c r="BG1453" s="21"/>
      <c r="BH1453" s="21"/>
      <c r="BI1453" s="21"/>
    </row>
    <row r="1454" spans="1:61" x14ac:dyDescent="0.2">
      <c r="A1454">
        <v>767</v>
      </c>
      <c r="B1454" t="s">
        <v>887</v>
      </c>
      <c r="C1454" t="str">
        <f t="shared" si="164"/>
        <v/>
      </c>
      <c r="D1454" t="str">
        <f t="shared" si="169"/>
        <v/>
      </c>
      <c r="H1454">
        <f t="shared" si="165"/>
        <v>2</v>
      </c>
      <c r="R1454">
        <v>44</v>
      </c>
      <c r="T1454" t="str">
        <f t="shared" si="163"/>
        <v>o</v>
      </c>
      <c r="AM1454" t="str">
        <f t="shared" si="166"/>
        <v>Zone_Entry_Exit</v>
      </c>
      <c r="AN1454" t="str">
        <f t="shared" si="167"/>
        <v>Zone_Entry</v>
      </c>
      <c r="AP1454" t="str">
        <f t="shared" si="168"/>
        <v>Defensive</v>
      </c>
      <c r="BB1454" s="23"/>
      <c r="BD1454" s="21"/>
      <c r="BE1454" s="21"/>
      <c r="BF1454" s="21"/>
      <c r="BG1454" s="21"/>
      <c r="BH1454" s="21"/>
      <c r="BI1454" s="21"/>
    </row>
    <row r="1455" spans="1:61" x14ac:dyDescent="0.2">
      <c r="A1455">
        <v>768</v>
      </c>
      <c r="B1455">
        <v>131</v>
      </c>
      <c r="C1455">
        <f t="shared" si="164"/>
        <v>9131</v>
      </c>
      <c r="D1455">
        <f t="shared" si="169"/>
        <v>9131</v>
      </c>
      <c r="H1455">
        <f t="shared" si="165"/>
        <v>2</v>
      </c>
      <c r="I1455" s="5" t="s">
        <v>733</v>
      </c>
      <c r="J1455" s="5" t="s">
        <v>734</v>
      </c>
      <c r="Q1455" t="s">
        <v>620</v>
      </c>
      <c r="R1455">
        <v>70</v>
      </c>
      <c r="S1455">
        <v>1</v>
      </c>
      <c r="T1455" t="str">
        <f t="shared" si="163"/>
        <v>e</v>
      </c>
      <c r="U1455" t="s">
        <v>7</v>
      </c>
      <c r="V1455" t="s">
        <v>914</v>
      </c>
      <c r="W1455" t="s">
        <v>53</v>
      </c>
      <c r="X1455" t="s">
        <v>705</v>
      </c>
      <c r="AF1455" t="s">
        <v>401</v>
      </c>
      <c r="AM1455" t="str">
        <f t="shared" si="166"/>
        <v>Shot</v>
      </c>
      <c r="AN1455" t="str">
        <f t="shared" si="167"/>
        <v>Shot_MissedPost</v>
      </c>
      <c r="AP1455" t="str">
        <f t="shared" si="168"/>
        <v>Offensive</v>
      </c>
      <c r="BB1455" s="23"/>
      <c r="BD1455" s="21"/>
      <c r="BE1455" s="21"/>
      <c r="BF1455" s="21"/>
      <c r="BG1455" s="21"/>
      <c r="BH1455" s="21"/>
      <c r="BI1455" s="21"/>
    </row>
    <row r="1456" spans="1:61" x14ac:dyDescent="0.2">
      <c r="A1456">
        <v>769</v>
      </c>
      <c r="B1456">
        <v>131</v>
      </c>
      <c r="C1456">
        <f t="shared" si="164"/>
        <v>9131</v>
      </c>
      <c r="D1456">
        <f t="shared" si="169"/>
        <v>9131</v>
      </c>
      <c r="H1456">
        <f t="shared" si="165"/>
        <v>2</v>
      </c>
      <c r="I1456" s="5" t="s">
        <v>733</v>
      </c>
      <c r="J1456" s="5" t="s">
        <v>734</v>
      </c>
      <c r="Q1456" t="s">
        <v>620</v>
      </c>
      <c r="R1456">
        <v>70</v>
      </c>
      <c r="S1456">
        <v>1</v>
      </c>
      <c r="T1456" t="str">
        <f t="shared" si="163"/>
        <v>e</v>
      </c>
      <c r="U1456" t="s">
        <v>13</v>
      </c>
      <c r="V1456" t="s">
        <v>204</v>
      </c>
      <c r="W1456" t="s">
        <v>107</v>
      </c>
      <c r="AF1456" t="s">
        <v>401</v>
      </c>
      <c r="AM1456" t="str">
        <f t="shared" si="166"/>
        <v>Stoppage</v>
      </c>
      <c r="AN1456" t="str">
        <f t="shared" si="167"/>
        <v>Stoppage_Play</v>
      </c>
      <c r="AP1456" t="str">
        <f t="shared" si="168"/>
        <v/>
      </c>
      <c r="BB1456" s="23"/>
      <c r="BD1456" s="21"/>
      <c r="BE1456" s="21"/>
      <c r="BF1456" s="21"/>
      <c r="BG1456" s="21"/>
      <c r="BH1456" s="21"/>
      <c r="BI1456" s="21"/>
    </row>
    <row r="1457" spans="1:61" x14ac:dyDescent="0.2">
      <c r="A1457">
        <v>770</v>
      </c>
      <c r="B1457">
        <v>131</v>
      </c>
      <c r="C1457">
        <f t="shared" si="164"/>
        <v>9131</v>
      </c>
      <c r="D1457">
        <f t="shared" si="169"/>
        <v>9131</v>
      </c>
      <c r="H1457">
        <f t="shared" si="165"/>
        <v>2</v>
      </c>
      <c r="I1457" s="5" t="s">
        <v>733</v>
      </c>
      <c r="J1457" s="5" t="s">
        <v>734</v>
      </c>
      <c r="K1457" s="5" t="s">
        <v>742</v>
      </c>
      <c r="L1457" s="7" t="s">
        <v>789</v>
      </c>
      <c r="Q1457" t="s">
        <v>620</v>
      </c>
      <c r="R1457">
        <v>70</v>
      </c>
      <c r="S1457">
        <v>1</v>
      </c>
      <c r="T1457" t="str">
        <f t="shared" si="163"/>
        <v>e</v>
      </c>
      <c r="U1457" t="s">
        <v>262</v>
      </c>
      <c r="AF1457" t="s">
        <v>401</v>
      </c>
      <c r="AM1457" t="str">
        <f t="shared" si="166"/>
        <v>DeadIce</v>
      </c>
      <c r="AN1457" t="str">
        <f t="shared" si="167"/>
        <v/>
      </c>
      <c r="AP1457" t="str">
        <f t="shared" si="168"/>
        <v/>
      </c>
      <c r="BB1457" s="23"/>
      <c r="BD1457" s="21"/>
      <c r="BE1457" s="21"/>
      <c r="BF1457" s="21"/>
      <c r="BG1457" s="21"/>
      <c r="BH1457" s="21"/>
      <c r="BI1457" s="21"/>
    </row>
    <row r="1458" spans="1:61" x14ac:dyDescent="0.2">
      <c r="A1458">
        <v>771</v>
      </c>
      <c r="B1458" t="s">
        <v>887</v>
      </c>
      <c r="C1458" t="str">
        <f t="shared" si="164"/>
        <v/>
      </c>
      <c r="D1458" t="str">
        <f t="shared" si="169"/>
        <v/>
      </c>
      <c r="H1458">
        <f t="shared" si="165"/>
        <v>2</v>
      </c>
      <c r="I1458" s="5" t="s">
        <v>742</v>
      </c>
      <c r="J1458" s="5" t="s">
        <v>789</v>
      </c>
      <c r="Q1458" t="s">
        <v>619</v>
      </c>
      <c r="R1458">
        <v>77</v>
      </c>
      <c r="S1458">
        <v>1</v>
      </c>
      <c r="T1458" t="str">
        <f t="shared" si="163"/>
        <v>e</v>
      </c>
      <c r="U1458" t="s">
        <v>6</v>
      </c>
      <c r="V1458" t="s">
        <v>255</v>
      </c>
      <c r="AF1458" t="s">
        <v>623</v>
      </c>
      <c r="AM1458" t="str">
        <f t="shared" si="166"/>
        <v>Faceoff</v>
      </c>
      <c r="AN1458" t="str">
        <f t="shared" si="167"/>
        <v>Faceoff_AfterStoppage</v>
      </c>
      <c r="AP1458" t="str">
        <f t="shared" si="168"/>
        <v>Offensive</v>
      </c>
      <c r="BB1458" s="23"/>
      <c r="BD1458" s="21"/>
      <c r="BE1458" s="21"/>
      <c r="BF1458" s="21"/>
      <c r="BG1458" s="21"/>
      <c r="BH1458" s="21"/>
      <c r="BI1458" s="21"/>
    </row>
    <row r="1459" spans="1:61" x14ac:dyDescent="0.2">
      <c r="A1459">
        <v>771</v>
      </c>
      <c r="B1459" t="s">
        <v>887</v>
      </c>
      <c r="C1459" t="str">
        <f t="shared" si="164"/>
        <v/>
      </c>
      <c r="D1459" t="str">
        <f t="shared" si="169"/>
        <v/>
      </c>
      <c r="H1459">
        <f t="shared" si="165"/>
        <v>2</v>
      </c>
      <c r="R1459">
        <v>69</v>
      </c>
      <c r="S1459">
        <v>1</v>
      </c>
      <c r="T1459" t="str">
        <f t="shared" si="163"/>
        <v>e</v>
      </c>
      <c r="AM1459" t="str">
        <f t="shared" si="166"/>
        <v>Faceoff</v>
      </c>
      <c r="AN1459" t="str">
        <f t="shared" si="167"/>
        <v>Faceoff_AfterStoppage</v>
      </c>
      <c r="AP1459" t="str">
        <f t="shared" si="168"/>
        <v>Offensive</v>
      </c>
      <c r="BB1459" s="23"/>
      <c r="BD1459" s="21"/>
      <c r="BE1459" s="21"/>
      <c r="BF1459" s="21"/>
      <c r="BG1459" s="21"/>
      <c r="BH1459" s="21"/>
      <c r="BI1459" s="21"/>
    </row>
    <row r="1460" spans="1:61" x14ac:dyDescent="0.2">
      <c r="A1460">
        <v>771</v>
      </c>
      <c r="B1460" t="s">
        <v>887</v>
      </c>
      <c r="C1460" t="str">
        <f t="shared" si="164"/>
        <v/>
      </c>
      <c r="D1460" t="str">
        <f t="shared" si="169"/>
        <v/>
      </c>
      <c r="H1460">
        <f t="shared" si="165"/>
        <v>2</v>
      </c>
      <c r="R1460">
        <v>70</v>
      </c>
      <c r="T1460" t="str">
        <f t="shared" si="163"/>
        <v>o</v>
      </c>
      <c r="AM1460" t="str">
        <f t="shared" si="166"/>
        <v>Faceoff</v>
      </c>
      <c r="AN1460" t="str">
        <f t="shared" si="167"/>
        <v>Faceoff_AfterStoppage</v>
      </c>
      <c r="AP1460" t="str">
        <f t="shared" si="168"/>
        <v>Defensive</v>
      </c>
      <c r="BB1460" s="23"/>
      <c r="BD1460" s="21"/>
      <c r="BE1460" s="21"/>
      <c r="BF1460" s="21"/>
      <c r="BG1460" s="21"/>
      <c r="BH1460" s="21"/>
      <c r="BI1460" s="21"/>
    </row>
    <row r="1461" spans="1:61" x14ac:dyDescent="0.2">
      <c r="A1461">
        <v>772</v>
      </c>
      <c r="B1461" t="s">
        <v>887</v>
      </c>
      <c r="C1461" t="str">
        <f t="shared" si="164"/>
        <v/>
      </c>
      <c r="D1461" t="str">
        <f t="shared" si="169"/>
        <v/>
      </c>
      <c r="H1461">
        <f t="shared" si="165"/>
        <v>2</v>
      </c>
      <c r="I1461" s="5" t="s">
        <v>742</v>
      </c>
      <c r="J1461" s="5" t="s">
        <v>672</v>
      </c>
      <c r="Q1461" t="s">
        <v>619</v>
      </c>
      <c r="R1461">
        <v>68</v>
      </c>
      <c r="S1461">
        <v>1</v>
      </c>
      <c r="T1461" t="str">
        <f t="shared" si="163"/>
        <v>e</v>
      </c>
      <c r="U1461" t="s">
        <v>8</v>
      </c>
      <c r="V1461" t="s">
        <v>189</v>
      </c>
      <c r="W1461" t="s">
        <v>69</v>
      </c>
      <c r="X1461" t="s">
        <v>706</v>
      </c>
      <c r="Y1461" t="s">
        <v>814</v>
      </c>
      <c r="AA1461" t="s">
        <v>706</v>
      </c>
      <c r="AF1461" t="s">
        <v>623</v>
      </c>
      <c r="AM1461" t="str">
        <f t="shared" si="166"/>
        <v>Pass</v>
      </c>
      <c r="AN1461" t="str">
        <f t="shared" si="167"/>
        <v>Pass_Completed</v>
      </c>
      <c r="AP1461" t="str">
        <f t="shared" si="168"/>
        <v>Offensive</v>
      </c>
      <c r="BB1461" s="23"/>
      <c r="BD1461" s="21"/>
      <c r="BE1461" s="21"/>
      <c r="BF1461" s="21"/>
      <c r="BG1461" s="21"/>
      <c r="BH1461" s="21"/>
      <c r="BI1461" s="21"/>
    </row>
    <row r="1462" spans="1:61" x14ac:dyDescent="0.2">
      <c r="A1462">
        <v>772</v>
      </c>
      <c r="B1462" t="s">
        <v>887</v>
      </c>
      <c r="C1462" t="str">
        <f t="shared" si="164"/>
        <v/>
      </c>
      <c r="D1462" t="str">
        <f t="shared" si="169"/>
        <v/>
      </c>
      <c r="H1462">
        <f t="shared" si="165"/>
        <v>2</v>
      </c>
      <c r="R1462">
        <v>18</v>
      </c>
      <c r="S1462">
        <v>1</v>
      </c>
      <c r="T1462" t="str">
        <f t="shared" si="163"/>
        <v>e</v>
      </c>
      <c r="AM1462" t="str">
        <f t="shared" si="166"/>
        <v>Pass</v>
      </c>
      <c r="AN1462" t="str">
        <f t="shared" si="167"/>
        <v>Pass_Completed</v>
      </c>
      <c r="AP1462" t="str">
        <f t="shared" si="168"/>
        <v>Offensive</v>
      </c>
      <c r="BB1462" s="23"/>
      <c r="BD1462" s="21"/>
      <c r="BE1462" s="21"/>
      <c r="BF1462" s="21"/>
      <c r="BG1462" s="21"/>
      <c r="BH1462" s="21"/>
      <c r="BI1462" s="21"/>
    </row>
    <row r="1463" spans="1:61" x14ac:dyDescent="0.2">
      <c r="A1463">
        <v>773</v>
      </c>
      <c r="B1463" t="s">
        <v>887</v>
      </c>
      <c r="C1463" t="str">
        <f t="shared" si="164"/>
        <v/>
      </c>
      <c r="D1463" t="str">
        <f t="shared" si="169"/>
        <v/>
      </c>
      <c r="H1463">
        <f t="shared" si="165"/>
        <v>2</v>
      </c>
      <c r="I1463" s="5" t="s">
        <v>742</v>
      </c>
      <c r="J1463" s="5" t="s">
        <v>672</v>
      </c>
      <c r="Q1463" t="s">
        <v>619</v>
      </c>
      <c r="R1463">
        <v>18</v>
      </c>
      <c r="S1463">
        <v>1</v>
      </c>
      <c r="T1463" t="str">
        <f t="shared" si="163"/>
        <v>e</v>
      </c>
      <c r="U1463" t="s">
        <v>8</v>
      </c>
      <c r="V1463" t="s">
        <v>199</v>
      </c>
      <c r="W1463" t="s">
        <v>68</v>
      </c>
      <c r="X1463" t="s">
        <v>705</v>
      </c>
      <c r="Y1463" t="s">
        <v>814</v>
      </c>
      <c r="Z1463" t="s">
        <v>754</v>
      </c>
      <c r="AA1463" t="s">
        <v>705</v>
      </c>
      <c r="AF1463" t="s">
        <v>623</v>
      </c>
      <c r="AM1463" t="str">
        <f t="shared" si="166"/>
        <v>Pass</v>
      </c>
      <c r="AN1463" t="str">
        <f t="shared" si="167"/>
        <v>Pass_Missed</v>
      </c>
      <c r="AP1463" t="str">
        <f t="shared" si="168"/>
        <v>Offensive</v>
      </c>
      <c r="BB1463" s="23"/>
      <c r="BD1463" s="21"/>
      <c r="BE1463" s="21"/>
      <c r="BF1463" s="21"/>
      <c r="BG1463" s="21"/>
      <c r="BH1463" s="21"/>
      <c r="BI1463" s="21"/>
    </row>
    <row r="1464" spans="1:61" x14ac:dyDescent="0.2">
      <c r="A1464">
        <v>773</v>
      </c>
      <c r="B1464" t="s">
        <v>887</v>
      </c>
      <c r="C1464" t="str">
        <f t="shared" si="164"/>
        <v/>
      </c>
      <c r="D1464" t="str">
        <f t="shared" si="169"/>
        <v/>
      </c>
      <c r="H1464">
        <f t="shared" si="165"/>
        <v>2</v>
      </c>
      <c r="R1464">
        <v>13</v>
      </c>
      <c r="S1464">
        <v>1</v>
      </c>
      <c r="T1464" t="str">
        <f t="shared" si="163"/>
        <v>e</v>
      </c>
      <c r="AJ1464">
        <v>1</v>
      </c>
      <c r="AM1464" t="str">
        <f t="shared" si="166"/>
        <v>Pass</v>
      </c>
      <c r="AN1464" t="str">
        <f t="shared" si="167"/>
        <v>Pass_Missed</v>
      </c>
      <c r="AP1464" t="str">
        <f t="shared" si="168"/>
        <v>Offensive</v>
      </c>
      <c r="BB1464" s="23"/>
      <c r="BD1464" s="21"/>
      <c r="BE1464" s="21"/>
      <c r="BF1464" s="21"/>
      <c r="BG1464" s="21"/>
      <c r="BH1464" s="21"/>
      <c r="BI1464" s="21"/>
    </row>
    <row r="1465" spans="1:61" x14ac:dyDescent="0.2">
      <c r="A1465">
        <v>773</v>
      </c>
      <c r="B1465" t="s">
        <v>887</v>
      </c>
      <c r="C1465" t="str">
        <f t="shared" si="164"/>
        <v/>
      </c>
      <c r="D1465" t="str">
        <f t="shared" si="169"/>
        <v/>
      </c>
      <c r="H1465">
        <f t="shared" si="165"/>
        <v>2</v>
      </c>
      <c r="R1465">
        <v>70</v>
      </c>
      <c r="T1465" t="str">
        <f t="shared" si="163"/>
        <v>o</v>
      </c>
      <c r="AJ1465">
        <v>1</v>
      </c>
      <c r="AM1465" t="str">
        <f t="shared" si="166"/>
        <v>Pass</v>
      </c>
      <c r="AN1465" t="str">
        <f t="shared" si="167"/>
        <v>Pass_Missed</v>
      </c>
      <c r="AP1465" t="str">
        <f t="shared" si="168"/>
        <v>Defensive</v>
      </c>
      <c r="BB1465" s="23"/>
      <c r="BD1465" s="21"/>
      <c r="BE1465" s="21"/>
      <c r="BF1465" s="21"/>
      <c r="BG1465" s="21"/>
      <c r="BH1465" s="21"/>
      <c r="BI1465" s="21"/>
    </row>
    <row r="1466" spans="1:61" x14ac:dyDescent="0.2">
      <c r="A1466">
        <v>774</v>
      </c>
      <c r="B1466" t="s">
        <v>887</v>
      </c>
      <c r="C1466" t="str">
        <f t="shared" si="164"/>
        <v/>
      </c>
      <c r="D1466" t="str">
        <f t="shared" si="169"/>
        <v/>
      </c>
      <c r="H1466">
        <f t="shared" si="165"/>
        <v>2</v>
      </c>
      <c r="I1466" s="5" t="s">
        <v>742</v>
      </c>
      <c r="J1466" s="5" t="s">
        <v>711</v>
      </c>
      <c r="K1466" s="5" t="s">
        <v>742</v>
      </c>
      <c r="L1466" s="7" t="s">
        <v>790</v>
      </c>
      <c r="Q1466" t="s">
        <v>619</v>
      </c>
      <c r="R1466">
        <v>44</v>
      </c>
      <c r="S1466">
        <v>1</v>
      </c>
      <c r="T1466" t="str">
        <f t="shared" si="163"/>
        <v>e</v>
      </c>
      <c r="U1466" t="s">
        <v>15</v>
      </c>
      <c r="V1466" t="s">
        <v>698</v>
      </c>
      <c r="X1466" t="s">
        <v>705</v>
      </c>
      <c r="Y1466" t="s">
        <v>756</v>
      </c>
      <c r="AA1466" t="s">
        <v>705</v>
      </c>
      <c r="AF1466" t="s">
        <v>623</v>
      </c>
      <c r="AM1466" t="str">
        <f t="shared" si="166"/>
        <v>Possession</v>
      </c>
      <c r="AN1466" t="str">
        <f t="shared" si="167"/>
        <v>PuckRecovery</v>
      </c>
      <c r="AP1466" t="str">
        <f t="shared" si="168"/>
        <v>Offensive</v>
      </c>
      <c r="BB1466" s="23"/>
      <c r="BD1466" s="21"/>
      <c r="BE1466" s="21"/>
      <c r="BF1466" s="21"/>
      <c r="BG1466" s="21"/>
      <c r="BH1466" s="21"/>
      <c r="BI1466" s="21"/>
    </row>
    <row r="1467" spans="1:61" x14ac:dyDescent="0.2">
      <c r="A1467">
        <v>775</v>
      </c>
      <c r="B1467">
        <v>132</v>
      </c>
      <c r="C1467">
        <f t="shared" si="164"/>
        <v>9132</v>
      </c>
      <c r="D1467">
        <f t="shared" si="169"/>
        <v>9132</v>
      </c>
      <c r="H1467">
        <f t="shared" si="165"/>
        <v>2</v>
      </c>
      <c r="I1467" s="5" t="s">
        <v>742</v>
      </c>
      <c r="J1467" s="5" t="s">
        <v>711</v>
      </c>
      <c r="Q1467" t="s">
        <v>619</v>
      </c>
      <c r="R1467">
        <v>44</v>
      </c>
      <c r="S1467">
        <v>1</v>
      </c>
      <c r="T1467" t="str">
        <f t="shared" si="163"/>
        <v>e</v>
      </c>
      <c r="U1467" t="s">
        <v>8</v>
      </c>
      <c r="V1467" t="s">
        <v>216</v>
      </c>
      <c r="W1467" t="s">
        <v>67</v>
      </c>
      <c r="X1467" t="s">
        <v>705</v>
      </c>
      <c r="Y1467" t="s">
        <v>744</v>
      </c>
      <c r="AA1467" t="s">
        <v>705</v>
      </c>
      <c r="AF1467" t="s">
        <v>623</v>
      </c>
      <c r="AJ1467">
        <v>1</v>
      </c>
      <c r="AM1467" t="str">
        <f t="shared" si="166"/>
        <v>Pass</v>
      </c>
      <c r="AN1467" t="str">
        <f t="shared" si="167"/>
        <v>Pass_Intercepted</v>
      </c>
      <c r="AP1467" t="str">
        <f t="shared" si="168"/>
        <v>Offensive</v>
      </c>
      <c r="BB1467" s="23"/>
      <c r="BD1467" s="21"/>
      <c r="BE1467" s="21"/>
      <c r="BF1467" s="21"/>
      <c r="BG1467" s="21"/>
      <c r="BH1467" s="21"/>
      <c r="BI1467" s="21"/>
    </row>
    <row r="1468" spans="1:61" x14ac:dyDescent="0.2">
      <c r="A1468">
        <v>775</v>
      </c>
      <c r="B1468">
        <v>132</v>
      </c>
      <c r="C1468">
        <f t="shared" si="164"/>
        <v>9132</v>
      </c>
      <c r="D1468">
        <f t="shared" si="169"/>
        <v>9132</v>
      </c>
      <c r="H1468">
        <f t="shared" si="165"/>
        <v>2</v>
      </c>
      <c r="R1468">
        <v>91</v>
      </c>
      <c r="T1468" t="str">
        <f t="shared" si="163"/>
        <v>o</v>
      </c>
      <c r="Y1468" t="s">
        <v>723</v>
      </c>
      <c r="AA1468" t="s">
        <v>706</v>
      </c>
      <c r="AM1468" t="str">
        <f t="shared" si="166"/>
        <v>Pass</v>
      </c>
      <c r="AN1468" t="str">
        <f t="shared" si="167"/>
        <v>Pass_Intercepted</v>
      </c>
      <c r="AP1468" t="str">
        <f t="shared" si="168"/>
        <v>Defensive</v>
      </c>
      <c r="BB1468" s="23"/>
      <c r="BD1468" s="21"/>
      <c r="BE1468" s="21"/>
      <c r="BF1468" s="21"/>
      <c r="BG1468" s="21"/>
      <c r="BH1468" s="21"/>
      <c r="BI1468" s="21"/>
    </row>
    <row r="1469" spans="1:61" x14ac:dyDescent="0.2">
      <c r="A1469">
        <v>775</v>
      </c>
      <c r="B1469">
        <v>132</v>
      </c>
      <c r="C1469">
        <f t="shared" si="164"/>
        <v>9132</v>
      </c>
      <c r="D1469">
        <f t="shared" si="169"/>
        <v>9132</v>
      </c>
      <c r="H1469">
        <f t="shared" si="165"/>
        <v>2</v>
      </c>
      <c r="R1469">
        <v>70</v>
      </c>
      <c r="T1469" t="str">
        <f t="shared" si="163"/>
        <v>o</v>
      </c>
      <c r="Y1469" t="s">
        <v>715</v>
      </c>
      <c r="AJ1469">
        <v>1</v>
      </c>
      <c r="AM1469" t="str">
        <f t="shared" si="166"/>
        <v>Pass</v>
      </c>
      <c r="AN1469" t="str">
        <f t="shared" si="167"/>
        <v>Pass_Intercepted</v>
      </c>
      <c r="AP1469" t="str">
        <f t="shared" si="168"/>
        <v>Defensive</v>
      </c>
      <c r="BB1469" s="23"/>
      <c r="BD1469" s="21"/>
      <c r="BE1469" s="21"/>
      <c r="BF1469" s="21"/>
      <c r="BG1469" s="21"/>
      <c r="BH1469" s="21"/>
      <c r="BI1469" s="21"/>
    </row>
    <row r="1470" spans="1:61" x14ac:dyDescent="0.2">
      <c r="A1470">
        <v>776</v>
      </c>
      <c r="B1470">
        <v>132</v>
      </c>
      <c r="C1470">
        <f t="shared" si="164"/>
        <v>9132</v>
      </c>
      <c r="D1470">
        <f t="shared" si="169"/>
        <v>9132</v>
      </c>
      <c r="H1470">
        <f t="shared" si="165"/>
        <v>2</v>
      </c>
      <c r="I1470" s="5" t="s">
        <v>742</v>
      </c>
      <c r="J1470" s="5" t="s">
        <v>711</v>
      </c>
      <c r="Q1470" t="s">
        <v>619</v>
      </c>
      <c r="R1470">
        <v>44</v>
      </c>
      <c r="S1470">
        <v>1</v>
      </c>
      <c r="T1470" t="str">
        <f t="shared" ref="T1470:T1475" si="171">IF(S1470="x","",IF(S1470=1,"e","o"))</f>
        <v>e</v>
      </c>
      <c r="U1470" t="s">
        <v>257</v>
      </c>
      <c r="V1470" t="s">
        <v>201</v>
      </c>
      <c r="W1470" t="s">
        <v>409</v>
      </c>
      <c r="X1470" t="s">
        <v>705</v>
      </c>
      <c r="AF1470" t="s">
        <v>623</v>
      </c>
      <c r="AJ1470">
        <v>1</v>
      </c>
      <c r="AM1470" t="str">
        <f t="shared" si="166"/>
        <v>Zone_Entry_Exit</v>
      </c>
      <c r="AN1470" t="str">
        <f t="shared" si="167"/>
        <v>Zone_Exit</v>
      </c>
      <c r="AP1470" t="str">
        <f t="shared" si="168"/>
        <v>Offensive</v>
      </c>
      <c r="BB1470" s="23"/>
      <c r="BD1470" s="21"/>
      <c r="BE1470" s="21"/>
      <c r="BF1470" s="21"/>
      <c r="BG1470" s="21"/>
      <c r="BH1470" s="21"/>
      <c r="BI1470" s="21"/>
    </row>
    <row r="1471" spans="1:61" x14ac:dyDescent="0.2">
      <c r="A1471">
        <v>776</v>
      </c>
      <c r="B1471">
        <v>132</v>
      </c>
      <c r="C1471">
        <f t="shared" si="164"/>
        <v>9132</v>
      </c>
      <c r="D1471">
        <f t="shared" si="169"/>
        <v>9132</v>
      </c>
      <c r="H1471">
        <f t="shared" si="165"/>
        <v>2</v>
      </c>
      <c r="R1471">
        <v>91</v>
      </c>
      <c r="T1471" t="str">
        <f t="shared" si="171"/>
        <v>o</v>
      </c>
      <c r="Y1471" t="s">
        <v>723</v>
      </c>
      <c r="AA1471" t="s">
        <v>706</v>
      </c>
      <c r="AM1471" t="str">
        <f t="shared" si="166"/>
        <v>Zone_Entry_Exit</v>
      </c>
      <c r="AN1471" t="str">
        <f t="shared" si="167"/>
        <v>Zone_Exit</v>
      </c>
      <c r="AP1471" t="str">
        <f t="shared" si="168"/>
        <v>Defensive</v>
      </c>
      <c r="BB1471" s="23"/>
      <c r="BD1471" s="21"/>
      <c r="BE1471" s="21"/>
      <c r="BF1471" s="21"/>
      <c r="BG1471" s="21"/>
      <c r="BH1471" s="21"/>
      <c r="BI1471" s="21"/>
    </row>
    <row r="1472" spans="1:61" x14ac:dyDescent="0.2">
      <c r="A1472">
        <v>776</v>
      </c>
      <c r="B1472">
        <v>132</v>
      </c>
      <c r="C1472">
        <f t="shared" si="164"/>
        <v>9132</v>
      </c>
      <c r="D1472">
        <f t="shared" si="169"/>
        <v>9132</v>
      </c>
      <c r="H1472">
        <f t="shared" si="165"/>
        <v>2</v>
      </c>
      <c r="R1472">
        <v>70</v>
      </c>
      <c r="T1472" t="str">
        <f t="shared" si="171"/>
        <v>o</v>
      </c>
      <c r="Y1472" t="s">
        <v>715</v>
      </c>
      <c r="AJ1472">
        <v>1</v>
      </c>
      <c r="AM1472" t="str">
        <f t="shared" si="166"/>
        <v>Zone_Entry_Exit</v>
      </c>
      <c r="AN1472" t="str">
        <f t="shared" si="167"/>
        <v>Zone_Exit</v>
      </c>
      <c r="AP1472" t="str">
        <f t="shared" si="168"/>
        <v>Defensive</v>
      </c>
      <c r="BB1472" s="23"/>
      <c r="BD1472" s="21"/>
      <c r="BE1472" s="21"/>
      <c r="BF1472" s="21"/>
      <c r="BG1472" s="21"/>
      <c r="BH1472" s="21"/>
      <c r="BI1472" s="21"/>
    </row>
    <row r="1473" spans="1:61" x14ac:dyDescent="0.2">
      <c r="A1473">
        <v>777</v>
      </c>
      <c r="B1473">
        <v>132</v>
      </c>
      <c r="C1473">
        <f t="shared" si="164"/>
        <v>9132</v>
      </c>
      <c r="D1473">
        <f t="shared" si="169"/>
        <v>9132</v>
      </c>
      <c r="H1473">
        <f t="shared" si="165"/>
        <v>2</v>
      </c>
      <c r="I1473" s="5" t="s">
        <v>742</v>
      </c>
      <c r="J1473" s="5" t="s">
        <v>711</v>
      </c>
      <c r="Q1473" t="s">
        <v>619</v>
      </c>
      <c r="R1473">
        <v>44</v>
      </c>
      <c r="S1473">
        <v>1</v>
      </c>
      <c r="T1473" t="str">
        <f t="shared" si="171"/>
        <v>e</v>
      </c>
      <c r="U1473" t="s">
        <v>10</v>
      </c>
      <c r="V1473" t="s">
        <v>190</v>
      </c>
      <c r="W1473" t="s">
        <v>75</v>
      </c>
      <c r="AF1473" t="s">
        <v>623</v>
      </c>
      <c r="AJ1473">
        <v>1</v>
      </c>
      <c r="AM1473" t="str">
        <f t="shared" si="166"/>
        <v>Turnover</v>
      </c>
      <c r="AN1473" t="str">
        <f t="shared" si="167"/>
        <v>Turnover_Giveaway</v>
      </c>
      <c r="AP1473" t="str">
        <f t="shared" si="168"/>
        <v>Offensive</v>
      </c>
      <c r="BB1473" s="23"/>
      <c r="BD1473" s="21"/>
      <c r="BE1473" s="21"/>
      <c r="BF1473" s="21"/>
      <c r="BG1473" s="21"/>
      <c r="BH1473" s="21"/>
      <c r="BI1473" s="21"/>
    </row>
    <row r="1474" spans="1:61" x14ac:dyDescent="0.2">
      <c r="A1474">
        <v>777</v>
      </c>
      <c r="B1474">
        <v>132</v>
      </c>
      <c r="C1474">
        <f t="shared" si="164"/>
        <v>9132</v>
      </c>
      <c r="D1474">
        <f t="shared" si="169"/>
        <v>9132</v>
      </c>
      <c r="H1474">
        <f t="shared" si="165"/>
        <v>2</v>
      </c>
      <c r="R1474">
        <v>91</v>
      </c>
      <c r="T1474" t="str">
        <f t="shared" si="171"/>
        <v>o</v>
      </c>
      <c r="Y1474" t="s">
        <v>723</v>
      </c>
      <c r="AA1474" t="s">
        <v>706</v>
      </c>
      <c r="AM1474" t="str">
        <f t="shared" si="166"/>
        <v>Turnover</v>
      </c>
      <c r="AN1474" t="str">
        <f t="shared" si="167"/>
        <v>Turnover_Giveaway</v>
      </c>
      <c r="AP1474" t="str">
        <f t="shared" si="168"/>
        <v>Defensive</v>
      </c>
      <c r="BB1474" s="23"/>
      <c r="BD1474" s="21"/>
      <c r="BE1474" s="21"/>
      <c r="BF1474" s="21"/>
      <c r="BG1474" s="21"/>
      <c r="BH1474" s="21"/>
      <c r="BI1474" s="21"/>
    </row>
    <row r="1475" spans="1:61" x14ac:dyDescent="0.2">
      <c r="A1475">
        <v>777</v>
      </c>
      <c r="B1475">
        <v>132</v>
      </c>
      <c r="C1475">
        <f t="shared" si="164"/>
        <v>9132</v>
      </c>
      <c r="D1475">
        <f t="shared" si="169"/>
        <v>9132</v>
      </c>
      <c r="H1475">
        <f t="shared" si="165"/>
        <v>2</v>
      </c>
      <c r="R1475">
        <v>70</v>
      </c>
      <c r="T1475" t="str">
        <f t="shared" si="171"/>
        <v>o</v>
      </c>
      <c r="Y1475" t="s">
        <v>715</v>
      </c>
      <c r="AJ1475">
        <v>1</v>
      </c>
      <c r="AM1475" t="str">
        <f t="shared" si="166"/>
        <v>Turnover</v>
      </c>
      <c r="AN1475" t="str">
        <f t="shared" si="167"/>
        <v>Turnover_Giveaway</v>
      </c>
      <c r="AP1475" t="str">
        <f t="shared" si="168"/>
        <v>Defensive</v>
      </c>
      <c r="BB1475" s="23"/>
      <c r="BD1475" s="21"/>
      <c r="BE1475" s="21"/>
      <c r="BF1475" s="21"/>
      <c r="BG1475" s="21"/>
      <c r="BH1475" s="21"/>
      <c r="BI1475" s="21"/>
    </row>
    <row r="1476" spans="1:61" x14ac:dyDescent="0.2">
      <c r="A1476">
        <v>778</v>
      </c>
      <c r="B1476" t="s">
        <v>887</v>
      </c>
      <c r="C1476" t="str">
        <f t="shared" ref="C1476:C1539" si="172">IF(B1476&lt;&gt;"",9000+B1476,"")</f>
        <v/>
      </c>
      <c r="D1476" t="str">
        <f t="shared" si="169"/>
        <v/>
      </c>
      <c r="H1476">
        <f t="shared" si="165"/>
        <v>2</v>
      </c>
      <c r="I1476" s="5" t="s">
        <v>742</v>
      </c>
      <c r="J1476" s="5" t="s">
        <v>811</v>
      </c>
      <c r="Q1476" t="s">
        <v>620</v>
      </c>
      <c r="R1476">
        <v>91</v>
      </c>
      <c r="S1476">
        <v>1</v>
      </c>
      <c r="T1476" t="str">
        <f t="shared" ref="T1476:T1538" si="173">IF(S1476="x","",IF(S1476=1,"e","o"))</f>
        <v>e</v>
      </c>
      <c r="U1476" t="s">
        <v>15</v>
      </c>
      <c r="V1476" t="s">
        <v>697</v>
      </c>
      <c r="X1476" t="s">
        <v>705</v>
      </c>
      <c r="Y1476" t="s">
        <v>712</v>
      </c>
      <c r="AA1476" t="s">
        <v>705</v>
      </c>
      <c r="AF1476" t="s">
        <v>635</v>
      </c>
      <c r="AM1476" t="str">
        <f t="shared" si="166"/>
        <v>Possession</v>
      </c>
      <c r="AN1476" t="str">
        <f t="shared" si="167"/>
        <v>PuckRetrieval</v>
      </c>
      <c r="AP1476" t="str">
        <f t="shared" si="168"/>
        <v>Offensive</v>
      </c>
      <c r="BB1476" s="23"/>
      <c r="BD1476" s="21"/>
      <c r="BE1476" s="21"/>
      <c r="BF1476" s="21"/>
      <c r="BG1476" s="21"/>
      <c r="BH1476" s="21"/>
      <c r="BI1476" s="21"/>
    </row>
    <row r="1477" spans="1:61" x14ac:dyDescent="0.2">
      <c r="A1477">
        <v>779</v>
      </c>
      <c r="B1477">
        <v>133</v>
      </c>
      <c r="C1477">
        <f t="shared" si="172"/>
        <v>9133</v>
      </c>
      <c r="D1477">
        <f t="shared" si="169"/>
        <v>9133</v>
      </c>
      <c r="H1477">
        <f t="shared" ref="H1477:H1540" si="174">IF(U1477="Intermission",H1476+1,H1476)</f>
        <v>2</v>
      </c>
      <c r="I1477" s="5" t="s">
        <v>742</v>
      </c>
      <c r="J1477" s="5" t="s">
        <v>811</v>
      </c>
      <c r="Q1477" t="s">
        <v>620</v>
      </c>
      <c r="R1477">
        <v>91</v>
      </c>
      <c r="S1477">
        <v>1</v>
      </c>
      <c r="T1477" t="str">
        <f t="shared" si="173"/>
        <v>e</v>
      </c>
      <c r="U1477" t="s">
        <v>8</v>
      </c>
      <c r="V1477" t="s">
        <v>216</v>
      </c>
      <c r="W1477" t="s">
        <v>70</v>
      </c>
      <c r="X1477" t="s">
        <v>705</v>
      </c>
      <c r="Y1477" t="s">
        <v>814</v>
      </c>
      <c r="AA1477" t="s">
        <v>705</v>
      </c>
      <c r="AF1477" t="s">
        <v>635</v>
      </c>
      <c r="AM1477" t="str">
        <f t="shared" ref="AM1477:AM1540" si="175">IF(U1477&lt;&gt;"",U1477,IF($A1477=$A1476,AM1476,""))</f>
        <v>Pass</v>
      </c>
      <c r="AN1477" t="str">
        <f t="shared" ref="AN1477:AN1540" si="176">IF(V1477&lt;&gt;"",V1477,IF($A1477=$A1476,AN1476,""))</f>
        <v>Pass_Intercepted</v>
      </c>
      <c r="AP1477" t="str">
        <f t="shared" si="168"/>
        <v>Offensive</v>
      </c>
      <c r="BB1477" s="23"/>
      <c r="BD1477" s="21"/>
      <c r="BE1477" s="21"/>
      <c r="BF1477" s="21"/>
      <c r="BG1477" s="21"/>
      <c r="BH1477" s="21"/>
      <c r="BI1477" s="21"/>
    </row>
    <row r="1478" spans="1:61" x14ac:dyDescent="0.2">
      <c r="A1478">
        <v>779</v>
      </c>
      <c r="B1478">
        <v>133</v>
      </c>
      <c r="C1478">
        <f t="shared" si="172"/>
        <v>9133</v>
      </c>
      <c r="D1478">
        <f t="shared" si="169"/>
        <v>9133</v>
      </c>
      <c r="H1478">
        <f t="shared" si="174"/>
        <v>2</v>
      </c>
      <c r="R1478">
        <v>13</v>
      </c>
      <c r="T1478" t="str">
        <f t="shared" si="173"/>
        <v>o</v>
      </c>
      <c r="Y1478" t="s">
        <v>722</v>
      </c>
      <c r="AA1478" t="s">
        <v>706</v>
      </c>
      <c r="AM1478" t="str">
        <f t="shared" si="175"/>
        <v>Pass</v>
      </c>
      <c r="AN1478" t="str">
        <f t="shared" si="176"/>
        <v>Pass_Intercepted</v>
      </c>
      <c r="AP1478" t="str">
        <f t="shared" ref="AP1478:AP1541" si="177">IF(AND(T1478="e",OR(AM1478="Save",AN1478="Turnover_Takeaway",AN1478="Play_Defensive")),"Defensive",IF(AND(T1478="o",OR(AM1478="Save",AN1478="Turnover_Takeaway",AN1478="Play_Defensive")),"Offensive",IF(OR(AM1478="Deadice",AM1478="Stoppage",AM1478="Intermission"),"",IF(T1478="e","Offensive",IF(T1478="o","Defensive","")))))</f>
        <v>Defensive</v>
      </c>
      <c r="BB1478" s="23"/>
      <c r="BD1478" s="21"/>
      <c r="BE1478" s="21"/>
      <c r="BF1478" s="21"/>
      <c r="BG1478" s="21"/>
      <c r="BH1478" s="21"/>
      <c r="BI1478" s="21"/>
    </row>
    <row r="1479" spans="1:61" x14ac:dyDescent="0.2">
      <c r="A1479">
        <v>780</v>
      </c>
      <c r="B1479">
        <v>133</v>
      </c>
      <c r="C1479">
        <f t="shared" si="172"/>
        <v>9133</v>
      </c>
      <c r="D1479">
        <f t="shared" si="169"/>
        <v>9133</v>
      </c>
      <c r="H1479">
        <f t="shared" si="174"/>
        <v>2</v>
      </c>
      <c r="I1479" s="5" t="s">
        <v>742</v>
      </c>
      <c r="J1479" s="5" t="s">
        <v>811</v>
      </c>
      <c r="Q1479" t="s">
        <v>620</v>
      </c>
      <c r="R1479">
        <v>91</v>
      </c>
      <c r="S1479">
        <v>1</v>
      </c>
      <c r="T1479" t="str">
        <f t="shared" si="173"/>
        <v>e</v>
      </c>
      <c r="U1479" t="s">
        <v>10</v>
      </c>
      <c r="V1479" t="s">
        <v>190</v>
      </c>
      <c r="W1479" t="s">
        <v>75</v>
      </c>
      <c r="Y1479" t="s">
        <v>814</v>
      </c>
      <c r="AA1479" t="s">
        <v>705</v>
      </c>
      <c r="AF1479" t="s">
        <v>635</v>
      </c>
      <c r="AM1479" t="str">
        <f t="shared" si="175"/>
        <v>Turnover</v>
      </c>
      <c r="AN1479" t="str">
        <f t="shared" si="176"/>
        <v>Turnover_Giveaway</v>
      </c>
      <c r="AP1479" t="str">
        <f t="shared" si="177"/>
        <v>Offensive</v>
      </c>
      <c r="BB1479" s="23"/>
      <c r="BD1479" s="21"/>
      <c r="BE1479" s="21"/>
      <c r="BF1479" s="21"/>
      <c r="BG1479" s="21"/>
      <c r="BH1479" s="21"/>
      <c r="BI1479" s="21"/>
    </row>
    <row r="1480" spans="1:61" x14ac:dyDescent="0.2">
      <c r="A1480">
        <v>780</v>
      </c>
      <c r="B1480">
        <v>133</v>
      </c>
      <c r="C1480">
        <f t="shared" si="172"/>
        <v>9133</v>
      </c>
      <c r="D1480">
        <f t="shared" si="169"/>
        <v>9133</v>
      </c>
      <c r="H1480">
        <f t="shared" si="174"/>
        <v>2</v>
      </c>
      <c r="R1480">
        <v>13</v>
      </c>
      <c r="T1480" t="str">
        <f t="shared" si="173"/>
        <v>o</v>
      </c>
      <c r="Y1480" t="s">
        <v>722</v>
      </c>
      <c r="AA1480" t="s">
        <v>706</v>
      </c>
      <c r="AM1480" t="str">
        <f t="shared" si="175"/>
        <v>Turnover</v>
      </c>
      <c r="AN1480" t="str">
        <f t="shared" si="176"/>
        <v>Turnover_Giveaway</v>
      </c>
      <c r="AP1480" t="str">
        <f t="shared" si="177"/>
        <v>Defensive</v>
      </c>
      <c r="BB1480" s="23"/>
      <c r="BD1480" s="21"/>
      <c r="BE1480" s="21"/>
      <c r="BF1480" s="21"/>
      <c r="BG1480" s="21"/>
      <c r="BH1480" s="21"/>
      <c r="BI1480" s="21"/>
    </row>
    <row r="1481" spans="1:61" x14ac:dyDescent="0.2">
      <c r="A1481">
        <v>781</v>
      </c>
      <c r="B1481" t="s">
        <v>887</v>
      </c>
      <c r="C1481" t="str">
        <f t="shared" si="172"/>
        <v/>
      </c>
      <c r="D1481" t="str">
        <f t="shared" ref="D1481:D1544" si="178">IF(C1481&lt;&gt;"",C1481,B1481)</f>
        <v/>
      </c>
      <c r="H1481">
        <f t="shared" si="174"/>
        <v>2</v>
      </c>
      <c r="I1481" s="5" t="s">
        <v>742</v>
      </c>
      <c r="J1481" s="5" t="s">
        <v>776</v>
      </c>
      <c r="K1481" s="5" t="s">
        <v>742</v>
      </c>
      <c r="L1481" s="7" t="s">
        <v>778</v>
      </c>
      <c r="Q1481" t="s">
        <v>619</v>
      </c>
      <c r="R1481">
        <v>13</v>
      </c>
      <c r="S1481">
        <v>1</v>
      </c>
      <c r="T1481" t="str">
        <f t="shared" si="173"/>
        <v>e</v>
      </c>
      <c r="U1481" t="s">
        <v>15</v>
      </c>
      <c r="AF1481" t="s">
        <v>635</v>
      </c>
      <c r="AM1481" t="str">
        <f t="shared" si="175"/>
        <v>Possession</v>
      </c>
      <c r="AN1481" t="str">
        <f t="shared" si="176"/>
        <v/>
      </c>
      <c r="AP1481" t="str">
        <f t="shared" si="177"/>
        <v>Offensive</v>
      </c>
      <c r="BB1481" s="23"/>
      <c r="BD1481" s="21"/>
      <c r="BE1481" s="21"/>
      <c r="BF1481" s="21"/>
      <c r="BG1481" s="21"/>
      <c r="BH1481" s="21"/>
      <c r="BI1481" s="21"/>
    </row>
    <row r="1482" spans="1:61" x14ac:dyDescent="0.2">
      <c r="A1482">
        <v>782</v>
      </c>
      <c r="B1482" t="s">
        <v>887</v>
      </c>
      <c r="C1482" t="str">
        <f t="shared" si="172"/>
        <v/>
      </c>
      <c r="D1482" t="str">
        <f t="shared" si="178"/>
        <v/>
      </c>
      <c r="H1482">
        <f t="shared" si="174"/>
        <v>2</v>
      </c>
      <c r="I1482" s="5" t="s">
        <v>742</v>
      </c>
      <c r="J1482" s="5" t="s">
        <v>778</v>
      </c>
      <c r="Q1482" t="s">
        <v>619</v>
      </c>
      <c r="R1482">
        <v>13</v>
      </c>
      <c r="S1482">
        <v>1</v>
      </c>
      <c r="T1482" t="str">
        <f t="shared" si="173"/>
        <v>e</v>
      </c>
      <c r="U1482" t="s">
        <v>8</v>
      </c>
      <c r="V1482" t="s">
        <v>189</v>
      </c>
      <c r="W1482" t="s">
        <v>70</v>
      </c>
      <c r="X1482" t="s">
        <v>706</v>
      </c>
      <c r="AF1482" t="s">
        <v>635</v>
      </c>
      <c r="AM1482" t="str">
        <f t="shared" si="175"/>
        <v>Pass</v>
      </c>
      <c r="AN1482" t="str">
        <f t="shared" si="176"/>
        <v>Pass_Completed</v>
      </c>
      <c r="AP1482" t="str">
        <f t="shared" si="177"/>
        <v>Offensive</v>
      </c>
      <c r="BB1482" s="23"/>
      <c r="BD1482" s="21"/>
      <c r="BE1482" s="21"/>
      <c r="BF1482" s="21"/>
      <c r="BG1482" s="21"/>
      <c r="BH1482" s="21"/>
      <c r="BI1482" s="21"/>
    </row>
    <row r="1483" spans="1:61" x14ac:dyDescent="0.2">
      <c r="A1483">
        <v>782</v>
      </c>
      <c r="B1483" t="s">
        <v>887</v>
      </c>
      <c r="C1483" t="str">
        <f t="shared" si="172"/>
        <v/>
      </c>
      <c r="D1483" t="str">
        <f t="shared" si="178"/>
        <v/>
      </c>
      <c r="H1483">
        <f t="shared" si="174"/>
        <v>2</v>
      </c>
      <c r="R1483">
        <v>68</v>
      </c>
      <c r="S1483">
        <v>1</v>
      </c>
      <c r="T1483" t="str">
        <f t="shared" si="173"/>
        <v>e</v>
      </c>
      <c r="AM1483" t="str">
        <f t="shared" si="175"/>
        <v>Pass</v>
      </c>
      <c r="AN1483" t="str">
        <f t="shared" si="176"/>
        <v>Pass_Completed</v>
      </c>
      <c r="AP1483" t="str">
        <f t="shared" si="177"/>
        <v>Offensive</v>
      </c>
      <c r="BB1483" s="23"/>
      <c r="BD1483" s="21"/>
      <c r="BE1483" s="21"/>
      <c r="BF1483" s="21"/>
      <c r="BG1483" s="21"/>
      <c r="BH1483" s="21"/>
      <c r="BI1483" s="21"/>
    </row>
    <row r="1484" spans="1:61" x14ac:dyDescent="0.2">
      <c r="A1484">
        <v>783</v>
      </c>
      <c r="B1484" t="s">
        <v>887</v>
      </c>
      <c r="C1484" t="str">
        <f t="shared" si="172"/>
        <v/>
      </c>
      <c r="D1484" t="str">
        <f t="shared" si="178"/>
        <v/>
      </c>
      <c r="H1484">
        <f t="shared" si="174"/>
        <v>2</v>
      </c>
      <c r="I1484" s="5" t="s">
        <v>742</v>
      </c>
      <c r="J1484" s="5" t="s">
        <v>778</v>
      </c>
      <c r="K1484" s="5" t="s">
        <v>742</v>
      </c>
      <c r="L1484" s="7" t="s">
        <v>779</v>
      </c>
      <c r="Q1484" t="s">
        <v>619</v>
      </c>
      <c r="R1484">
        <v>68</v>
      </c>
      <c r="S1484">
        <v>1</v>
      </c>
      <c r="T1484" t="str">
        <f t="shared" si="173"/>
        <v>e</v>
      </c>
      <c r="U1484" t="s">
        <v>257</v>
      </c>
      <c r="V1484" t="s">
        <v>191</v>
      </c>
      <c r="W1484" t="s">
        <v>87</v>
      </c>
      <c r="AF1484" t="s">
        <v>635</v>
      </c>
      <c r="AJ1484">
        <v>1</v>
      </c>
      <c r="AM1484" t="str">
        <f t="shared" si="175"/>
        <v>Zone_Entry_Exit</v>
      </c>
      <c r="AN1484" t="str">
        <f t="shared" si="176"/>
        <v>Zone_Entry</v>
      </c>
      <c r="AP1484" t="str">
        <f t="shared" si="177"/>
        <v>Offensive</v>
      </c>
      <c r="BB1484" s="23"/>
      <c r="BD1484" s="21"/>
      <c r="BE1484" s="21"/>
      <c r="BF1484" s="21"/>
      <c r="BG1484" s="21"/>
      <c r="BH1484" s="21"/>
      <c r="BI1484" s="21"/>
    </row>
    <row r="1485" spans="1:61" x14ac:dyDescent="0.2">
      <c r="A1485">
        <v>783</v>
      </c>
      <c r="B1485" t="s">
        <v>887</v>
      </c>
      <c r="C1485" t="str">
        <f t="shared" si="172"/>
        <v/>
      </c>
      <c r="D1485" t="str">
        <f t="shared" si="178"/>
        <v/>
      </c>
      <c r="H1485">
        <f t="shared" si="174"/>
        <v>2</v>
      </c>
      <c r="R1485">
        <v>77</v>
      </c>
      <c r="S1485">
        <v>1</v>
      </c>
      <c r="T1485" t="str">
        <f t="shared" si="173"/>
        <v>e</v>
      </c>
      <c r="AM1485" t="str">
        <f t="shared" si="175"/>
        <v>Zone_Entry_Exit</v>
      </c>
      <c r="AN1485" t="str">
        <f t="shared" si="176"/>
        <v>Zone_Entry</v>
      </c>
      <c r="AP1485" t="str">
        <f t="shared" si="177"/>
        <v>Offensive</v>
      </c>
      <c r="BB1485" s="23"/>
      <c r="BD1485" s="21"/>
      <c r="BE1485" s="21"/>
      <c r="BF1485" s="21"/>
      <c r="BG1485" s="21"/>
      <c r="BH1485" s="21"/>
      <c r="BI1485" s="21"/>
    </row>
    <row r="1486" spans="1:61" x14ac:dyDescent="0.2">
      <c r="A1486">
        <v>783</v>
      </c>
      <c r="B1486" t="s">
        <v>887</v>
      </c>
      <c r="C1486" t="str">
        <f t="shared" si="172"/>
        <v/>
      </c>
      <c r="D1486" t="str">
        <f t="shared" si="178"/>
        <v/>
      </c>
      <c r="H1486">
        <f t="shared" si="174"/>
        <v>2</v>
      </c>
      <c r="R1486">
        <v>91</v>
      </c>
      <c r="T1486" t="str">
        <f t="shared" si="173"/>
        <v>o</v>
      </c>
      <c r="AJ1486">
        <v>1</v>
      </c>
      <c r="AM1486" t="str">
        <f t="shared" si="175"/>
        <v>Zone_Entry_Exit</v>
      </c>
      <c r="AN1486" t="str">
        <f t="shared" si="176"/>
        <v>Zone_Entry</v>
      </c>
      <c r="AP1486" t="str">
        <f t="shared" si="177"/>
        <v>Defensive</v>
      </c>
      <c r="BB1486" s="23"/>
      <c r="BD1486" s="21"/>
      <c r="BE1486" s="21"/>
      <c r="BF1486" s="21"/>
      <c r="BG1486" s="21"/>
      <c r="BH1486" s="21"/>
      <c r="BI1486" s="21"/>
    </row>
    <row r="1487" spans="1:61" x14ac:dyDescent="0.2">
      <c r="A1487">
        <v>783</v>
      </c>
      <c r="B1487" t="s">
        <v>887</v>
      </c>
      <c r="C1487" t="str">
        <f t="shared" si="172"/>
        <v/>
      </c>
      <c r="D1487" t="str">
        <f t="shared" si="178"/>
        <v/>
      </c>
      <c r="H1487">
        <f t="shared" si="174"/>
        <v>2</v>
      </c>
      <c r="R1487">
        <v>84</v>
      </c>
      <c r="T1487" t="str">
        <f t="shared" si="173"/>
        <v>o</v>
      </c>
      <c r="AM1487" t="str">
        <f t="shared" si="175"/>
        <v>Zone_Entry_Exit</v>
      </c>
      <c r="AN1487" t="str">
        <f t="shared" si="176"/>
        <v>Zone_Entry</v>
      </c>
      <c r="AP1487" t="str">
        <f t="shared" si="177"/>
        <v>Defensive</v>
      </c>
      <c r="BB1487" s="23"/>
      <c r="BD1487" s="21"/>
      <c r="BE1487" s="21"/>
      <c r="BF1487" s="21"/>
      <c r="BG1487" s="21"/>
      <c r="BH1487" s="21"/>
      <c r="BI1487" s="21"/>
    </row>
    <row r="1488" spans="1:61" x14ac:dyDescent="0.2">
      <c r="A1488">
        <v>784</v>
      </c>
      <c r="B1488" t="s">
        <v>887</v>
      </c>
      <c r="C1488" t="str">
        <f t="shared" si="172"/>
        <v/>
      </c>
      <c r="D1488" t="str">
        <f t="shared" si="178"/>
        <v/>
      </c>
      <c r="H1488">
        <f t="shared" si="174"/>
        <v>2</v>
      </c>
      <c r="I1488" s="5" t="s">
        <v>742</v>
      </c>
      <c r="J1488" s="5" t="s">
        <v>779</v>
      </c>
      <c r="Q1488" t="s">
        <v>619</v>
      </c>
      <c r="R1488">
        <v>68</v>
      </c>
      <c r="S1488">
        <v>1</v>
      </c>
      <c r="T1488" t="str">
        <f t="shared" si="173"/>
        <v>e</v>
      </c>
      <c r="U1488" t="s">
        <v>8</v>
      </c>
      <c r="V1488" t="s">
        <v>189</v>
      </c>
      <c r="W1488" t="s">
        <v>70</v>
      </c>
      <c r="X1488" t="s">
        <v>706</v>
      </c>
      <c r="AF1488" t="s">
        <v>401</v>
      </c>
      <c r="AM1488" t="str">
        <f t="shared" si="175"/>
        <v>Pass</v>
      </c>
      <c r="AN1488" t="str">
        <f t="shared" si="176"/>
        <v>Pass_Completed</v>
      </c>
      <c r="AP1488" t="str">
        <f t="shared" si="177"/>
        <v>Offensive</v>
      </c>
      <c r="BB1488" s="23"/>
      <c r="BD1488" s="21"/>
      <c r="BE1488" s="21"/>
      <c r="BF1488" s="21"/>
      <c r="BG1488" s="21"/>
      <c r="BH1488" s="21"/>
      <c r="BI1488" s="21"/>
    </row>
    <row r="1489" spans="1:61" x14ac:dyDescent="0.2">
      <c r="A1489">
        <v>784</v>
      </c>
      <c r="B1489" t="s">
        <v>887</v>
      </c>
      <c r="C1489" t="str">
        <f t="shared" si="172"/>
        <v/>
      </c>
      <c r="D1489" t="str">
        <f t="shared" si="178"/>
        <v/>
      </c>
      <c r="H1489">
        <f t="shared" si="174"/>
        <v>2</v>
      </c>
      <c r="R1489">
        <v>77</v>
      </c>
      <c r="S1489">
        <v>1</v>
      </c>
      <c r="T1489" t="str">
        <f t="shared" si="173"/>
        <v>e</v>
      </c>
      <c r="AM1489" t="str">
        <f t="shared" si="175"/>
        <v>Pass</v>
      </c>
      <c r="AN1489" t="str">
        <f t="shared" si="176"/>
        <v>Pass_Completed</v>
      </c>
      <c r="AP1489" t="str">
        <f t="shared" si="177"/>
        <v>Offensive</v>
      </c>
      <c r="BB1489" s="23"/>
      <c r="BD1489" s="21"/>
      <c r="BE1489" s="21"/>
      <c r="BF1489" s="21"/>
      <c r="BG1489" s="21"/>
      <c r="BH1489" s="21"/>
      <c r="BI1489" s="21"/>
    </row>
    <row r="1490" spans="1:61" x14ac:dyDescent="0.2">
      <c r="A1490">
        <v>785</v>
      </c>
      <c r="B1490" t="s">
        <v>887</v>
      </c>
      <c r="C1490" t="str">
        <f t="shared" si="172"/>
        <v/>
      </c>
      <c r="D1490" t="str">
        <f t="shared" si="178"/>
        <v/>
      </c>
      <c r="H1490">
        <f t="shared" si="174"/>
        <v>2</v>
      </c>
      <c r="I1490" s="5" t="s">
        <v>742</v>
      </c>
      <c r="J1490" s="5" t="s">
        <v>779</v>
      </c>
      <c r="K1490" s="5" t="s">
        <v>742</v>
      </c>
      <c r="L1490" s="7" t="s">
        <v>721</v>
      </c>
      <c r="Q1490" t="s">
        <v>619</v>
      </c>
      <c r="R1490">
        <v>77</v>
      </c>
      <c r="S1490">
        <v>1</v>
      </c>
      <c r="T1490" t="str">
        <f t="shared" si="173"/>
        <v>e</v>
      </c>
      <c r="U1490" t="s">
        <v>15</v>
      </c>
      <c r="Y1490" t="s">
        <v>777</v>
      </c>
      <c r="AF1490" t="s">
        <v>401</v>
      </c>
      <c r="AM1490" t="str">
        <f t="shared" si="175"/>
        <v>Possession</v>
      </c>
      <c r="AN1490" t="str">
        <f t="shared" si="176"/>
        <v/>
      </c>
      <c r="AP1490" t="str">
        <f t="shared" si="177"/>
        <v>Offensive</v>
      </c>
      <c r="BB1490" s="23"/>
      <c r="BD1490" s="21"/>
      <c r="BE1490" s="21"/>
      <c r="BF1490" s="21"/>
      <c r="BG1490" s="21"/>
      <c r="BH1490" s="21"/>
      <c r="BI1490" s="21"/>
    </row>
    <row r="1491" spans="1:61" x14ac:dyDescent="0.2">
      <c r="A1491">
        <v>786</v>
      </c>
      <c r="B1491" t="s">
        <v>887</v>
      </c>
      <c r="C1491" t="str">
        <f t="shared" si="172"/>
        <v/>
      </c>
      <c r="D1491" t="str">
        <f t="shared" si="178"/>
        <v/>
      </c>
      <c r="H1491">
        <f t="shared" si="174"/>
        <v>2</v>
      </c>
      <c r="I1491" s="5" t="s">
        <v>742</v>
      </c>
      <c r="J1491" s="5" t="s">
        <v>721</v>
      </c>
      <c r="K1491" s="5" t="s">
        <v>742</v>
      </c>
      <c r="L1491" s="7" t="s">
        <v>812</v>
      </c>
      <c r="Q1491" t="s">
        <v>619</v>
      </c>
      <c r="R1491">
        <v>77</v>
      </c>
      <c r="S1491">
        <v>1</v>
      </c>
      <c r="T1491" t="str">
        <f t="shared" si="173"/>
        <v>e</v>
      </c>
      <c r="U1491" t="s">
        <v>15</v>
      </c>
      <c r="Y1491" t="s">
        <v>767</v>
      </c>
      <c r="Z1491" t="s">
        <v>677</v>
      </c>
      <c r="AA1491" t="s">
        <v>706</v>
      </c>
      <c r="AF1491" t="s">
        <v>401</v>
      </c>
      <c r="AJ1491">
        <v>1</v>
      </c>
      <c r="AM1491" t="str">
        <f t="shared" si="175"/>
        <v>Possession</v>
      </c>
      <c r="AN1491" t="str">
        <f t="shared" si="176"/>
        <v/>
      </c>
      <c r="AP1491" t="str">
        <f t="shared" si="177"/>
        <v>Offensive</v>
      </c>
      <c r="BB1491" s="23"/>
      <c r="BD1491" s="21"/>
      <c r="BE1491" s="21"/>
      <c r="BF1491" s="21"/>
      <c r="BG1491" s="21"/>
      <c r="BH1491" s="21"/>
      <c r="BI1491" s="21"/>
    </row>
    <row r="1492" spans="1:61" x14ac:dyDescent="0.2">
      <c r="A1492">
        <v>786</v>
      </c>
      <c r="B1492" t="s">
        <v>887</v>
      </c>
      <c r="C1492" t="str">
        <f t="shared" si="172"/>
        <v/>
      </c>
      <c r="D1492" t="str">
        <f t="shared" si="178"/>
        <v/>
      </c>
      <c r="H1492">
        <f t="shared" si="174"/>
        <v>2</v>
      </c>
      <c r="R1492">
        <v>55</v>
      </c>
      <c r="T1492" t="str">
        <f t="shared" si="173"/>
        <v>o</v>
      </c>
      <c r="Y1492" t="s">
        <v>764</v>
      </c>
      <c r="AA1492" t="s">
        <v>705</v>
      </c>
      <c r="AJ1492">
        <v>1</v>
      </c>
      <c r="AM1492" t="str">
        <f t="shared" si="175"/>
        <v>Possession</v>
      </c>
      <c r="AN1492" t="str">
        <f t="shared" si="176"/>
        <v/>
      </c>
      <c r="AP1492" t="str">
        <f t="shared" si="177"/>
        <v>Defensive</v>
      </c>
      <c r="BB1492" s="23"/>
      <c r="BD1492" s="21"/>
      <c r="BE1492" s="21"/>
      <c r="BF1492" s="21"/>
      <c r="BG1492" s="21"/>
      <c r="BH1492" s="21"/>
      <c r="BI1492" s="21"/>
    </row>
    <row r="1493" spans="1:61" x14ac:dyDescent="0.2">
      <c r="A1493">
        <v>786</v>
      </c>
      <c r="B1493" t="s">
        <v>887</v>
      </c>
      <c r="C1493" t="str">
        <f t="shared" si="172"/>
        <v/>
      </c>
      <c r="D1493" t="str">
        <f t="shared" si="178"/>
        <v/>
      </c>
      <c r="H1493">
        <f t="shared" si="174"/>
        <v>2</v>
      </c>
      <c r="R1493">
        <v>91</v>
      </c>
      <c r="T1493" t="str">
        <f t="shared" si="173"/>
        <v>o</v>
      </c>
      <c r="Y1493" t="s">
        <v>764</v>
      </c>
      <c r="Z1493" t="s">
        <v>781</v>
      </c>
      <c r="AA1493" t="s">
        <v>705</v>
      </c>
      <c r="AJ1493">
        <v>1</v>
      </c>
      <c r="AM1493" t="str">
        <f t="shared" si="175"/>
        <v>Possession</v>
      </c>
      <c r="AN1493" t="str">
        <f t="shared" si="176"/>
        <v/>
      </c>
      <c r="AP1493" t="str">
        <f t="shared" si="177"/>
        <v>Defensive</v>
      </c>
      <c r="BB1493" s="23"/>
      <c r="BD1493" s="21"/>
      <c r="BE1493" s="21"/>
      <c r="BF1493" s="21"/>
      <c r="BG1493" s="21"/>
      <c r="BH1493" s="21"/>
      <c r="BI1493" s="21"/>
    </row>
    <row r="1494" spans="1:61" x14ac:dyDescent="0.2">
      <c r="A1494">
        <v>787</v>
      </c>
      <c r="B1494">
        <v>134</v>
      </c>
      <c r="C1494">
        <f t="shared" si="172"/>
        <v>9134</v>
      </c>
      <c r="D1494">
        <f t="shared" si="178"/>
        <v>9134</v>
      </c>
      <c r="H1494">
        <f t="shared" si="174"/>
        <v>2</v>
      </c>
      <c r="I1494" s="5" t="s">
        <v>742</v>
      </c>
      <c r="J1494" s="5" t="s">
        <v>812</v>
      </c>
      <c r="Q1494" t="s">
        <v>619</v>
      </c>
      <c r="R1494">
        <v>77</v>
      </c>
      <c r="S1494">
        <v>1</v>
      </c>
      <c r="T1494" t="str">
        <f t="shared" si="173"/>
        <v>e</v>
      </c>
      <c r="U1494" t="s">
        <v>7</v>
      </c>
      <c r="V1494" t="s">
        <v>222</v>
      </c>
      <c r="W1494" t="s">
        <v>53</v>
      </c>
      <c r="X1494" t="s">
        <v>706</v>
      </c>
      <c r="AF1494" t="s">
        <v>401</v>
      </c>
      <c r="AJ1494">
        <v>1</v>
      </c>
      <c r="AM1494" t="str">
        <f t="shared" si="175"/>
        <v>Shot</v>
      </c>
      <c r="AN1494" t="str">
        <f t="shared" si="176"/>
        <v>Shot_OnNetSaved</v>
      </c>
      <c r="AP1494" t="str">
        <f t="shared" si="177"/>
        <v>Offensive</v>
      </c>
      <c r="BB1494" s="23"/>
      <c r="BD1494" s="21"/>
      <c r="BE1494" s="21"/>
      <c r="BF1494" s="21"/>
      <c r="BG1494" s="21"/>
      <c r="BH1494" s="21"/>
      <c r="BI1494" s="21"/>
    </row>
    <row r="1495" spans="1:61" x14ac:dyDescent="0.2">
      <c r="A1495">
        <v>787</v>
      </c>
      <c r="B1495">
        <v>134</v>
      </c>
      <c r="C1495">
        <f t="shared" si="172"/>
        <v>9134</v>
      </c>
      <c r="D1495">
        <f t="shared" si="178"/>
        <v>9134</v>
      </c>
      <c r="H1495">
        <f t="shared" si="174"/>
        <v>2</v>
      </c>
      <c r="R1495">
        <v>39</v>
      </c>
      <c r="T1495" t="str">
        <f t="shared" si="173"/>
        <v>o</v>
      </c>
      <c r="AM1495" t="str">
        <f t="shared" si="175"/>
        <v>Shot</v>
      </c>
      <c r="AN1495" t="str">
        <f t="shared" si="176"/>
        <v>Shot_OnNetSaved</v>
      </c>
      <c r="AP1495" t="str">
        <f t="shared" si="177"/>
        <v>Defensive</v>
      </c>
      <c r="BB1495" s="23"/>
      <c r="BD1495" s="21"/>
      <c r="BE1495" s="21"/>
      <c r="BF1495" s="21"/>
      <c r="BG1495" s="21"/>
      <c r="BH1495" s="21"/>
      <c r="BI1495" s="21"/>
    </row>
    <row r="1496" spans="1:61" x14ac:dyDescent="0.2">
      <c r="A1496">
        <v>787</v>
      </c>
      <c r="B1496">
        <v>134</v>
      </c>
      <c r="C1496">
        <f t="shared" si="172"/>
        <v>9134</v>
      </c>
      <c r="D1496">
        <f t="shared" si="178"/>
        <v>9134</v>
      </c>
      <c r="H1496">
        <f t="shared" si="174"/>
        <v>2</v>
      </c>
      <c r="R1496">
        <v>70</v>
      </c>
      <c r="T1496" t="str">
        <f t="shared" si="173"/>
        <v>o</v>
      </c>
      <c r="Y1496" t="s">
        <v>715</v>
      </c>
      <c r="AJ1496">
        <v>1</v>
      </c>
      <c r="AM1496" t="str">
        <f t="shared" si="175"/>
        <v>Shot</v>
      </c>
      <c r="AN1496" t="str">
        <f t="shared" si="176"/>
        <v>Shot_OnNetSaved</v>
      </c>
      <c r="AP1496" t="str">
        <f t="shared" si="177"/>
        <v>Defensive</v>
      </c>
      <c r="BB1496" s="23"/>
      <c r="BD1496" s="21"/>
      <c r="BE1496" s="21"/>
      <c r="BF1496" s="21"/>
      <c r="BG1496" s="21"/>
      <c r="BH1496" s="21"/>
      <c r="BI1496" s="21"/>
    </row>
    <row r="1497" spans="1:61" x14ac:dyDescent="0.2">
      <c r="A1497">
        <v>787</v>
      </c>
      <c r="B1497">
        <v>134</v>
      </c>
      <c r="C1497">
        <f t="shared" si="172"/>
        <v>9134</v>
      </c>
      <c r="D1497">
        <f t="shared" si="178"/>
        <v>9134</v>
      </c>
      <c r="H1497">
        <f t="shared" si="174"/>
        <v>2</v>
      </c>
      <c r="R1497">
        <v>84</v>
      </c>
      <c r="T1497" t="str">
        <f t="shared" si="173"/>
        <v>o</v>
      </c>
      <c r="Y1497" t="s">
        <v>722</v>
      </c>
      <c r="AM1497" t="str">
        <f t="shared" si="175"/>
        <v>Shot</v>
      </c>
      <c r="AN1497" t="str">
        <f t="shared" si="176"/>
        <v>Shot_OnNetSaved</v>
      </c>
      <c r="AP1497" t="str">
        <f t="shared" si="177"/>
        <v>Defensive</v>
      </c>
      <c r="BB1497" s="23"/>
      <c r="BD1497" s="21"/>
      <c r="BE1497" s="21"/>
      <c r="BF1497" s="21"/>
      <c r="BG1497" s="21"/>
      <c r="BH1497" s="21"/>
      <c r="BI1497" s="21"/>
    </row>
    <row r="1498" spans="1:61" x14ac:dyDescent="0.2">
      <c r="A1498">
        <v>788</v>
      </c>
      <c r="B1498">
        <v>134</v>
      </c>
      <c r="C1498">
        <f t="shared" si="172"/>
        <v>9134</v>
      </c>
      <c r="D1498">
        <f t="shared" si="178"/>
        <v>9134</v>
      </c>
      <c r="H1498">
        <f t="shared" si="174"/>
        <v>2</v>
      </c>
      <c r="I1498" s="5" t="s">
        <v>742</v>
      </c>
      <c r="J1498" s="5" t="s">
        <v>812</v>
      </c>
      <c r="Q1498" t="s">
        <v>620</v>
      </c>
      <c r="R1498">
        <v>39</v>
      </c>
      <c r="S1498">
        <v>1</v>
      </c>
      <c r="T1498" t="str">
        <f>IF(S1498="x","",IF(S1498=1,"e","o"))</f>
        <v>e</v>
      </c>
      <c r="U1498" t="s">
        <v>17</v>
      </c>
      <c r="V1498" t="s">
        <v>206</v>
      </c>
      <c r="W1498" t="s">
        <v>103</v>
      </c>
      <c r="AF1498" t="s">
        <v>623</v>
      </c>
      <c r="AM1498" t="str">
        <f t="shared" si="175"/>
        <v>Save</v>
      </c>
      <c r="AN1498" t="str">
        <f t="shared" si="176"/>
        <v>Save_Freeze</v>
      </c>
      <c r="AP1498" t="str">
        <f t="shared" si="177"/>
        <v>Defensive</v>
      </c>
      <c r="BB1498" s="23"/>
      <c r="BD1498" s="21"/>
      <c r="BE1498" s="21"/>
      <c r="BF1498" s="21"/>
      <c r="BG1498" s="21"/>
      <c r="BH1498" s="21"/>
      <c r="BI1498" s="21"/>
    </row>
    <row r="1499" spans="1:61" x14ac:dyDescent="0.2">
      <c r="A1499">
        <v>788</v>
      </c>
      <c r="B1499">
        <v>134</v>
      </c>
      <c r="C1499">
        <f t="shared" si="172"/>
        <v>9134</v>
      </c>
      <c r="D1499">
        <f t="shared" si="178"/>
        <v>9134</v>
      </c>
      <c r="H1499">
        <f t="shared" si="174"/>
        <v>2</v>
      </c>
      <c r="R1499">
        <v>70</v>
      </c>
      <c r="T1499" t="str">
        <f>IF(S1499="x","",IF(S1499=1,"e","o"))</f>
        <v>o</v>
      </c>
      <c r="Y1499" t="s">
        <v>715</v>
      </c>
      <c r="AJ1499">
        <v>1</v>
      </c>
      <c r="AM1499" t="str">
        <f t="shared" si="175"/>
        <v>Save</v>
      </c>
      <c r="AN1499" t="str">
        <f t="shared" si="176"/>
        <v>Save_Freeze</v>
      </c>
      <c r="AP1499" t="str">
        <f t="shared" si="177"/>
        <v>Offensive</v>
      </c>
      <c r="BB1499" s="23"/>
      <c r="BD1499" s="21"/>
      <c r="BE1499" s="21"/>
      <c r="BF1499" s="21"/>
      <c r="BG1499" s="21"/>
      <c r="BH1499" s="21"/>
      <c r="BI1499" s="21"/>
    </row>
    <row r="1500" spans="1:61" x14ac:dyDescent="0.2">
      <c r="A1500">
        <v>788</v>
      </c>
      <c r="B1500">
        <v>134</v>
      </c>
      <c r="C1500">
        <f t="shared" si="172"/>
        <v>9134</v>
      </c>
      <c r="D1500">
        <f t="shared" si="178"/>
        <v>9134</v>
      </c>
      <c r="H1500">
        <f t="shared" si="174"/>
        <v>2</v>
      </c>
      <c r="R1500">
        <v>84</v>
      </c>
      <c r="T1500" t="str">
        <f>IF(S1500="x","",IF(S1500=1,"e","o"))</f>
        <v>o</v>
      </c>
      <c r="Y1500" t="s">
        <v>722</v>
      </c>
      <c r="AM1500" t="str">
        <f t="shared" si="175"/>
        <v>Save</v>
      </c>
      <c r="AN1500" t="str">
        <f t="shared" si="176"/>
        <v>Save_Freeze</v>
      </c>
      <c r="AP1500" t="str">
        <f t="shared" si="177"/>
        <v>Offensive</v>
      </c>
      <c r="BB1500" s="23"/>
      <c r="BD1500" s="21"/>
      <c r="BE1500" s="21"/>
      <c r="BF1500" s="21"/>
      <c r="BG1500" s="21"/>
      <c r="BH1500" s="21"/>
      <c r="BI1500" s="21"/>
    </row>
    <row r="1501" spans="1:61" x14ac:dyDescent="0.2">
      <c r="A1501">
        <v>788</v>
      </c>
      <c r="B1501">
        <v>134</v>
      </c>
      <c r="C1501">
        <f t="shared" si="172"/>
        <v>9134</v>
      </c>
      <c r="D1501">
        <f t="shared" si="178"/>
        <v>9134</v>
      </c>
      <c r="H1501">
        <f t="shared" si="174"/>
        <v>2</v>
      </c>
      <c r="R1501">
        <v>77</v>
      </c>
      <c r="T1501" t="str">
        <f>IF(S1501="x","",IF(S1501=1,"e","o"))</f>
        <v>o</v>
      </c>
      <c r="AJ1501">
        <v>1</v>
      </c>
      <c r="AM1501" t="str">
        <f t="shared" si="175"/>
        <v>Save</v>
      </c>
      <c r="AN1501" t="str">
        <f t="shared" si="176"/>
        <v>Save_Freeze</v>
      </c>
      <c r="AP1501" t="str">
        <f t="shared" si="177"/>
        <v>Offensive</v>
      </c>
      <c r="BB1501" s="23"/>
      <c r="BD1501" s="21"/>
      <c r="BE1501" s="21"/>
      <c r="BF1501" s="21"/>
      <c r="BG1501" s="21"/>
      <c r="BH1501" s="21"/>
      <c r="BI1501" s="21"/>
    </row>
    <row r="1502" spans="1:61" x14ac:dyDescent="0.2">
      <c r="A1502">
        <v>789</v>
      </c>
      <c r="B1502">
        <v>134</v>
      </c>
      <c r="C1502">
        <f t="shared" si="172"/>
        <v>9134</v>
      </c>
      <c r="D1502">
        <f t="shared" si="178"/>
        <v>9134</v>
      </c>
      <c r="H1502">
        <f t="shared" si="174"/>
        <v>2</v>
      </c>
      <c r="I1502" s="5" t="s">
        <v>742</v>
      </c>
      <c r="J1502" s="5" t="s">
        <v>726</v>
      </c>
      <c r="Q1502" t="s">
        <v>620</v>
      </c>
      <c r="R1502">
        <v>39</v>
      </c>
      <c r="S1502">
        <v>1</v>
      </c>
      <c r="T1502" t="str">
        <f t="shared" si="173"/>
        <v>e</v>
      </c>
      <c r="U1502" t="s">
        <v>13</v>
      </c>
      <c r="V1502" t="s">
        <v>204</v>
      </c>
      <c r="W1502" t="s">
        <v>110</v>
      </c>
      <c r="AF1502" t="s">
        <v>623</v>
      </c>
      <c r="AM1502" t="str">
        <f t="shared" si="175"/>
        <v>Stoppage</v>
      </c>
      <c r="AN1502" t="str">
        <f t="shared" si="176"/>
        <v>Stoppage_Play</v>
      </c>
      <c r="AP1502" t="str">
        <f t="shared" si="177"/>
        <v/>
      </c>
      <c r="BB1502" s="23"/>
      <c r="BD1502" s="21"/>
      <c r="BE1502" s="21"/>
      <c r="BF1502" s="21"/>
      <c r="BG1502" s="21"/>
      <c r="BH1502" s="21"/>
      <c r="BI1502" s="21"/>
    </row>
    <row r="1503" spans="1:61" x14ac:dyDescent="0.2">
      <c r="A1503">
        <v>790</v>
      </c>
      <c r="B1503">
        <v>134</v>
      </c>
      <c r="C1503">
        <f t="shared" si="172"/>
        <v>9134</v>
      </c>
      <c r="D1503">
        <f t="shared" si="178"/>
        <v>9134</v>
      </c>
      <c r="H1503">
        <f t="shared" si="174"/>
        <v>2</v>
      </c>
      <c r="I1503" s="5" t="s">
        <v>742</v>
      </c>
      <c r="J1503" s="5" t="s">
        <v>726</v>
      </c>
      <c r="K1503" s="5" t="s">
        <v>742</v>
      </c>
      <c r="L1503" s="7" t="s">
        <v>742</v>
      </c>
      <c r="Q1503" t="s">
        <v>620</v>
      </c>
      <c r="R1503">
        <v>39</v>
      </c>
      <c r="S1503">
        <v>1</v>
      </c>
      <c r="T1503" t="str">
        <f t="shared" si="173"/>
        <v>e</v>
      </c>
      <c r="U1503" t="s">
        <v>262</v>
      </c>
      <c r="AF1503" t="s">
        <v>623</v>
      </c>
      <c r="AM1503" t="str">
        <f t="shared" si="175"/>
        <v>DeadIce</v>
      </c>
      <c r="AN1503" t="str">
        <f t="shared" si="176"/>
        <v/>
      </c>
      <c r="AP1503" t="str">
        <f t="shared" si="177"/>
        <v/>
      </c>
      <c r="BB1503" s="23"/>
      <c r="BD1503" s="21"/>
      <c r="BE1503" s="21"/>
      <c r="BF1503" s="21"/>
      <c r="BG1503" s="21"/>
      <c r="BH1503" s="21"/>
      <c r="BI1503" s="21"/>
    </row>
    <row r="1504" spans="1:61" x14ac:dyDescent="0.2">
      <c r="A1504">
        <v>791</v>
      </c>
      <c r="B1504" t="s">
        <v>887</v>
      </c>
      <c r="C1504" t="str">
        <f t="shared" si="172"/>
        <v/>
      </c>
      <c r="D1504" t="str">
        <f t="shared" si="178"/>
        <v/>
      </c>
      <c r="H1504">
        <f t="shared" si="174"/>
        <v>2</v>
      </c>
      <c r="I1504" s="5" t="s">
        <v>742</v>
      </c>
      <c r="J1504" s="5" t="s">
        <v>742</v>
      </c>
      <c r="Q1504" t="s">
        <v>620</v>
      </c>
      <c r="R1504">
        <v>70</v>
      </c>
      <c r="S1504">
        <v>1</v>
      </c>
      <c r="T1504" t="str">
        <f t="shared" si="173"/>
        <v>e</v>
      </c>
      <c r="U1504" t="s">
        <v>6</v>
      </c>
      <c r="V1504" t="s">
        <v>255</v>
      </c>
      <c r="AM1504" t="str">
        <f t="shared" si="175"/>
        <v>Faceoff</v>
      </c>
      <c r="AN1504" t="str">
        <f t="shared" si="176"/>
        <v>Faceoff_AfterStoppage</v>
      </c>
      <c r="AP1504" t="str">
        <f t="shared" si="177"/>
        <v>Offensive</v>
      </c>
      <c r="BB1504" s="23"/>
      <c r="BD1504" s="21"/>
      <c r="BE1504" s="21"/>
      <c r="BF1504" s="21"/>
      <c r="BG1504" s="21"/>
      <c r="BH1504" s="21"/>
      <c r="BI1504" s="21"/>
    </row>
    <row r="1505" spans="1:61" x14ac:dyDescent="0.2">
      <c r="A1505">
        <v>791</v>
      </c>
      <c r="B1505" t="s">
        <v>887</v>
      </c>
      <c r="C1505" t="str">
        <f t="shared" si="172"/>
        <v/>
      </c>
      <c r="D1505" t="str">
        <f t="shared" si="178"/>
        <v/>
      </c>
      <c r="H1505">
        <f t="shared" si="174"/>
        <v>2</v>
      </c>
      <c r="R1505">
        <v>77</v>
      </c>
      <c r="T1505" t="str">
        <f t="shared" si="173"/>
        <v>o</v>
      </c>
      <c r="AM1505" t="str">
        <f t="shared" si="175"/>
        <v>Faceoff</v>
      </c>
      <c r="AN1505" t="str">
        <f t="shared" si="176"/>
        <v>Faceoff_AfterStoppage</v>
      </c>
      <c r="AP1505" t="str">
        <f t="shared" si="177"/>
        <v>Defensive</v>
      </c>
      <c r="BB1505" s="23"/>
      <c r="BD1505" s="21"/>
      <c r="BE1505" s="21"/>
      <c r="BF1505" s="21"/>
      <c r="BG1505" s="21"/>
      <c r="BH1505" s="21"/>
      <c r="BI1505" s="21"/>
    </row>
    <row r="1506" spans="1:61" x14ac:dyDescent="0.2">
      <c r="A1506">
        <v>792</v>
      </c>
      <c r="B1506" t="s">
        <v>887</v>
      </c>
      <c r="C1506" t="str">
        <f t="shared" si="172"/>
        <v/>
      </c>
      <c r="D1506" t="str">
        <f t="shared" si="178"/>
        <v/>
      </c>
      <c r="H1506">
        <f t="shared" si="174"/>
        <v>2</v>
      </c>
      <c r="I1506" s="5" t="s">
        <v>742</v>
      </c>
      <c r="J1506" s="5" t="s">
        <v>742</v>
      </c>
      <c r="Q1506" t="s">
        <v>620</v>
      </c>
      <c r="R1506">
        <v>70</v>
      </c>
      <c r="S1506">
        <v>1</v>
      </c>
      <c r="T1506" t="str">
        <f t="shared" si="173"/>
        <v>e</v>
      </c>
      <c r="U1506" t="s">
        <v>257</v>
      </c>
      <c r="V1506" t="s">
        <v>201</v>
      </c>
      <c r="W1506" t="s">
        <v>183</v>
      </c>
      <c r="AM1506" t="str">
        <f t="shared" si="175"/>
        <v>Zone_Entry_Exit</v>
      </c>
      <c r="AN1506" t="str">
        <f t="shared" si="176"/>
        <v>Zone_Exit</v>
      </c>
      <c r="AP1506" t="str">
        <f t="shared" si="177"/>
        <v>Offensive</v>
      </c>
      <c r="BB1506" s="23"/>
      <c r="BD1506" s="21"/>
      <c r="BE1506" s="21"/>
      <c r="BF1506" s="21"/>
      <c r="BG1506" s="21"/>
      <c r="BH1506" s="21"/>
      <c r="BI1506" s="21"/>
    </row>
    <row r="1507" spans="1:61" x14ac:dyDescent="0.2">
      <c r="A1507">
        <v>793</v>
      </c>
      <c r="B1507" t="s">
        <v>887</v>
      </c>
      <c r="C1507" t="str">
        <f t="shared" si="172"/>
        <v/>
      </c>
      <c r="D1507" t="str">
        <f t="shared" si="178"/>
        <v/>
      </c>
      <c r="H1507">
        <f t="shared" si="174"/>
        <v>2</v>
      </c>
      <c r="I1507" s="5" t="s">
        <v>742</v>
      </c>
      <c r="J1507" s="5" t="s">
        <v>447</v>
      </c>
      <c r="Q1507" t="s">
        <v>619</v>
      </c>
      <c r="R1507">
        <v>44</v>
      </c>
      <c r="S1507">
        <v>1</v>
      </c>
      <c r="T1507" t="str">
        <f t="shared" si="173"/>
        <v>e</v>
      </c>
      <c r="U1507" t="s">
        <v>15</v>
      </c>
      <c r="V1507" t="s">
        <v>697</v>
      </c>
      <c r="X1507" t="s">
        <v>705</v>
      </c>
      <c r="Y1507" t="s">
        <v>906</v>
      </c>
      <c r="AA1507" t="s">
        <v>705</v>
      </c>
      <c r="AF1507" t="s">
        <v>635</v>
      </c>
      <c r="AJ1507">
        <v>1</v>
      </c>
      <c r="AM1507" t="str">
        <f t="shared" si="175"/>
        <v>Possession</v>
      </c>
      <c r="AN1507" t="str">
        <f t="shared" si="176"/>
        <v>PuckRetrieval</v>
      </c>
      <c r="AP1507" t="str">
        <f t="shared" si="177"/>
        <v>Offensive</v>
      </c>
      <c r="BB1507" s="23"/>
      <c r="BD1507" s="21"/>
      <c r="BE1507" s="21"/>
      <c r="BF1507" s="21"/>
      <c r="BG1507" s="21"/>
      <c r="BH1507" s="21"/>
      <c r="BI1507" s="21"/>
    </row>
    <row r="1508" spans="1:61" x14ac:dyDescent="0.2">
      <c r="A1508">
        <v>793</v>
      </c>
      <c r="B1508" t="s">
        <v>887</v>
      </c>
      <c r="C1508" t="str">
        <f t="shared" si="172"/>
        <v/>
      </c>
      <c r="D1508" t="str">
        <f t="shared" si="178"/>
        <v/>
      </c>
      <c r="H1508">
        <f t="shared" si="174"/>
        <v>2</v>
      </c>
      <c r="R1508">
        <v>14</v>
      </c>
      <c r="T1508" t="str">
        <f t="shared" si="173"/>
        <v>o</v>
      </c>
      <c r="Y1508" t="s">
        <v>911</v>
      </c>
      <c r="AA1508" t="s">
        <v>705</v>
      </c>
      <c r="AJ1508">
        <v>1</v>
      </c>
      <c r="AM1508" t="str">
        <f t="shared" si="175"/>
        <v>Possession</v>
      </c>
      <c r="AN1508" t="str">
        <f t="shared" si="176"/>
        <v>PuckRetrieval</v>
      </c>
      <c r="AP1508" t="str">
        <f t="shared" si="177"/>
        <v>Defensive</v>
      </c>
      <c r="BB1508" s="23"/>
      <c r="BD1508" s="21"/>
      <c r="BE1508" s="21"/>
      <c r="BF1508" s="21"/>
      <c r="BG1508" s="21"/>
      <c r="BH1508" s="21"/>
      <c r="BI1508" s="21"/>
    </row>
    <row r="1509" spans="1:61" x14ac:dyDescent="0.2">
      <c r="A1509">
        <v>794</v>
      </c>
      <c r="B1509" t="s">
        <v>887</v>
      </c>
      <c r="C1509" t="str">
        <f t="shared" si="172"/>
        <v/>
      </c>
      <c r="D1509" t="str">
        <f t="shared" si="178"/>
        <v/>
      </c>
      <c r="H1509">
        <f t="shared" si="174"/>
        <v>2</v>
      </c>
      <c r="I1509" s="5" t="s">
        <v>742</v>
      </c>
      <c r="J1509" s="5" t="s">
        <v>738</v>
      </c>
      <c r="Q1509" t="s">
        <v>619</v>
      </c>
      <c r="R1509">
        <v>44</v>
      </c>
      <c r="S1509">
        <v>1</v>
      </c>
      <c r="T1509" t="str">
        <f t="shared" si="173"/>
        <v>e</v>
      </c>
      <c r="U1509" t="s">
        <v>257</v>
      </c>
      <c r="V1509" t="s">
        <v>191</v>
      </c>
      <c r="W1509" t="s">
        <v>89</v>
      </c>
      <c r="X1509" t="s">
        <v>705</v>
      </c>
      <c r="Y1509" t="s">
        <v>718</v>
      </c>
      <c r="AA1509" t="s">
        <v>706</v>
      </c>
      <c r="AF1509" t="s">
        <v>635</v>
      </c>
      <c r="AM1509" t="str">
        <f t="shared" si="175"/>
        <v>Zone_Entry_Exit</v>
      </c>
      <c r="AN1509" t="str">
        <f t="shared" si="176"/>
        <v>Zone_Entry</v>
      </c>
      <c r="AP1509" t="str">
        <f t="shared" si="177"/>
        <v>Offensive</v>
      </c>
      <c r="BB1509" s="23"/>
      <c r="BD1509" s="21"/>
      <c r="BE1509" s="21"/>
      <c r="BF1509" s="21"/>
      <c r="BG1509" s="21"/>
      <c r="BH1509" s="21"/>
      <c r="BI1509" s="21"/>
    </row>
    <row r="1510" spans="1:61" x14ac:dyDescent="0.2">
      <c r="A1510">
        <v>794</v>
      </c>
      <c r="B1510" t="s">
        <v>887</v>
      </c>
      <c r="C1510" t="str">
        <f t="shared" si="172"/>
        <v/>
      </c>
      <c r="D1510" t="str">
        <f t="shared" si="178"/>
        <v/>
      </c>
      <c r="H1510">
        <f t="shared" si="174"/>
        <v>2</v>
      </c>
      <c r="R1510">
        <v>68</v>
      </c>
      <c r="S1510">
        <v>1</v>
      </c>
      <c r="T1510" t="str">
        <f t="shared" si="173"/>
        <v>e</v>
      </c>
      <c r="Y1510" t="s">
        <v>849</v>
      </c>
      <c r="AA1510" t="s">
        <v>706</v>
      </c>
      <c r="AM1510" t="str">
        <f t="shared" si="175"/>
        <v>Zone_Entry_Exit</v>
      </c>
      <c r="AN1510" t="str">
        <f t="shared" si="176"/>
        <v>Zone_Entry</v>
      </c>
      <c r="AP1510" t="str">
        <f t="shared" si="177"/>
        <v>Offensive</v>
      </c>
      <c r="BB1510" s="23"/>
      <c r="BD1510" s="21"/>
      <c r="BE1510" s="21"/>
      <c r="BF1510" s="21"/>
      <c r="BG1510" s="21"/>
      <c r="BH1510" s="21"/>
      <c r="BI1510" s="21"/>
    </row>
    <row r="1511" spans="1:61" x14ac:dyDescent="0.2">
      <c r="A1511">
        <v>795</v>
      </c>
      <c r="B1511" t="s">
        <v>887</v>
      </c>
      <c r="C1511" t="str">
        <f t="shared" si="172"/>
        <v/>
      </c>
      <c r="D1511" t="str">
        <f t="shared" si="178"/>
        <v/>
      </c>
      <c r="H1511">
        <f t="shared" si="174"/>
        <v>2</v>
      </c>
      <c r="I1511" s="5" t="s">
        <v>742</v>
      </c>
      <c r="J1511" s="5" t="s">
        <v>786</v>
      </c>
      <c r="K1511" s="5" t="s">
        <v>734</v>
      </c>
      <c r="L1511" s="7" t="s">
        <v>638</v>
      </c>
      <c r="Q1511" t="s">
        <v>619</v>
      </c>
      <c r="R1511">
        <v>68</v>
      </c>
      <c r="S1511">
        <v>1</v>
      </c>
      <c r="T1511" t="str">
        <f t="shared" si="173"/>
        <v>e</v>
      </c>
      <c r="U1511" t="s">
        <v>15</v>
      </c>
      <c r="V1511" t="s">
        <v>698</v>
      </c>
      <c r="X1511" t="s">
        <v>706</v>
      </c>
      <c r="Y1511" t="s">
        <v>858</v>
      </c>
      <c r="Z1511" t="s">
        <v>849</v>
      </c>
      <c r="AA1511" t="s">
        <v>706</v>
      </c>
      <c r="AF1511" t="s">
        <v>401</v>
      </c>
      <c r="AM1511" t="str">
        <f t="shared" si="175"/>
        <v>Possession</v>
      </c>
      <c r="AN1511" t="str">
        <f t="shared" si="176"/>
        <v>PuckRecovery</v>
      </c>
      <c r="AP1511" t="str">
        <f t="shared" si="177"/>
        <v>Offensive</v>
      </c>
      <c r="BB1511" s="23"/>
      <c r="BD1511" s="21"/>
      <c r="BE1511" s="21"/>
      <c r="BF1511" s="21"/>
      <c r="BG1511" s="21"/>
      <c r="BH1511" s="21"/>
      <c r="BI1511" s="21"/>
    </row>
    <row r="1512" spans="1:61" x14ac:dyDescent="0.2">
      <c r="A1512">
        <v>795</v>
      </c>
      <c r="B1512" t="s">
        <v>887</v>
      </c>
      <c r="C1512" t="str">
        <f t="shared" si="172"/>
        <v/>
      </c>
      <c r="D1512" t="str">
        <f t="shared" si="178"/>
        <v/>
      </c>
      <c r="H1512">
        <f t="shared" si="174"/>
        <v>2</v>
      </c>
      <c r="R1512">
        <v>44</v>
      </c>
      <c r="S1512">
        <v>1</v>
      </c>
      <c r="T1512" t="str">
        <f t="shared" si="173"/>
        <v>e</v>
      </c>
      <c r="Y1512" t="s">
        <v>718</v>
      </c>
      <c r="AA1512" t="s">
        <v>706</v>
      </c>
      <c r="AM1512" t="str">
        <f t="shared" si="175"/>
        <v>Possession</v>
      </c>
      <c r="AN1512" t="str">
        <f t="shared" si="176"/>
        <v>PuckRecovery</v>
      </c>
      <c r="AP1512" t="str">
        <f t="shared" si="177"/>
        <v>Offensive</v>
      </c>
      <c r="BB1512" s="23"/>
      <c r="BD1512" s="21"/>
      <c r="BE1512" s="21"/>
      <c r="BF1512" s="21"/>
      <c r="BG1512" s="21"/>
      <c r="BH1512" s="21"/>
      <c r="BI1512" s="21"/>
    </row>
    <row r="1513" spans="1:61" x14ac:dyDescent="0.2">
      <c r="A1513">
        <v>796</v>
      </c>
      <c r="B1513" t="s">
        <v>887</v>
      </c>
      <c r="C1513" t="str">
        <f t="shared" si="172"/>
        <v/>
      </c>
      <c r="D1513" t="str">
        <f t="shared" si="178"/>
        <v/>
      </c>
      <c r="H1513">
        <f t="shared" si="174"/>
        <v>2</v>
      </c>
      <c r="I1513" s="5" t="s">
        <v>734</v>
      </c>
      <c r="J1513" s="5" t="s">
        <v>638</v>
      </c>
      <c r="Q1513" t="s">
        <v>619</v>
      </c>
      <c r="R1513">
        <v>68</v>
      </c>
      <c r="S1513">
        <v>1</v>
      </c>
      <c r="T1513" t="str">
        <f t="shared" si="173"/>
        <v>e</v>
      </c>
      <c r="U1513" t="s">
        <v>8</v>
      </c>
      <c r="V1513" t="s">
        <v>199</v>
      </c>
      <c r="W1513" t="s">
        <v>69</v>
      </c>
      <c r="X1513" t="s">
        <v>705</v>
      </c>
      <c r="AF1513" t="s">
        <v>401</v>
      </c>
      <c r="AM1513" t="str">
        <f t="shared" si="175"/>
        <v>Pass</v>
      </c>
      <c r="AN1513" t="str">
        <f t="shared" si="176"/>
        <v>Pass_Missed</v>
      </c>
      <c r="AP1513" t="str">
        <f t="shared" si="177"/>
        <v>Offensive</v>
      </c>
      <c r="BB1513" s="23"/>
      <c r="BD1513" s="21"/>
      <c r="BE1513" s="21"/>
      <c r="BF1513" s="21"/>
      <c r="BG1513" s="21"/>
      <c r="BH1513" s="21"/>
      <c r="BI1513" s="21"/>
    </row>
    <row r="1514" spans="1:61" x14ac:dyDescent="0.2">
      <c r="A1514">
        <v>796</v>
      </c>
      <c r="B1514" t="s">
        <v>887</v>
      </c>
      <c r="C1514" t="str">
        <f t="shared" si="172"/>
        <v/>
      </c>
      <c r="D1514" t="str">
        <f t="shared" si="178"/>
        <v/>
      </c>
      <c r="H1514">
        <f t="shared" si="174"/>
        <v>2</v>
      </c>
      <c r="R1514">
        <v>13</v>
      </c>
      <c r="S1514">
        <v>1</v>
      </c>
      <c r="T1514" t="str">
        <f t="shared" si="173"/>
        <v>e</v>
      </c>
      <c r="AJ1514">
        <v>1</v>
      </c>
      <c r="AM1514" t="str">
        <f t="shared" si="175"/>
        <v>Pass</v>
      </c>
      <c r="AN1514" t="str">
        <f t="shared" si="176"/>
        <v>Pass_Missed</v>
      </c>
      <c r="AP1514" t="str">
        <f t="shared" si="177"/>
        <v>Offensive</v>
      </c>
      <c r="BB1514" s="23"/>
      <c r="BD1514" s="21"/>
      <c r="BE1514" s="21"/>
      <c r="BF1514" s="21"/>
      <c r="BG1514" s="21"/>
      <c r="BH1514" s="21"/>
      <c r="BI1514" s="21"/>
    </row>
    <row r="1515" spans="1:61" x14ac:dyDescent="0.2">
      <c r="A1515">
        <v>796</v>
      </c>
      <c r="B1515" t="s">
        <v>887</v>
      </c>
      <c r="C1515" t="str">
        <f t="shared" si="172"/>
        <v/>
      </c>
      <c r="D1515" t="str">
        <f t="shared" si="178"/>
        <v/>
      </c>
      <c r="H1515">
        <f t="shared" si="174"/>
        <v>2</v>
      </c>
      <c r="R1515">
        <v>84</v>
      </c>
      <c r="T1515" t="str">
        <f t="shared" si="173"/>
        <v>o</v>
      </c>
      <c r="Y1515" t="s">
        <v>715</v>
      </c>
      <c r="AM1515" t="str">
        <f t="shared" si="175"/>
        <v>Pass</v>
      </c>
      <c r="AN1515" t="str">
        <f t="shared" si="176"/>
        <v>Pass_Missed</v>
      </c>
      <c r="AP1515" t="str">
        <f t="shared" si="177"/>
        <v>Defensive</v>
      </c>
      <c r="BB1515" s="23"/>
      <c r="BD1515" s="21"/>
      <c r="BE1515" s="21"/>
      <c r="BF1515" s="21"/>
      <c r="BG1515" s="21"/>
      <c r="BH1515" s="21"/>
      <c r="BI1515" s="21"/>
    </row>
    <row r="1516" spans="1:61" x14ac:dyDescent="0.2">
      <c r="A1516">
        <v>796</v>
      </c>
      <c r="B1516" t="s">
        <v>887</v>
      </c>
      <c r="C1516" t="str">
        <f t="shared" si="172"/>
        <v/>
      </c>
      <c r="D1516" t="str">
        <f t="shared" si="178"/>
        <v/>
      </c>
      <c r="H1516">
        <f t="shared" si="174"/>
        <v>2</v>
      </c>
      <c r="R1516">
        <v>70</v>
      </c>
      <c r="T1516" t="str">
        <f t="shared" si="173"/>
        <v>o</v>
      </c>
      <c r="Y1516" t="s">
        <v>722</v>
      </c>
      <c r="AJ1516">
        <v>1</v>
      </c>
      <c r="AM1516" t="str">
        <f t="shared" si="175"/>
        <v>Pass</v>
      </c>
      <c r="AN1516" t="str">
        <f t="shared" si="176"/>
        <v>Pass_Missed</v>
      </c>
      <c r="AP1516" t="str">
        <f t="shared" si="177"/>
        <v>Defensive</v>
      </c>
      <c r="BB1516" s="23"/>
      <c r="BD1516" s="21"/>
      <c r="BE1516" s="21"/>
      <c r="BF1516" s="21"/>
      <c r="BG1516" s="21"/>
      <c r="BH1516" s="21"/>
      <c r="BI1516" s="21"/>
    </row>
    <row r="1517" spans="1:61" x14ac:dyDescent="0.2">
      <c r="A1517">
        <v>797</v>
      </c>
      <c r="B1517" t="s">
        <v>887</v>
      </c>
      <c r="C1517" t="str">
        <f t="shared" si="172"/>
        <v/>
      </c>
      <c r="D1517" t="str">
        <f t="shared" si="178"/>
        <v/>
      </c>
      <c r="H1517">
        <f t="shared" si="174"/>
        <v>2</v>
      </c>
      <c r="I1517" s="5" t="s">
        <v>734</v>
      </c>
      <c r="J1517" s="5" t="s">
        <v>637</v>
      </c>
      <c r="R1517">
        <v>68</v>
      </c>
      <c r="S1517">
        <v>1</v>
      </c>
      <c r="T1517" t="str">
        <f t="shared" si="173"/>
        <v>e</v>
      </c>
      <c r="U1517" t="s">
        <v>15</v>
      </c>
      <c r="V1517" t="s">
        <v>698</v>
      </c>
      <c r="X1517" t="s">
        <v>705</v>
      </c>
      <c r="Y1517" t="s">
        <v>756</v>
      </c>
      <c r="AA1517" t="s">
        <v>705</v>
      </c>
      <c r="AF1517" t="s">
        <v>401</v>
      </c>
      <c r="AM1517" t="str">
        <f t="shared" si="175"/>
        <v>Possession</v>
      </c>
      <c r="AN1517" t="str">
        <f t="shared" si="176"/>
        <v>PuckRecovery</v>
      </c>
      <c r="AP1517" t="str">
        <f t="shared" si="177"/>
        <v>Offensive</v>
      </c>
      <c r="BB1517" s="23"/>
      <c r="BD1517" s="21"/>
      <c r="BE1517" s="21"/>
      <c r="BF1517" s="21"/>
      <c r="BG1517" s="21"/>
      <c r="BH1517" s="21"/>
      <c r="BI1517" s="21"/>
    </row>
    <row r="1518" spans="1:61" x14ac:dyDescent="0.2">
      <c r="A1518">
        <v>798</v>
      </c>
      <c r="B1518" t="s">
        <v>887</v>
      </c>
      <c r="C1518" t="str">
        <f t="shared" si="172"/>
        <v/>
      </c>
      <c r="D1518" t="str">
        <f t="shared" si="178"/>
        <v/>
      </c>
      <c r="H1518">
        <f t="shared" si="174"/>
        <v>2</v>
      </c>
      <c r="I1518" s="5" t="s">
        <v>734</v>
      </c>
      <c r="J1518" s="5" t="s">
        <v>762</v>
      </c>
      <c r="Q1518" t="s">
        <v>619</v>
      </c>
      <c r="R1518">
        <v>68</v>
      </c>
      <c r="S1518">
        <v>1</v>
      </c>
      <c r="T1518" t="str">
        <f t="shared" si="173"/>
        <v>e</v>
      </c>
      <c r="U1518" t="s">
        <v>8</v>
      </c>
      <c r="V1518" t="s">
        <v>199</v>
      </c>
      <c r="W1518" t="s">
        <v>69</v>
      </c>
      <c r="X1518" t="s">
        <v>705</v>
      </c>
      <c r="Y1518" t="s">
        <v>814</v>
      </c>
      <c r="AA1518" t="s">
        <v>705</v>
      </c>
      <c r="AF1518" t="s">
        <v>401</v>
      </c>
      <c r="AM1518" t="str">
        <f t="shared" si="175"/>
        <v>Pass</v>
      </c>
      <c r="AN1518" t="str">
        <f t="shared" si="176"/>
        <v>Pass_Missed</v>
      </c>
      <c r="AP1518" t="str">
        <f t="shared" si="177"/>
        <v>Offensive</v>
      </c>
      <c r="BB1518" s="23"/>
      <c r="BD1518" s="21"/>
      <c r="BE1518" s="21"/>
      <c r="BF1518" s="21"/>
      <c r="BG1518" s="21"/>
      <c r="BH1518" s="21"/>
      <c r="BI1518" s="21"/>
    </row>
    <row r="1519" spans="1:61" x14ac:dyDescent="0.2">
      <c r="A1519">
        <v>798</v>
      </c>
      <c r="B1519" t="s">
        <v>887</v>
      </c>
      <c r="C1519" t="str">
        <f t="shared" si="172"/>
        <v/>
      </c>
      <c r="D1519" t="str">
        <f t="shared" si="178"/>
        <v/>
      </c>
      <c r="H1519">
        <f t="shared" si="174"/>
        <v>2</v>
      </c>
      <c r="R1519">
        <v>44</v>
      </c>
      <c r="T1519" t="str">
        <f t="shared" si="173"/>
        <v>o</v>
      </c>
      <c r="AM1519" t="str">
        <f t="shared" si="175"/>
        <v>Pass</v>
      </c>
      <c r="AN1519" t="str">
        <f t="shared" si="176"/>
        <v>Pass_Missed</v>
      </c>
      <c r="AP1519" t="str">
        <f t="shared" si="177"/>
        <v>Defensive</v>
      </c>
      <c r="BB1519" s="23"/>
      <c r="BD1519" s="21"/>
      <c r="BE1519" s="21"/>
      <c r="BF1519" s="21"/>
      <c r="BG1519" s="21"/>
      <c r="BH1519" s="21"/>
      <c r="BI1519" s="21"/>
    </row>
    <row r="1520" spans="1:61" x14ac:dyDescent="0.2">
      <c r="A1520">
        <v>799</v>
      </c>
      <c r="B1520" t="s">
        <v>887</v>
      </c>
      <c r="C1520" t="str">
        <f t="shared" si="172"/>
        <v/>
      </c>
      <c r="D1520" t="str">
        <f t="shared" si="178"/>
        <v/>
      </c>
      <c r="H1520">
        <f t="shared" si="174"/>
        <v>2</v>
      </c>
      <c r="I1520" s="5" t="s">
        <v>734</v>
      </c>
      <c r="J1520" s="5" t="s">
        <v>762</v>
      </c>
      <c r="Q1520" t="s">
        <v>620</v>
      </c>
      <c r="S1520">
        <v>1</v>
      </c>
      <c r="T1520" t="str">
        <f t="shared" si="173"/>
        <v>e</v>
      </c>
      <c r="U1520" t="s">
        <v>257</v>
      </c>
      <c r="V1520" t="s">
        <v>201</v>
      </c>
      <c r="W1520" t="s">
        <v>411</v>
      </c>
      <c r="AF1520" t="s">
        <v>623</v>
      </c>
      <c r="AM1520" t="str">
        <f t="shared" si="175"/>
        <v>Zone_Entry_Exit</v>
      </c>
      <c r="AN1520" t="str">
        <f t="shared" si="176"/>
        <v>Zone_Exit</v>
      </c>
      <c r="AP1520" t="str">
        <f t="shared" si="177"/>
        <v>Offensive</v>
      </c>
      <c r="BB1520" s="23"/>
      <c r="BD1520" s="21"/>
      <c r="BE1520" s="21"/>
      <c r="BF1520" s="21"/>
      <c r="BG1520" s="21"/>
      <c r="BH1520" s="21"/>
      <c r="BI1520" s="21"/>
    </row>
    <row r="1521" spans="1:61" x14ac:dyDescent="0.2">
      <c r="A1521">
        <v>800</v>
      </c>
      <c r="B1521" t="s">
        <v>887</v>
      </c>
      <c r="C1521" t="str">
        <f t="shared" si="172"/>
        <v/>
      </c>
      <c r="D1521" t="str">
        <f t="shared" si="178"/>
        <v/>
      </c>
      <c r="H1521">
        <f t="shared" si="174"/>
        <v>2</v>
      </c>
      <c r="I1521" s="5" t="s">
        <v>734</v>
      </c>
      <c r="J1521" s="5" t="s">
        <v>640</v>
      </c>
      <c r="Q1521" t="s">
        <v>619</v>
      </c>
      <c r="R1521">
        <v>44</v>
      </c>
      <c r="S1521">
        <v>1</v>
      </c>
      <c r="T1521" t="str">
        <f t="shared" si="173"/>
        <v>e</v>
      </c>
      <c r="U1521" t="s">
        <v>15</v>
      </c>
      <c r="V1521" t="s">
        <v>698</v>
      </c>
      <c r="X1521" t="s">
        <v>705</v>
      </c>
      <c r="Y1521" t="s">
        <v>756</v>
      </c>
      <c r="AA1521" t="s">
        <v>705</v>
      </c>
      <c r="AF1521" t="s">
        <v>635</v>
      </c>
      <c r="AM1521" t="str">
        <f t="shared" si="175"/>
        <v>Possession</v>
      </c>
      <c r="AN1521" t="str">
        <f t="shared" si="176"/>
        <v>PuckRecovery</v>
      </c>
      <c r="AP1521" t="str">
        <f t="shared" si="177"/>
        <v>Offensive</v>
      </c>
      <c r="BB1521" s="23"/>
      <c r="BD1521" s="21"/>
      <c r="BE1521" s="21"/>
      <c r="BF1521" s="21"/>
      <c r="BG1521" s="21"/>
      <c r="BH1521" s="21"/>
      <c r="BI1521" s="21"/>
    </row>
    <row r="1522" spans="1:61" x14ac:dyDescent="0.2">
      <c r="A1522">
        <v>801</v>
      </c>
      <c r="B1522" t="s">
        <v>887</v>
      </c>
      <c r="C1522" t="str">
        <f t="shared" si="172"/>
        <v/>
      </c>
      <c r="D1522" t="str">
        <f t="shared" si="178"/>
        <v/>
      </c>
      <c r="H1522">
        <f t="shared" si="174"/>
        <v>2</v>
      </c>
      <c r="I1522" s="5" t="s">
        <v>734</v>
      </c>
      <c r="J1522" s="5" t="s">
        <v>640</v>
      </c>
      <c r="K1522" s="5" t="s">
        <v>734</v>
      </c>
      <c r="L1522" s="7" t="s">
        <v>672</v>
      </c>
      <c r="Q1522" t="s">
        <v>619</v>
      </c>
      <c r="R1522">
        <v>44</v>
      </c>
      <c r="S1522">
        <v>1</v>
      </c>
      <c r="T1522" t="str">
        <f t="shared" si="173"/>
        <v>e</v>
      </c>
      <c r="U1522" t="s">
        <v>15</v>
      </c>
      <c r="V1522" t="s">
        <v>684</v>
      </c>
      <c r="AF1522" t="s">
        <v>635</v>
      </c>
      <c r="AM1522" t="str">
        <f t="shared" si="175"/>
        <v>Possession</v>
      </c>
      <c r="AN1522" t="str">
        <f t="shared" si="176"/>
        <v>Regroup</v>
      </c>
      <c r="AP1522" t="str">
        <f t="shared" si="177"/>
        <v>Offensive</v>
      </c>
      <c r="BB1522" s="23"/>
      <c r="BD1522" s="21"/>
      <c r="BE1522" s="21"/>
      <c r="BF1522" s="21"/>
      <c r="BG1522" s="21"/>
      <c r="BH1522" s="21"/>
      <c r="BI1522" s="21"/>
    </row>
    <row r="1523" spans="1:61" x14ac:dyDescent="0.2">
      <c r="A1523">
        <v>802</v>
      </c>
      <c r="B1523">
        <v>135</v>
      </c>
      <c r="C1523">
        <f t="shared" si="172"/>
        <v>9135</v>
      </c>
      <c r="D1523">
        <f t="shared" si="178"/>
        <v>9135</v>
      </c>
      <c r="H1523">
        <f t="shared" si="174"/>
        <v>2</v>
      </c>
      <c r="I1523" s="5" t="s">
        <v>734</v>
      </c>
      <c r="J1523" s="5" t="s">
        <v>672</v>
      </c>
      <c r="Q1523" t="s">
        <v>619</v>
      </c>
      <c r="R1523">
        <v>44</v>
      </c>
      <c r="S1523">
        <v>1</v>
      </c>
      <c r="T1523" t="str">
        <f t="shared" si="173"/>
        <v>e</v>
      </c>
      <c r="U1523" t="s">
        <v>8</v>
      </c>
      <c r="V1523" t="s">
        <v>199</v>
      </c>
      <c r="W1523" t="s">
        <v>70</v>
      </c>
      <c r="X1523" t="s">
        <v>705</v>
      </c>
      <c r="AF1523" t="s">
        <v>635</v>
      </c>
      <c r="AJ1523">
        <v>1</v>
      </c>
      <c r="AM1523" t="str">
        <f t="shared" si="175"/>
        <v>Pass</v>
      </c>
      <c r="AN1523" t="str">
        <f t="shared" si="176"/>
        <v>Pass_Missed</v>
      </c>
      <c r="AP1523" t="str">
        <f t="shared" si="177"/>
        <v>Offensive</v>
      </c>
      <c r="BB1523" s="23"/>
      <c r="BD1523" s="21"/>
      <c r="BE1523" s="21"/>
      <c r="BF1523" s="21"/>
      <c r="BG1523" s="21"/>
      <c r="BH1523" s="21"/>
      <c r="BI1523" s="21"/>
    </row>
    <row r="1524" spans="1:61" x14ac:dyDescent="0.2">
      <c r="A1524">
        <v>802</v>
      </c>
      <c r="B1524">
        <v>135</v>
      </c>
      <c r="C1524">
        <f t="shared" si="172"/>
        <v>9135</v>
      </c>
      <c r="D1524">
        <f t="shared" si="178"/>
        <v>9135</v>
      </c>
      <c r="H1524">
        <f t="shared" si="174"/>
        <v>2</v>
      </c>
      <c r="R1524">
        <v>77</v>
      </c>
      <c r="S1524">
        <v>1</v>
      </c>
      <c r="T1524" t="str">
        <f t="shared" si="173"/>
        <v>e</v>
      </c>
      <c r="AM1524" t="str">
        <f t="shared" si="175"/>
        <v>Pass</v>
      </c>
      <c r="AN1524" t="str">
        <f t="shared" si="176"/>
        <v>Pass_Missed</v>
      </c>
      <c r="AP1524" t="str">
        <f t="shared" si="177"/>
        <v>Offensive</v>
      </c>
      <c r="BB1524" s="23"/>
      <c r="BD1524" s="21"/>
      <c r="BE1524" s="21"/>
      <c r="BF1524" s="21"/>
      <c r="BG1524" s="21"/>
      <c r="BH1524" s="21"/>
      <c r="BI1524" s="21"/>
    </row>
    <row r="1525" spans="1:61" x14ac:dyDescent="0.2">
      <c r="A1525">
        <v>802</v>
      </c>
      <c r="B1525">
        <v>135</v>
      </c>
      <c r="C1525">
        <f t="shared" si="172"/>
        <v>9135</v>
      </c>
      <c r="D1525">
        <f t="shared" si="178"/>
        <v>9135</v>
      </c>
      <c r="H1525">
        <f t="shared" si="174"/>
        <v>2</v>
      </c>
      <c r="R1525">
        <v>55</v>
      </c>
      <c r="T1525" t="str">
        <f t="shared" si="173"/>
        <v>o</v>
      </c>
      <c r="Y1525" t="s">
        <v>715</v>
      </c>
      <c r="AJ1525">
        <v>1</v>
      </c>
      <c r="AM1525" t="str">
        <f t="shared" si="175"/>
        <v>Pass</v>
      </c>
      <c r="AN1525" t="str">
        <f t="shared" si="176"/>
        <v>Pass_Missed</v>
      </c>
      <c r="AP1525" t="str">
        <f t="shared" si="177"/>
        <v>Defensive</v>
      </c>
      <c r="BB1525" s="23"/>
      <c r="BD1525" s="21"/>
      <c r="BE1525" s="21"/>
      <c r="BF1525" s="21"/>
      <c r="BG1525" s="21"/>
      <c r="BH1525" s="21"/>
      <c r="BI1525" s="21"/>
    </row>
    <row r="1526" spans="1:61" x14ac:dyDescent="0.2">
      <c r="A1526">
        <v>803</v>
      </c>
      <c r="B1526">
        <v>135</v>
      </c>
      <c r="C1526">
        <f t="shared" si="172"/>
        <v>9135</v>
      </c>
      <c r="D1526">
        <f t="shared" si="178"/>
        <v>9135</v>
      </c>
      <c r="H1526">
        <f t="shared" si="174"/>
        <v>2</v>
      </c>
      <c r="I1526" s="5" t="s">
        <v>734</v>
      </c>
      <c r="J1526" s="5" t="s">
        <v>672</v>
      </c>
      <c r="Q1526" t="s">
        <v>619</v>
      </c>
      <c r="R1526">
        <v>44</v>
      </c>
      <c r="S1526">
        <v>1</v>
      </c>
      <c r="T1526" t="str">
        <f>IF(S1526="x","",IF(S1526=1,"e","o"))</f>
        <v>e</v>
      </c>
      <c r="U1526" t="s">
        <v>10</v>
      </c>
      <c r="V1526" t="s">
        <v>190</v>
      </c>
      <c r="W1526" t="s">
        <v>76</v>
      </c>
      <c r="AF1526" t="s">
        <v>635</v>
      </c>
      <c r="AJ1526">
        <v>1</v>
      </c>
      <c r="AM1526" t="str">
        <f t="shared" si="175"/>
        <v>Turnover</v>
      </c>
      <c r="AN1526" t="str">
        <f t="shared" si="176"/>
        <v>Turnover_Giveaway</v>
      </c>
      <c r="AP1526" t="str">
        <f t="shared" si="177"/>
        <v>Offensive</v>
      </c>
      <c r="BB1526" s="23"/>
      <c r="BD1526" s="21"/>
      <c r="BE1526" s="21"/>
      <c r="BF1526" s="21"/>
      <c r="BG1526" s="21"/>
      <c r="BH1526" s="21"/>
      <c r="BI1526" s="21"/>
    </row>
    <row r="1527" spans="1:61" x14ac:dyDescent="0.2">
      <c r="A1527">
        <v>803</v>
      </c>
      <c r="B1527">
        <v>135</v>
      </c>
      <c r="C1527">
        <f t="shared" si="172"/>
        <v>9135</v>
      </c>
      <c r="D1527">
        <f t="shared" si="178"/>
        <v>9135</v>
      </c>
      <c r="H1527">
        <f t="shared" si="174"/>
        <v>2</v>
      </c>
      <c r="R1527">
        <v>77</v>
      </c>
      <c r="S1527">
        <v>1</v>
      </c>
      <c r="T1527" t="str">
        <f>IF(S1527="x","",IF(S1527=1,"e","o"))</f>
        <v>e</v>
      </c>
      <c r="AM1527" t="str">
        <f t="shared" si="175"/>
        <v>Turnover</v>
      </c>
      <c r="AN1527" t="str">
        <f t="shared" si="176"/>
        <v>Turnover_Giveaway</v>
      </c>
      <c r="AP1527" t="str">
        <f t="shared" si="177"/>
        <v>Offensive</v>
      </c>
      <c r="BB1527" s="23"/>
      <c r="BD1527" s="21"/>
      <c r="BE1527" s="21"/>
      <c r="BF1527" s="21"/>
      <c r="BG1527" s="21"/>
      <c r="BH1527" s="21"/>
      <c r="BI1527" s="21"/>
    </row>
    <row r="1528" spans="1:61" x14ac:dyDescent="0.2">
      <c r="A1528">
        <v>803</v>
      </c>
      <c r="B1528">
        <v>135</v>
      </c>
      <c r="C1528">
        <f t="shared" si="172"/>
        <v>9135</v>
      </c>
      <c r="D1528">
        <f t="shared" si="178"/>
        <v>9135</v>
      </c>
      <c r="H1528">
        <f t="shared" si="174"/>
        <v>2</v>
      </c>
      <c r="R1528">
        <v>55</v>
      </c>
      <c r="T1528" t="str">
        <f>IF(S1528="x","",IF(S1528=1,"e","o"))</f>
        <v>o</v>
      </c>
      <c r="Y1528" t="s">
        <v>715</v>
      </c>
      <c r="AJ1528">
        <v>1</v>
      </c>
      <c r="AM1528" t="str">
        <f t="shared" si="175"/>
        <v>Turnover</v>
      </c>
      <c r="AN1528" t="str">
        <f t="shared" si="176"/>
        <v>Turnover_Giveaway</v>
      </c>
      <c r="AP1528" t="str">
        <f t="shared" si="177"/>
        <v>Defensive</v>
      </c>
      <c r="BB1528" s="23"/>
      <c r="BD1528" s="21"/>
      <c r="BE1528" s="21"/>
      <c r="BF1528" s="21"/>
      <c r="BG1528" s="21"/>
      <c r="BH1528" s="21"/>
      <c r="BI1528" s="21"/>
    </row>
    <row r="1529" spans="1:61" x14ac:dyDescent="0.2">
      <c r="A1529">
        <v>804</v>
      </c>
      <c r="B1529" t="s">
        <v>887</v>
      </c>
      <c r="C1529" t="str">
        <f t="shared" si="172"/>
        <v/>
      </c>
      <c r="D1529" t="str">
        <f t="shared" si="178"/>
        <v/>
      </c>
      <c r="H1529">
        <f t="shared" si="174"/>
        <v>2</v>
      </c>
      <c r="I1529" s="5" t="s">
        <v>734</v>
      </c>
      <c r="J1529" s="5" t="s">
        <v>672</v>
      </c>
      <c r="Q1529" t="s">
        <v>619</v>
      </c>
      <c r="R1529">
        <v>44</v>
      </c>
      <c r="S1529">
        <v>1</v>
      </c>
      <c r="T1529" t="str">
        <f t="shared" si="173"/>
        <v>e</v>
      </c>
      <c r="U1529" t="s">
        <v>257</v>
      </c>
      <c r="V1529" t="s">
        <v>191</v>
      </c>
      <c r="W1529" t="s">
        <v>423</v>
      </c>
      <c r="X1529" t="s">
        <v>705</v>
      </c>
      <c r="AF1529" t="s">
        <v>635</v>
      </c>
      <c r="AM1529" t="str">
        <f t="shared" si="175"/>
        <v>Zone_Entry_Exit</v>
      </c>
      <c r="AN1529" t="str">
        <f t="shared" si="176"/>
        <v>Zone_Entry</v>
      </c>
      <c r="AP1529" t="str">
        <f t="shared" si="177"/>
        <v>Offensive</v>
      </c>
      <c r="BB1529" s="23"/>
      <c r="BD1529" s="21"/>
      <c r="BE1529" s="21"/>
      <c r="BF1529" s="21"/>
      <c r="BG1529" s="21"/>
      <c r="BH1529" s="21"/>
      <c r="BI1529" s="21"/>
    </row>
    <row r="1530" spans="1:61" x14ac:dyDescent="0.2">
      <c r="A1530">
        <v>805</v>
      </c>
      <c r="B1530" t="s">
        <v>887</v>
      </c>
      <c r="C1530" t="str">
        <f t="shared" si="172"/>
        <v/>
      </c>
      <c r="D1530" t="str">
        <f t="shared" si="178"/>
        <v/>
      </c>
      <c r="H1530">
        <f t="shared" si="174"/>
        <v>2</v>
      </c>
      <c r="I1530" s="5" t="s">
        <v>734</v>
      </c>
      <c r="J1530" s="5" t="s">
        <v>713</v>
      </c>
      <c r="Q1530" t="s">
        <v>620</v>
      </c>
      <c r="R1530">
        <v>91</v>
      </c>
      <c r="S1530">
        <v>1</v>
      </c>
      <c r="T1530" t="str">
        <f t="shared" si="173"/>
        <v>e</v>
      </c>
      <c r="U1530" t="s">
        <v>15</v>
      </c>
      <c r="V1530" t="s">
        <v>697</v>
      </c>
      <c r="X1530" t="s">
        <v>705</v>
      </c>
      <c r="Y1530" t="s">
        <v>712</v>
      </c>
      <c r="AA1530" t="s">
        <v>706</v>
      </c>
      <c r="AF1530" t="s">
        <v>623</v>
      </c>
      <c r="AM1530" t="str">
        <f t="shared" si="175"/>
        <v>Possession</v>
      </c>
      <c r="AN1530" t="str">
        <f t="shared" si="176"/>
        <v>PuckRetrieval</v>
      </c>
      <c r="AP1530" t="str">
        <f t="shared" si="177"/>
        <v>Offensive</v>
      </c>
      <c r="BB1530" s="23"/>
      <c r="BD1530" s="21"/>
      <c r="BE1530" s="21"/>
      <c r="BF1530" s="21"/>
      <c r="BG1530" s="21"/>
      <c r="BH1530" s="21"/>
      <c r="BI1530" s="21"/>
    </row>
    <row r="1531" spans="1:61" x14ac:dyDescent="0.2">
      <c r="A1531">
        <v>806</v>
      </c>
      <c r="B1531" t="s">
        <v>887</v>
      </c>
      <c r="C1531" t="str">
        <f t="shared" si="172"/>
        <v/>
      </c>
      <c r="D1531" t="str">
        <f t="shared" si="178"/>
        <v/>
      </c>
      <c r="H1531">
        <f t="shared" si="174"/>
        <v>2</v>
      </c>
      <c r="I1531" s="5" t="s">
        <v>734</v>
      </c>
      <c r="J1531" s="5" t="s">
        <v>713</v>
      </c>
      <c r="K1531" s="5" t="s">
        <v>734</v>
      </c>
      <c r="L1531" s="7" t="s">
        <v>790</v>
      </c>
      <c r="Q1531" t="s">
        <v>620</v>
      </c>
      <c r="R1531">
        <v>91</v>
      </c>
      <c r="S1531">
        <v>1</v>
      </c>
      <c r="T1531" t="str">
        <f t="shared" si="173"/>
        <v>e</v>
      </c>
      <c r="U1531" t="s">
        <v>15</v>
      </c>
      <c r="V1531" t="s">
        <v>684</v>
      </c>
      <c r="AF1531" t="s">
        <v>623</v>
      </c>
      <c r="AM1531" t="str">
        <f t="shared" si="175"/>
        <v>Possession</v>
      </c>
      <c r="AN1531" t="str">
        <f t="shared" si="176"/>
        <v>Regroup</v>
      </c>
      <c r="AP1531" t="str">
        <f t="shared" si="177"/>
        <v>Offensive</v>
      </c>
      <c r="BB1531" s="23"/>
      <c r="BD1531" s="21"/>
      <c r="BE1531" s="21"/>
      <c r="BF1531" s="21"/>
      <c r="BG1531" s="21"/>
      <c r="BH1531" s="21"/>
      <c r="BI1531" s="21"/>
    </row>
    <row r="1532" spans="1:61" x14ac:dyDescent="0.2">
      <c r="A1532">
        <v>807</v>
      </c>
      <c r="B1532">
        <v>136</v>
      </c>
      <c r="C1532">
        <f t="shared" si="172"/>
        <v>9136</v>
      </c>
      <c r="D1532">
        <f t="shared" si="178"/>
        <v>9136</v>
      </c>
      <c r="H1532">
        <f t="shared" si="174"/>
        <v>2</v>
      </c>
      <c r="I1532" s="5" t="s">
        <v>734</v>
      </c>
      <c r="J1532" s="5" t="s">
        <v>790</v>
      </c>
      <c r="Q1532" t="s">
        <v>620</v>
      </c>
      <c r="R1532">
        <v>91</v>
      </c>
      <c r="S1532">
        <v>1</v>
      </c>
      <c r="T1532" t="str">
        <f t="shared" si="173"/>
        <v>e</v>
      </c>
      <c r="U1532" t="s">
        <v>8</v>
      </c>
      <c r="V1532" t="s">
        <v>199</v>
      </c>
      <c r="W1532" t="s">
        <v>67</v>
      </c>
      <c r="X1532" t="s">
        <v>705</v>
      </c>
      <c r="Y1532" t="s">
        <v>744</v>
      </c>
      <c r="AF1532" t="s">
        <v>623</v>
      </c>
      <c r="AM1532" t="str">
        <f t="shared" si="175"/>
        <v>Pass</v>
      </c>
      <c r="AN1532" t="str">
        <f t="shared" si="176"/>
        <v>Pass_Missed</v>
      </c>
      <c r="AP1532" t="str">
        <f t="shared" si="177"/>
        <v>Offensive</v>
      </c>
      <c r="BB1532" s="23"/>
      <c r="BD1532" s="21"/>
      <c r="BE1532" s="21"/>
      <c r="BF1532" s="21"/>
      <c r="BG1532" s="21"/>
      <c r="BH1532" s="21"/>
      <c r="BI1532" s="21"/>
    </row>
    <row r="1533" spans="1:61" x14ac:dyDescent="0.2">
      <c r="A1533">
        <v>807</v>
      </c>
      <c r="B1533">
        <v>136</v>
      </c>
      <c r="C1533">
        <f t="shared" si="172"/>
        <v>9136</v>
      </c>
      <c r="D1533">
        <f t="shared" si="178"/>
        <v>9136</v>
      </c>
      <c r="H1533">
        <f t="shared" si="174"/>
        <v>2</v>
      </c>
      <c r="R1533">
        <v>70</v>
      </c>
      <c r="S1533">
        <v>1</v>
      </c>
      <c r="T1533" t="str">
        <f t="shared" si="173"/>
        <v>e</v>
      </c>
      <c r="AM1533" t="str">
        <f t="shared" si="175"/>
        <v>Pass</v>
      </c>
      <c r="AN1533" t="str">
        <f t="shared" si="176"/>
        <v>Pass_Missed</v>
      </c>
      <c r="AP1533" t="str">
        <f t="shared" si="177"/>
        <v>Offensive</v>
      </c>
      <c r="BB1533" s="23"/>
      <c r="BD1533" s="21"/>
      <c r="BE1533" s="21"/>
      <c r="BF1533" s="21"/>
      <c r="BG1533" s="21"/>
      <c r="BH1533" s="21"/>
      <c r="BI1533" s="21"/>
    </row>
    <row r="1534" spans="1:61" x14ac:dyDescent="0.2">
      <c r="A1534">
        <v>808</v>
      </c>
      <c r="B1534">
        <v>136</v>
      </c>
      <c r="C1534">
        <f t="shared" si="172"/>
        <v>9136</v>
      </c>
      <c r="D1534">
        <f t="shared" si="178"/>
        <v>9136</v>
      </c>
      <c r="H1534">
        <f t="shared" si="174"/>
        <v>2</v>
      </c>
      <c r="I1534" s="5" t="s">
        <v>734</v>
      </c>
      <c r="J1534" s="5" t="s">
        <v>790</v>
      </c>
      <c r="Q1534" t="s">
        <v>620</v>
      </c>
      <c r="R1534">
        <v>91</v>
      </c>
      <c r="S1534">
        <v>1</v>
      </c>
      <c r="T1534" t="str">
        <f t="shared" si="173"/>
        <v>e</v>
      </c>
      <c r="U1534" t="s">
        <v>257</v>
      </c>
      <c r="V1534" t="s">
        <v>201</v>
      </c>
      <c r="W1534" t="s">
        <v>91</v>
      </c>
      <c r="X1534" t="s">
        <v>705</v>
      </c>
      <c r="AF1534" t="s">
        <v>623</v>
      </c>
      <c r="AM1534" t="str">
        <f t="shared" si="175"/>
        <v>Zone_Entry_Exit</v>
      </c>
      <c r="AN1534" t="str">
        <f t="shared" si="176"/>
        <v>Zone_Exit</v>
      </c>
      <c r="AP1534" t="str">
        <f t="shared" si="177"/>
        <v>Offensive</v>
      </c>
      <c r="BB1534" s="23"/>
      <c r="BD1534" s="21"/>
      <c r="BE1534" s="21"/>
      <c r="BF1534" s="21"/>
      <c r="BG1534" s="21"/>
      <c r="BH1534" s="21"/>
      <c r="BI1534" s="21"/>
    </row>
    <row r="1535" spans="1:61" x14ac:dyDescent="0.2">
      <c r="A1535">
        <v>808</v>
      </c>
      <c r="B1535">
        <v>136</v>
      </c>
      <c r="C1535">
        <f t="shared" si="172"/>
        <v>9136</v>
      </c>
      <c r="D1535">
        <f t="shared" si="178"/>
        <v>9136</v>
      </c>
      <c r="H1535">
        <f t="shared" si="174"/>
        <v>2</v>
      </c>
      <c r="R1535">
        <v>70</v>
      </c>
      <c r="S1535">
        <v>1</v>
      </c>
      <c r="T1535" t="str">
        <f t="shared" si="173"/>
        <v>e</v>
      </c>
      <c r="AM1535" t="str">
        <f t="shared" si="175"/>
        <v>Zone_Entry_Exit</v>
      </c>
      <c r="AN1535" t="str">
        <f t="shared" si="176"/>
        <v>Zone_Exit</v>
      </c>
      <c r="AP1535" t="str">
        <f t="shared" si="177"/>
        <v>Offensive</v>
      </c>
      <c r="BB1535" s="23"/>
      <c r="BD1535" s="21"/>
      <c r="BE1535" s="21"/>
      <c r="BF1535" s="21"/>
      <c r="BG1535" s="21"/>
      <c r="BH1535" s="21"/>
      <c r="BI1535" s="21"/>
    </row>
    <row r="1536" spans="1:61" x14ac:dyDescent="0.2">
      <c r="A1536">
        <v>809</v>
      </c>
      <c r="B1536">
        <v>136</v>
      </c>
      <c r="C1536">
        <f t="shared" si="172"/>
        <v>9136</v>
      </c>
      <c r="D1536">
        <f t="shared" si="178"/>
        <v>9136</v>
      </c>
      <c r="H1536">
        <f t="shared" si="174"/>
        <v>2</v>
      </c>
      <c r="I1536" s="5" t="s">
        <v>734</v>
      </c>
      <c r="J1536" s="5" t="s">
        <v>790</v>
      </c>
      <c r="Q1536" t="s">
        <v>620</v>
      </c>
      <c r="R1536">
        <v>91</v>
      </c>
      <c r="S1536">
        <v>1</v>
      </c>
      <c r="T1536" t="str">
        <f t="shared" si="173"/>
        <v>e</v>
      </c>
      <c r="U1536" t="s">
        <v>10</v>
      </c>
      <c r="V1536" t="s">
        <v>190</v>
      </c>
      <c r="W1536" t="s">
        <v>76</v>
      </c>
      <c r="AF1536" t="s">
        <v>623</v>
      </c>
      <c r="AM1536" t="str">
        <f t="shared" si="175"/>
        <v>Turnover</v>
      </c>
      <c r="AN1536" t="str">
        <f t="shared" si="176"/>
        <v>Turnover_Giveaway</v>
      </c>
      <c r="AP1536" t="str">
        <f t="shared" si="177"/>
        <v>Offensive</v>
      </c>
      <c r="BB1536" s="23"/>
      <c r="BD1536" s="21"/>
      <c r="BE1536" s="21"/>
      <c r="BF1536" s="21"/>
      <c r="BG1536" s="21"/>
      <c r="BH1536" s="21"/>
      <c r="BI1536" s="21"/>
    </row>
    <row r="1537" spans="1:61" x14ac:dyDescent="0.2">
      <c r="A1537">
        <v>809</v>
      </c>
      <c r="B1537">
        <v>136</v>
      </c>
      <c r="C1537">
        <f t="shared" si="172"/>
        <v>9136</v>
      </c>
      <c r="D1537">
        <f t="shared" si="178"/>
        <v>9136</v>
      </c>
      <c r="H1537">
        <f t="shared" si="174"/>
        <v>2</v>
      </c>
      <c r="R1537">
        <v>70</v>
      </c>
      <c r="S1537">
        <v>1</v>
      </c>
      <c r="T1537" t="str">
        <f t="shared" si="173"/>
        <v>e</v>
      </c>
      <c r="AM1537" t="str">
        <f t="shared" si="175"/>
        <v>Turnover</v>
      </c>
      <c r="AN1537" t="str">
        <f t="shared" si="176"/>
        <v>Turnover_Giveaway</v>
      </c>
      <c r="AP1537" t="str">
        <f t="shared" si="177"/>
        <v>Offensive</v>
      </c>
      <c r="BB1537" s="23"/>
      <c r="BD1537" s="21"/>
      <c r="BE1537" s="21"/>
      <c r="BF1537" s="21"/>
      <c r="BG1537" s="21"/>
      <c r="BH1537" s="21"/>
      <c r="BI1537" s="21"/>
    </row>
    <row r="1538" spans="1:61" x14ac:dyDescent="0.2">
      <c r="A1538">
        <v>810</v>
      </c>
      <c r="B1538" t="s">
        <v>887</v>
      </c>
      <c r="C1538" t="str">
        <f t="shared" si="172"/>
        <v/>
      </c>
      <c r="D1538" t="str">
        <f t="shared" si="178"/>
        <v/>
      </c>
      <c r="H1538">
        <f t="shared" si="174"/>
        <v>2</v>
      </c>
      <c r="I1538" s="5" t="s">
        <v>734</v>
      </c>
      <c r="J1538" s="5" t="s">
        <v>717</v>
      </c>
      <c r="Q1538" t="s">
        <v>619</v>
      </c>
      <c r="R1538">
        <v>77</v>
      </c>
      <c r="S1538">
        <v>1</v>
      </c>
      <c r="T1538" t="str">
        <f t="shared" si="173"/>
        <v>e</v>
      </c>
      <c r="U1538" t="s">
        <v>15</v>
      </c>
      <c r="V1538" t="s">
        <v>697</v>
      </c>
      <c r="X1538" t="s">
        <v>706</v>
      </c>
      <c r="Y1538" t="s">
        <v>725</v>
      </c>
      <c r="AA1538" t="s">
        <v>706</v>
      </c>
      <c r="AF1538" t="s">
        <v>635</v>
      </c>
      <c r="AM1538" t="str">
        <f t="shared" si="175"/>
        <v>Possession</v>
      </c>
      <c r="AN1538" t="str">
        <f t="shared" si="176"/>
        <v>PuckRetrieval</v>
      </c>
      <c r="AP1538" t="str">
        <f t="shared" si="177"/>
        <v>Offensive</v>
      </c>
      <c r="BB1538" s="23"/>
      <c r="BD1538" s="21"/>
      <c r="BE1538" s="21"/>
      <c r="BF1538" s="21"/>
      <c r="BG1538" s="21"/>
      <c r="BH1538" s="21"/>
      <c r="BI1538" s="21"/>
    </row>
    <row r="1539" spans="1:61" x14ac:dyDescent="0.2">
      <c r="A1539">
        <v>811</v>
      </c>
      <c r="B1539" t="s">
        <v>887</v>
      </c>
      <c r="C1539" t="str">
        <f t="shared" si="172"/>
        <v/>
      </c>
      <c r="D1539" t="str">
        <f t="shared" si="178"/>
        <v/>
      </c>
      <c r="H1539">
        <f t="shared" si="174"/>
        <v>2</v>
      </c>
      <c r="I1539" s="5" t="s">
        <v>734</v>
      </c>
      <c r="J1539" s="5" t="s">
        <v>717</v>
      </c>
      <c r="K1539" s="5" t="s">
        <v>734</v>
      </c>
      <c r="L1539" s="7" t="s">
        <v>719</v>
      </c>
      <c r="Q1539" t="s">
        <v>619</v>
      </c>
      <c r="R1539">
        <v>77</v>
      </c>
      <c r="S1539">
        <v>1</v>
      </c>
      <c r="T1539" t="str">
        <f t="shared" ref="T1539:T1602" si="179">IF(S1539="x","",IF(S1539=1,"e","o"))</f>
        <v>e</v>
      </c>
      <c r="U1539" t="s">
        <v>15</v>
      </c>
      <c r="V1539" t="s">
        <v>684</v>
      </c>
      <c r="Y1539" t="s">
        <v>679</v>
      </c>
      <c r="AF1539" t="s">
        <v>635</v>
      </c>
      <c r="AJ1539">
        <v>1</v>
      </c>
      <c r="AM1539" t="str">
        <f t="shared" si="175"/>
        <v>Possession</v>
      </c>
      <c r="AN1539" t="str">
        <f t="shared" si="176"/>
        <v>Regroup</v>
      </c>
      <c r="AP1539" t="str">
        <f t="shared" si="177"/>
        <v>Offensive</v>
      </c>
      <c r="BB1539" s="23"/>
      <c r="BD1539" s="21"/>
      <c r="BE1539" s="21"/>
      <c r="BF1539" s="21"/>
      <c r="BG1539" s="21"/>
      <c r="BH1539" s="21"/>
      <c r="BI1539" s="21"/>
    </row>
    <row r="1540" spans="1:61" x14ac:dyDescent="0.2">
      <c r="A1540">
        <v>811</v>
      </c>
      <c r="B1540" t="s">
        <v>887</v>
      </c>
      <c r="C1540" t="str">
        <f t="shared" ref="C1540:C1603" si="180">IF(B1540&lt;&gt;"",9000+B1540,"")</f>
        <v/>
      </c>
      <c r="D1540" t="str">
        <f t="shared" si="178"/>
        <v/>
      </c>
      <c r="H1540">
        <f t="shared" si="174"/>
        <v>2</v>
      </c>
      <c r="R1540">
        <v>70</v>
      </c>
      <c r="T1540" t="str">
        <f t="shared" si="179"/>
        <v>o</v>
      </c>
      <c r="Y1540" t="s">
        <v>715</v>
      </c>
      <c r="AJ1540">
        <v>1</v>
      </c>
      <c r="AM1540" t="str">
        <f t="shared" si="175"/>
        <v>Possession</v>
      </c>
      <c r="AN1540" t="str">
        <f t="shared" si="176"/>
        <v>Regroup</v>
      </c>
      <c r="AP1540" t="str">
        <f t="shared" si="177"/>
        <v>Defensive</v>
      </c>
      <c r="BB1540" s="23"/>
      <c r="BD1540" s="21"/>
      <c r="BE1540" s="21"/>
      <c r="BF1540" s="21"/>
      <c r="BG1540" s="21"/>
      <c r="BH1540" s="21"/>
      <c r="BI1540" s="21"/>
    </row>
    <row r="1541" spans="1:61" x14ac:dyDescent="0.2">
      <c r="A1541">
        <v>812</v>
      </c>
      <c r="B1541" t="s">
        <v>887</v>
      </c>
      <c r="C1541" t="str">
        <f t="shared" si="180"/>
        <v/>
      </c>
      <c r="D1541" t="str">
        <f t="shared" si="178"/>
        <v/>
      </c>
      <c r="H1541">
        <f t="shared" ref="H1541:H1604" si="181">IF(U1541="Intermission",H1540+1,H1540)</f>
        <v>2</v>
      </c>
      <c r="I1541" s="5" t="s">
        <v>734</v>
      </c>
      <c r="J1541" s="5" t="s">
        <v>719</v>
      </c>
      <c r="Q1541" t="s">
        <v>619</v>
      </c>
      <c r="R1541">
        <v>77</v>
      </c>
      <c r="S1541">
        <v>1</v>
      </c>
      <c r="T1541" t="str">
        <f t="shared" si="179"/>
        <v>e</v>
      </c>
      <c r="U1541" t="s">
        <v>8</v>
      </c>
      <c r="V1541" t="s">
        <v>189</v>
      </c>
      <c r="W1541" t="s">
        <v>71</v>
      </c>
      <c r="X1541" t="s">
        <v>706</v>
      </c>
      <c r="AF1541" t="s">
        <v>635</v>
      </c>
      <c r="AJ1541">
        <v>1</v>
      </c>
      <c r="AM1541" t="str">
        <f t="shared" ref="AM1541:AM1604" si="182">IF(U1541&lt;&gt;"",U1541,IF($A1541=$A1540,AM1540,""))</f>
        <v>Pass</v>
      </c>
      <c r="AN1541" t="str">
        <f t="shared" ref="AN1541:AN1604" si="183">IF(V1541&lt;&gt;"",V1541,IF($A1541=$A1540,AN1540,""))</f>
        <v>Pass_Completed</v>
      </c>
      <c r="AP1541" t="str">
        <f t="shared" si="177"/>
        <v>Offensive</v>
      </c>
      <c r="BB1541" s="23"/>
      <c r="BD1541" s="21"/>
      <c r="BE1541" s="21"/>
      <c r="BF1541" s="21"/>
      <c r="BG1541" s="21"/>
      <c r="BH1541" s="21"/>
      <c r="BI1541" s="21"/>
    </row>
    <row r="1542" spans="1:61" x14ac:dyDescent="0.2">
      <c r="A1542">
        <v>812</v>
      </c>
      <c r="B1542" t="s">
        <v>887</v>
      </c>
      <c r="C1542" t="str">
        <f t="shared" si="180"/>
        <v/>
      </c>
      <c r="D1542" t="str">
        <f t="shared" si="178"/>
        <v/>
      </c>
      <c r="H1542">
        <f t="shared" si="181"/>
        <v>2</v>
      </c>
      <c r="R1542">
        <v>13</v>
      </c>
      <c r="S1542">
        <v>1</v>
      </c>
      <c r="T1542" t="str">
        <f t="shared" si="179"/>
        <v>e</v>
      </c>
      <c r="AM1542" t="str">
        <f t="shared" si="182"/>
        <v>Pass</v>
      </c>
      <c r="AN1542" t="str">
        <f t="shared" si="183"/>
        <v>Pass_Completed</v>
      </c>
      <c r="AP1542" t="str">
        <f t="shared" ref="AP1542:AP1605" si="184">IF(AND(T1542="e",OR(AM1542="Save",AN1542="Turnover_Takeaway",AN1542="Play_Defensive")),"Defensive",IF(AND(T1542="o",OR(AM1542="Save",AN1542="Turnover_Takeaway",AN1542="Play_Defensive")),"Offensive",IF(OR(AM1542="Deadice",AM1542="Stoppage",AM1542="Intermission"),"",IF(T1542="e","Offensive",IF(T1542="o","Defensive","")))))</f>
        <v>Offensive</v>
      </c>
      <c r="BB1542" s="23"/>
      <c r="BD1542" s="21"/>
      <c r="BE1542" s="21"/>
      <c r="BF1542" s="21"/>
      <c r="BG1542" s="21"/>
      <c r="BH1542" s="21"/>
      <c r="BI1542" s="21"/>
    </row>
    <row r="1543" spans="1:61" x14ac:dyDescent="0.2">
      <c r="A1543">
        <v>812</v>
      </c>
      <c r="B1543" t="s">
        <v>887</v>
      </c>
      <c r="C1543" t="str">
        <f t="shared" si="180"/>
        <v/>
      </c>
      <c r="D1543" t="str">
        <f t="shared" si="178"/>
        <v/>
      </c>
      <c r="H1543">
        <f t="shared" si="181"/>
        <v>2</v>
      </c>
      <c r="R1543">
        <v>70</v>
      </c>
      <c r="T1543" t="str">
        <f t="shared" si="179"/>
        <v>o</v>
      </c>
      <c r="AJ1543">
        <v>1</v>
      </c>
      <c r="AM1543" t="str">
        <f t="shared" si="182"/>
        <v>Pass</v>
      </c>
      <c r="AN1543" t="str">
        <f t="shared" si="183"/>
        <v>Pass_Completed</v>
      </c>
      <c r="AP1543" t="str">
        <f t="shared" si="184"/>
        <v>Defensive</v>
      </c>
      <c r="BB1543" s="23"/>
      <c r="BD1543" s="21"/>
      <c r="BE1543" s="21"/>
      <c r="BF1543" s="21"/>
      <c r="BG1543" s="21"/>
      <c r="BH1543" s="21"/>
      <c r="BI1543" s="21"/>
    </row>
    <row r="1544" spans="1:61" x14ac:dyDescent="0.2">
      <c r="A1544">
        <v>813</v>
      </c>
      <c r="B1544" t="s">
        <v>887</v>
      </c>
      <c r="C1544" t="str">
        <f t="shared" si="180"/>
        <v/>
      </c>
      <c r="D1544" t="str">
        <f t="shared" si="178"/>
        <v/>
      </c>
      <c r="H1544">
        <f t="shared" si="181"/>
        <v>2</v>
      </c>
      <c r="I1544" s="5" t="s">
        <v>734</v>
      </c>
      <c r="J1544" s="5" t="s">
        <v>779</v>
      </c>
      <c r="K1544" s="5" t="s">
        <v>734</v>
      </c>
      <c r="L1544" s="7" t="s">
        <v>724</v>
      </c>
      <c r="Q1544" t="s">
        <v>619</v>
      </c>
      <c r="R1544">
        <v>13</v>
      </c>
      <c r="S1544">
        <v>1</v>
      </c>
      <c r="T1544" t="str">
        <f t="shared" si="179"/>
        <v>e</v>
      </c>
      <c r="U1544" t="s">
        <v>15</v>
      </c>
      <c r="AF1544" t="s">
        <v>635</v>
      </c>
      <c r="AM1544" t="str">
        <f t="shared" si="182"/>
        <v>Possession</v>
      </c>
      <c r="AN1544" t="str">
        <f t="shared" si="183"/>
        <v/>
      </c>
      <c r="AP1544" t="str">
        <f t="shared" si="184"/>
        <v>Offensive</v>
      </c>
      <c r="BB1544" s="23"/>
      <c r="BD1544" s="21"/>
      <c r="BE1544" s="21"/>
      <c r="BF1544" s="21"/>
      <c r="BG1544" s="21"/>
      <c r="BH1544" s="21"/>
      <c r="BI1544" s="21"/>
    </row>
    <row r="1545" spans="1:61" x14ac:dyDescent="0.2">
      <c r="A1545">
        <v>814</v>
      </c>
      <c r="B1545" t="s">
        <v>887</v>
      </c>
      <c r="C1545" t="str">
        <f t="shared" si="180"/>
        <v/>
      </c>
      <c r="D1545" t="str">
        <f t="shared" ref="D1545:D1608" si="185">IF(C1545&lt;&gt;"",C1545,B1545)</f>
        <v/>
      </c>
      <c r="H1545">
        <f t="shared" si="181"/>
        <v>2</v>
      </c>
      <c r="I1545" s="5" t="s">
        <v>734</v>
      </c>
      <c r="J1545" s="5" t="s">
        <v>724</v>
      </c>
      <c r="Q1545" t="s">
        <v>619</v>
      </c>
      <c r="R1545">
        <v>13</v>
      </c>
      <c r="S1545">
        <v>1</v>
      </c>
      <c r="T1545" t="str">
        <f t="shared" si="179"/>
        <v>e</v>
      </c>
      <c r="U1545" t="s">
        <v>8</v>
      </c>
      <c r="V1545" t="s">
        <v>189</v>
      </c>
      <c r="W1545" t="s">
        <v>70</v>
      </c>
      <c r="X1545" t="s">
        <v>706</v>
      </c>
      <c r="AF1545" t="s">
        <v>635</v>
      </c>
      <c r="AM1545" t="str">
        <f t="shared" si="182"/>
        <v>Pass</v>
      </c>
      <c r="AN1545" t="str">
        <f t="shared" si="183"/>
        <v>Pass_Completed</v>
      </c>
      <c r="AP1545" t="str">
        <f t="shared" si="184"/>
        <v>Offensive</v>
      </c>
      <c r="BB1545" s="23"/>
      <c r="BD1545" s="21"/>
      <c r="BE1545" s="21"/>
      <c r="BF1545" s="21"/>
      <c r="BG1545" s="21"/>
      <c r="BH1545" s="21"/>
      <c r="BI1545" s="21"/>
    </row>
    <row r="1546" spans="1:61" x14ac:dyDescent="0.2">
      <c r="A1546">
        <v>814</v>
      </c>
      <c r="B1546" t="s">
        <v>887</v>
      </c>
      <c r="C1546" t="str">
        <f t="shared" si="180"/>
        <v/>
      </c>
      <c r="D1546" t="str">
        <f t="shared" si="185"/>
        <v/>
      </c>
      <c r="H1546">
        <f t="shared" si="181"/>
        <v>2</v>
      </c>
      <c r="R1546">
        <v>68</v>
      </c>
      <c r="S1546">
        <v>1</v>
      </c>
      <c r="T1546" t="str">
        <f t="shared" si="179"/>
        <v>e</v>
      </c>
      <c r="AM1546" t="str">
        <f t="shared" si="182"/>
        <v>Pass</v>
      </c>
      <c r="AN1546" t="str">
        <f t="shared" si="183"/>
        <v>Pass_Completed</v>
      </c>
      <c r="AP1546" t="str">
        <f t="shared" si="184"/>
        <v>Offensive</v>
      </c>
      <c r="BB1546" s="23"/>
      <c r="BD1546" s="21"/>
      <c r="BE1546" s="21"/>
      <c r="BF1546" s="21"/>
      <c r="BG1546" s="21"/>
      <c r="BH1546" s="21"/>
      <c r="BI1546" s="21"/>
    </row>
    <row r="1547" spans="1:61" x14ac:dyDescent="0.2">
      <c r="A1547">
        <v>815</v>
      </c>
      <c r="B1547" t="s">
        <v>887</v>
      </c>
      <c r="C1547" t="str">
        <f t="shared" si="180"/>
        <v/>
      </c>
      <c r="D1547" t="str">
        <f t="shared" si="185"/>
        <v/>
      </c>
      <c r="H1547">
        <f t="shared" si="181"/>
        <v>2</v>
      </c>
      <c r="I1547" s="5" t="s">
        <v>734</v>
      </c>
      <c r="J1547" s="5" t="s">
        <v>724</v>
      </c>
      <c r="Q1547" t="s">
        <v>619</v>
      </c>
      <c r="R1547">
        <v>13</v>
      </c>
      <c r="S1547">
        <v>1</v>
      </c>
      <c r="T1547" t="str">
        <f t="shared" si="179"/>
        <v>e</v>
      </c>
      <c r="U1547" t="s">
        <v>257</v>
      </c>
      <c r="V1547" t="s">
        <v>191</v>
      </c>
      <c r="W1547" t="s">
        <v>88</v>
      </c>
      <c r="X1547" t="s">
        <v>706</v>
      </c>
      <c r="AF1547" t="s">
        <v>635</v>
      </c>
      <c r="AM1547" t="str">
        <f t="shared" si="182"/>
        <v>Zone_Entry_Exit</v>
      </c>
      <c r="AN1547" t="str">
        <f t="shared" si="183"/>
        <v>Zone_Entry</v>
      </c>
      <c r="AP1547" t="str">
        <f t="shared" si="184"/>
        <v>Offensive</v>
      </c>
      <c r="BB1547" s="23"/>
      <c r="BD1547" s="21"/>
      <c r="BE1547" s="21"/>
      <c r="BF1547" s="21"/>
      <c r="BG1547" s="21"/>
      <c r="BH1547" s="21"/>
      <c r="BI1547" s="21"/>
    </row>
    <row r="1548" spans="1:61" x14ac:dyDescent="0.2">
      <c r="A1548">
        <v>815</v>
      </c>
      <c r="B1548" t="s">
        <v>887</v>
      </c>
      <c r="C1548" t="str">
        <f t="shared" si="180"/>
        <v/>
      </c>
      <c r="D1548" t="str">
        <f t="shared" si="185"/>
        <v/>
      </c>
      <c r="H1548">
        <f t="shared" si="181"/>
        <v>2</v>
      </c>
      <c r="R1548">
        <v>68</v>
      </c>
      <c r="S1548">
        <v>1</v>
      </c>
      <c r="T1548" t="str">
        <f t="shared" si="179"/>
        <v>e</v>
      </c>
      <c r="AM1548" t="str">
        <f t="shared" si="182"/>
        <v>Zone_Entry_Exit</v>
      </c>
      <c r="AN1548" t="str">
        <f t="shared" si="183"/>
        <v>Zone_Entry</v>
      </c>
      <c r="AP1548" t="str">
        <f t="shared" si="184"/>
        <v>Offensive</v>
      </c>
      <c r="BB1548" s="23"/>
      <c r="BD1548" s="21"/>
      <c r="BE1548" s="21"/>
      <c r="BF1548" s="21"/>
      <c r="BG1548" s="21"/>
      <c r="BH1548" s="21"/>
      <c r="BI1548" s="21"/>
    </row>
    <row r="1549" spans="1:61" x14ac:dyDescent="0.2">
      <c r="A1549">
        <v>816</v>
      </c>
      <c r="B1549" t="s">
        <v>887</v>
      </c>
      <c r="C1549" t="str">
        <f t="shared" si="180"/>
        <v/>
      </c>
      <c r="D1549" t="str">
        <f t="shared" si="185"/>
        <v/>
      </c>
      <c r="H1549">
        <f t="shared" si="181"/>
        <v>2</v>
      </c>
      <c r="I1549" s="5" t="s">
        <v>734</v>
      </c>
      <c r="J1549" s="5" t="s">
        <v>724</v>
      </c>
      <c r="K1549" s="5" t="s">
        <v>734</v>
      </c>
      <c r="L1549" s="7" t="s">
        <v>759</v>
      </c>
      <c r="Q1549" t="s">
        <v>619</v>
      </c>
      <c r="R1549">
        <v>68</v>
      </c>
      <c r="S1549">
        <v>1</v>
      </c>
      <c r="T1549" t="str">
        <f t="shared" si="179"/>
        <v>e</v>
      </c>
      <c r="U1549" t="s">
        <v>15</v>
      </c>
      <c r="Y1549" t="s">
        <v>809</v>
      </c>
      <c r="AF1549" t="s">
        <v>401</v>
      </c>
      <c r="AJ1549">
        <v>1</v>
      </c>
      <c r="AM1549" t="str">
        <f t="shared" si="182"/>
        <v>Possession</v>
      </c>
      <c r="AN1549" t="str">
        <f t="shared" si="183"/>
        <v/>
      </c>
      <c r="AP1549" t="str">
        <f t="shared" si="184"/>
        <v>Offensive</v>
      </c>
      <c r="BB1549" s="23"/>
      <c r="BD1549" s="21"/>
      <c r="BE1549" s="21"/>
      <c r="BF1549" s="21"/>
      <c r="BG1549" s="21"/>
      <c r="BH1549" s="21"/>
      <c r="BI1549" s="21"/>
    </row>
    <row r="1550" spans="1:61" x14ac:dyDescent="0.2">
      <c r="A1550">
        <v>816</v>
      </c>
      <c r="B1550" t="s">
        <v>887</v>
      </c>
      <c r="C1550" t="str">
        <f t="shared" si="180"/>
        <v/>
      </c>
      <c r="D1550" t="str">
        <f t="shared" si="185"/>
        <v/>
      </c>
      <c r="H1550">
        <f t="shared" si="181"/>
        <v>2</v>
      </c>
      <c r="R1550">
        <v>55</v>
      </c>
      <c r="T1550" t="str">
        <f t="shared" si="179"/>
        <v>o</v>
      </c>
      <c r="Y1550" t="s">
        <v>715</v>
      </c>
      <c r="AJ1550">
        <v>1</v>
      </c>
      <c r="AM1550" t="str">
        <f t="shared" si="182"/>
        <v>Possession</v>
      </c>
      <c r="AN1550" t="str">
        <f t="shared" si="183"/>
        <v/>
      </c>
      <c r="AP1550" t="str">
        <f t="shared" si="184"/>
        <v>Defensive</v>
      </c>
      <c r="BB1550" s="23"/>
      <c r="BD1550" s="21"/>
      <c r="BE1550" s="21"/>
      <c r="BF1550" s="21"/>
      <c r="BG1550" s="21"/>
      <c r="BH1550" s="21"/>
      <c r="BI1550" s="21"/>
    </row>
    <row r="1551" spans="1:61" x14ac:dyDescent="0.2">
      <c r="A1551">
        <v>816</v>
      </c>
      <c r="B1551" t="s">
        <v>887</v>
      </c>
      <c r="C1551" t="str">
        <f t="shared" si="180"/>
        <v/>
      </c>
      <c r="D1551" t="str">
        <f t="shared" si="185"/>
        <v/>
      </c>
      <c r="H1551">
        <f t="shared" si="181"/>
        <v>2</v>
      </c>
      <c r="R1551">
        <v>91</v>
      </c>
      <c r="T1551" t="str">
        <f t="shared" si="179"/>
        <v>o</v>
      </c>
      <c r="Y1551" t="s">
        <v>729</v>
      </c>
      <c r="AJ1551">
        <v>1</v>
      </c>
      <c r="AM1551" t="str">
        <f t="shared" si="182"/>
        <v>Possession</v>
      </c>
      <c r="AN1551" t="str">
        <f t="shared" si="183"/>
        <v/>
      </c>
      <c r="AP1551" t="str">
        <f t="shared" si="184"/>
        <v>Defensive</v>
      </c>
      <c r="BB1551" s="23"/>
      <c r="BD1551" s="21"/>
      <c r="BE1551" s="21"/>
      <c r="BF1551" s="21"/>
      <c r="BG1551" s="21"/>
      <c r="BH1551" s="21"/>
      <c r="BI1551" s="21"/>
    </row>
    <row r="1552" spans="1:61" x14ac:dyDescent="0.2">
      <c r="A1552">
        <v>817</v>
      </c>
      <c r="B1552" t="s">
        <v>887</v>
      </c>
      <c r="C1552" t="str">
        <f t="shared" si="180"/>
        <v/>
      </c>
      <c r="D1552" t="str">
        <f t="shared" si="185"/>
        <v/>
      </c>
      <c r="H1552">
        <f t="shared" si="181"/>
        <v>2</v>
      </c>
      <c r="I1552" s="5" t="s">
        <v>734</v>
      </c>
      <c r="J1552" s="5" t="s">
        <v>727</v>
      </c>
      <c r="Q1552" t="s">
        <v>619</v>
      </c>
      <c r="R1552">
        <v>68</v>
      </c>
      <c r="S1552">
        <v>1</v>
      </c>
      <c r="T1552" t="str">
        <f t="shared" si="179"/>
        <v>e</v>
      </c>
      <c r="U1552" t="s">
        <v>8</v>
      </c>
      <c r="V1552" t="s">
        <v>189</v>
      </c>
      <c r="W1552" t="s">
        <v>69</v>
      </c>
      <c r="X1552" t="s">
        <v>706</v>
      </c>
      <c r="AF1552" t="s">
        <v>401</v>
      </c>
      <c r="AM1552" t="str">
        <f t="shared" si="182"/>
        <v>Pass</v>
      </c>
      <c r="AN1552" t="str">
        <f t="shared" si="183"/>
        <v>Pass_Completed</v>
      </c>
      <c r="AP1552" t="str">
        <f t="shared" si="184"/>
        <v>Offensive</v>
      </c>
      <c r="BB1552" s="23"/>
      <c r="BD1552" s="21"/>
      <c r="BE1552" s="21"/>
      <c r="BF1552" s="21"/>
      <c r="BG1552" s="21"/>
      <c r="BH1552" s="21"/>
      <c r="BI1552" s="21"/>
    </row>
    <row r="1553" spans="1:61" x14ac:dyDescent="0.2">
      <c r="A1553">
        <v>817</v>
      </c>
      <c r="B1553" t="s">
        <v>887</v>
      </c>
      <c r="C1553" t="str">
        <f t="shared" si="180"/>
        <v/>
      </c>
      <c r="D1553" t="str">
        <f t="shared" si="185"/>
        <v/>
      </c>
      <c r="H1553">
        <f t="shared" si="181"/>
        <v>2</v>
      </c>
      <c r="R1553">
        <v>13</v>
      </c>
      <c r="S1553">
        <v>1</v>
      </c>
      <c r="T1553" t="str">
        <f t="shared" si="179"/>
        <v>e</v>
      </c>
      <c r="AM1553" t="str">
        <f t="shared" si="182"/>
        <v>Pass</v>
      </c>
      <c r="AN1553" t="str">
        <f t="shared" si="183"/>
        <v>Pass_Completed</v>
      </c>
      <c r="AP1553" t="str">
        <f t="shared" si="184"/>
        <v>Offensive</v>
      </c>
      <c r="BB1553" s="23"/>
      <c r="BD1553" s="21"/>
      <c r="BE1553" s="21"/>
      <c r="BF1553" s="21"/>
      <c r="BG1553" s="21"/>
      <c r="BH1553" s="21"/>
      <c r="BI1553" s="21"/>
    </row>
    <row r="1554" spans="1:61" x14ac:dyDescent="0.2">
      <c r="A1554">
        <v>818</v>
      </c>
      <c r="B1554" t="s">
        <v>887</v>
      </c>
      <c r="C1554" t="str">
        <f t="shared" si="180"/>
        <v/>
      </c>
      <c r="D1554" t="str">
        <f t="shared" si="185"/>
        <v/>
      </c>
      <c r="H1554">
        <f t="shared" si="181"/>
        <v>2</v>
      </c>
      <c r="I1554" s="5" t="s">
        <v>734</v>
      </c>
      <c r="J1554" s="5" t="s">
        <v>727</v>
      </c>
      <c r="K1554" s="5" t="s">
        <v>734</v>
      </c>
      <c r="L1554" s="7" t="s">
        <v>766</v>
      </c>
      <c r="Q1554" t="s">
        <v>619</v>
      </c>
      <c r="R1554">
        <v>13</v>
      </c>
      <c r="S1554">
        <v>1</v>
      </c>
      <c r="T1554" t="str">
        <f t="shared" si="179"/>
        <v>e</v>
      </c>
      <c r="U1554" t="s">
        <v>15</v>
      </c>
      <c r="AF1554" t="s">
        <v>401</v>
      </c>
      <c r="AM1554" t="str">
        <f t="shared" si="182"/>
        <v>Possession</v>
      </c>
      <c r="AN1554" t="str">
        <f t="shared" si="183"/>
        <v/>
      </c>
      <c r="AP1554" t="str">
        <f t="shared" si="184"/>
        <v>Offensive</v>
      </c>
      <c r="BB1554" s="23"/>
      <c r="BD1554" s="21"/>
      <c r="BE1554" s="21"/>
      <c r="BF1554" s="21"/>
      <c r="BG1554" s="21"/>
      <c r="BH1554" s="21"/>
      <c r="BI1554" s="21"/>
    </row>
    <row r="1555" spans="1:61" x14ac:dyDescent="0.2">
      <c r="A1555">
        <v>819</v>
      </c>
      <c r="B1555" t="s">
        <v>887</v>
      </c>
      <c r="C1555" t="str">
        <f t="shared" si="180"/>
        <v/>
      </c>
      <c r="D1555" t="str">
        <f t="shared" si="185"/>
        <v/>
      </c>
      <c r="H1555">
        <f t="shared" si="181"/>
        <v>2</v>
      </c>
      <c r="I1555" s="5" t="s">
        <v>734</v>
      </c>
      <c r="J1555" s="5" t="s">
        <v>766</v>
      </c>
      <c r="Q1555" t="s">
        <v>619</v>
      </c>
      <c r="R1555">
        <v>13</v>
      </c>
      <c r="S1555">
        <v>1</v>
      </c>
      <c r="T1555" t="str">
        <f t="shared" si="179"/>
        <v>e</v>
      </c>
      <c r="U1555" t="s">
        <v>8</v>
      </c>
      <c r="V1555" t="s">
        <v>189</v>
      </c>
      <c r="W1555" t="s">
        <v>69</v>
      </c>
      <c r="X1555" t="s">
        <v>706</v>
      </c>
      <c r="AF1555" t="s">
        <v>401</v>
      </c>
      <c r="AM1555" t="str">
        <f t="shared" si="182"/>
        <v>Pass</v>
      </c>
      <c r="AN1555" t="str">
        <f t="shared" si="183"/>
        <v>Pass_Completed</v>
      </c>
      <c r="AP1555" t="str">
        <f t="shared" si="184"/>
        <v>Offensive</v>
      </c>
      <c r="BB1555" s="23"/>
      <c r="BD1555" s="21"/>
      <c r="BE1555" s="21"/>
      <c r="BF1555" s="21"/>
      <c r="BG1555" s="21"/>
      <c r="BH1555" s="21"/>
      <c r="BI1555" s="21"/>
    </row>
    <row r="1556" spans="1:61" x14ac:dyDescent="0.2">
      <c r="A1556">
        <v>819</v>
      </c>
      <c r="B1556" t="s">
        <v>887</v>
      </c>
      <c r="C1556" t="str">
        <f t="shared" si="180"/>
        <v/>
      </c>
      <c r="D1556" t="str">
        <f t="shared" si="185"/>
        <v/>
      </c>
      <c r="H1556">
        <f t="shared" si="181"/>
        <v>2</v>
      </c>
      <c r="R1556">
        <v>77</v>
      </c>
      <c r="S1556">
        <v>1</v>
      </c>
      <c r="T1556" t="str">
        <f t="shared" si="179"/>
        <v>e</v>
      </c>
      <c r="Y1556" t="s">
        <v>770</v>
      </c>
      <c r="AJ1556">
        <v>1</v>
      </c>
      <c r="AM1556" t="str">
        <f t="shared" si="182"/>
        <v>Pass</v>
      </c>
      <c r="AN1556" t="str">
        <f t="shared" si="183"/>
        <v>Pass_Completed</v>
      </c>
      <c r="AP1556" t="str">
        <f t="shared" si="184"/>
        <v>Offensive</v>
      </c>
      <c r="BB1556" s="23"/>
      <c r="BD1556" s="21"/>
      <c r="BE1556" s="21"/>
      <c r="BF1556" s="21"/>
      <c r="BG1556" s="21"/>
      <c r="BH1556" s="21"/>
      <c r="BI1556" s="21"/>
    </row>
    <row r="1557" spans="1:61" x14ac:dyDescent="0.2">
      <c r="A1557">
        <v>819</v>
      </c>
      <c r="B1557" t="s">
        <v>887</v>
      </c>
      <c r="C1557" t="str">
        <f t="shared" si="180"/>
        <v/>
      </c>
      <c r="D1557" t="str">
        <f t="shared" si="185"/>
        <v/>
      </c>
      <c r="H1557">
        <f t="shared" si="181"/>
        <v>2</v>
      </c>
      <c r="R1557">
        <v>84</v>
      </c>
      <c r="T1557" t="str">
        <f t="shared" si="179"/>
        <v>o</v>
      </c>
      <c r="Y1557" t="s">
        <v>806</v>
      </c>
      <c r="AJ1557">
        <v>1</v>
      </c>
      <c r="AM1557" t="str">
        <f t="shared" si="182"/>
        <v>Pass</v>
      </c>
      <c r="AN1557" t="str">
        <f t="shared" si="183"/>
        <v>Pass_Completed</v>
      </c>
      <c r="AP1557" t="str">
        <f t="shared" si="184"/>
        <v>Defensive</v>
      </c>
      <c r="BB1557" s="23"/>
      <c r="BD1557" s="21"/>
      <c r="BE1557" s="21"/>
      <c r="BF1557" s="21"/>
      <c r="BG1557" s="21"/>
      <c r="BH1557" s="21"/>
      <c r="BI1557" s="21"/>
    </row>
    <row r="1558" spans="1:61" x14ac:dyDescent="0.2">
      <c r="A1558">
        <v>820</v>
      </c>
      <c r="B1558">
        <v>137</v>
      </c>
      <c r="C1558">
        <f t="shared" si="180"/>
        <v>9137</v>
      </c>
      <c r="D1558">
        <f t="shared" si="185"/>
        <v>9137</v>
      </c>
      <c r="H1558">
        <f t="shared" si="181"/>
        <v>2</v>
      </c>
      <c r="I1558" s="5" t="s">
        <v>734</v>
      </c>
      <c r="J1558" s="5" t="s">
        <v>730</v>
      </c>
      <c r="Q1558" t="s">
        <v>619</v>
      </c>
      <c r="R1558">
        <v>77</v>
      </c>
      <c r="S1558">
        <v>1</v>
      </c>
      <c r="T1558" t="str">
        <f t="shared" si="179"/>
        <v>e</v>
      </c>
      <c r="U1558" t="s">
        <v>7</v>
      </c>
      <c r="V1558" t="s">
        <v>222</v>
      </c>
      <c r="W1558" t="s">
        <v>55</v>
      </c>
      <c r="X1558" t="s">
        <v>706</v>
      </c>
      <c r="AF1558" t="s">
        <v>401</v>
      </c>
      <c r="AJ1558">
        <v>1</v>
      </c>
      <c r="AM1558" t="str">
        <f t="shared" si="182"/>
        <v>Shot</v>
      </c>
      <c r="AN1558" t="str">
        <f t="shared" si="183"/>
        <v>Shot_OnNetSaved</v>
      </c>
      <c r="AP1558" t="str">
        <f t="shared" si="184"/>
        <v>Offensive</v>
      </c>
      <c r="BB1558" s="23"/>
      <c r="BD1558" s="21"/>
      <c r="BE1558" s="21"/>
      <c r="BF1558" s="21"/>
      <c r="BG1558" s="21"/>
      <c r="BH1558" s="21"/>
      <c r="BI1558" s="21"/>
    </row>
    <row r="1559" spans="1:61" x14ac:dyDescent="0.2">
      <c r="A1559">
        <v>820</v>
      </c>
      <c r="B1559">
        <v>137</v>
      </c>
      <c r="C1559">
        <f t="shared" si="180"/>
        <v>9137</v>
      </c>
      <c r="D1559">
        <f t="shared" si="185"/>
        <v>9137</v>
      </c>
      <c r="H1559">
        <f t="shared" si="181"/>
        <v>2</v>
      </c>
      <c r="R1559">
        <v>39</v>
      </c>
      <c r="T1559" t="str">
        <f t="shared" si="179"/>
        <v>o</v>
      </c>
      <c r="AM1559" t="str">
        <f t="shared" si="182"/>
        <v>Shot</v>
      </c>
      <c r="AN1559" t="str">
        <f t="shared" si="183"/>
        <v>Shot_OnNetSaved</v>
      </c>
      <c r="AP1559" t="str">
        <f t="shared" si="184"/>
        <v>Defensive</v>
      </c>
      <c r="BB1559" s="23"/>
      <c r="BD1559" s="21"/>
      <c r="BE1559" s="21"/>
      <c r="BF1559" s="21"/>
      <c r="BG1559" s="21"/>
      <c r="BH1559" s="21"/>
      <c r="BI1559" s="21"/>
    </row>
    <row r="1560" spans="1:61" x14ac:dyDescent="0.2">
      <c r="A1560">
        <v>820</v>
      </c>
      <c r="B1560">
        <v>137</v>
      </c>
      <c r="C1560">
        <f t="shared" si="180"/>
        <v>9137</v>
      </c>
      <c r="D1560">
        <f t="shared" si="185"/>
        <v>9137</v>
      </c>
      <c r="H1560">
        <f t="shared" si="181"/>
        <v>2</v>
      </c>
      <c r="R1560">
        <v>84</v>
      </c>
      <c r="T1560" t="str">
        <f t="shared" si="179"/>
        <v>o</v>
      </c>
      <c r="Y1560" t="s">
        <v>832</v>
      </c>
      <c r="Z1560" t="s">
        <v>806</v>
      </c>
      <c r="AJ1560">
        <v>1</v>
      </c>
      <c r="AM1560" t="str">
        <f t="shared" si="182"/>
        <v>Shot</v>
      </c>
      <c r="AN1560" t="str">
        <f t="shared" si="183"/>
        <v>Shot_OnNetSaved</v>
      </c>
      <c r="AP1560" t="str">
        <f t="shared" si="184"/>
        <v>Defensive</v>
      </c>
      <c r="BB1560" s="23"/>
      <c r="BD1560" s="21"/>
      <c r="BE1560" s="21"/>
      <c r="BF1560" s="21"/>
      <c r="BG1560" s="21"/>
      <c r="BH1560" s="21"/>
      <c r="BI1560" s="21"/>
    </row>
    <row r="1561" spans="1:61" x14ac:dyDescent="0.2">
      <c r="A1561">
        <v>821</v>
      </c>
      <c r="B1561">
        <v>137</v>
      </c>
      <c r="C1561">
        <f t="shared" si="180"/>
        <v>9137</v>
      </c>
      <c r="D1561">
        <f t="shared" si="185"/>
        <v>9137</v>
      </c>
      <c r="H1561">
        <f t="shared" si="181"/>
        <v>2</v>
      </c>
      <c r="I1561" s="5" t="s">
        <v>734</v>
      </c>
      <c r="J1561" s="5" t="s">
        <v>730</v>
      </c>
      <c r="Q1561" t="s">
        <v>620</v>
      </c>
      <c r="R1561">
        <v>39</v>
      </c>
      <c r="S1561">
        <v>1</v>
      </c>
      <c r="T1561" t="str">
        <f t="shared" si="179"/>
        <v>e</v>
      </c>
      <c r="U1561" t="s">
        <v>17</v>
      </c>
      <c r="V1561" t="s">
        <v>206</v>
      </c>
      <c r="W1561" t="s">
        <v>96</v>
      </c>
      <c r="AF1561" t="s">
        <v>623</v>
      </c>
      <c r="AM1561" t="str">
        <f t="shared" si="182"/>
        <v>Save</v>
      </c>
      <c r="AN1561" t="str">
        <f t="shared" si="183"/>
        <v>Save_Freeze</v>
      </c>
      <c r="AP1561" t="str">
        <f t="shared" si="184"/>
        <v>Defensive</v>
      </c>
      <c r="BB1561" s="23"/>
      <c r="BD1561" s="21"/>
      <c r="BE1561" s="21"/>
      <c r="BF1561" s="21"/>
      <c r="BG1561" s="21"/>
      <c r="BH1561" s="21"/>
      <c r="BI1561" s="21"/>
    </row>
    <row r="1562" spans="1:61" x14ac:dyDescent="0.2">
      <c r="A1562">
        <v>821</v>
      </c>
      <c r="B1562">
        <v>137</v>
      </c>
      <c r="C1562">
        <f t="shared" si="180"/>
        <v>9137</v>
      </c>
      <c r="D1562">
        <f t="shared" si="185"/>
        <v>9137</v>
      </c>
      <c r="H1562">
        <f t="shared" si="181"/>
        <v>2</v>
      </c>
      <c r="R1562">
        <v>84</v>
      </c>
      <c r="S1562">
        <v>1</v>
      </c>
      <c r="T1562" t="str">
        <f t="shared" si="179"/>
        <v>e</v>
      </c>
      <c r="Y1562" t="s">
        <v>832</v>
      </c>
      <c r="Z1562" t="s">
        <v>806</v>
      </c>
      <c r="AJ1562">
        <v>1</v>
      </c>
      <c r="AM1562" t="str">
        <f t="shared" si="182"/>
        <v>Save</v>
      </c>
      <c r="AN1562" t="str">
        <f t="shared" si="183"/>
        <v>Save_Freeze</v>
      </c>
      <c r="AP1562" t="str">
        <f t="shared" si="184"/>
        <v>Defensive</v>
      </c>
      <c r="BB1562" s="23"/>
      <c r="BD1562" s="21"/>
      <c r="BE1562" s="21"/>
      <c r="BF1562" s="21"/>
      <c r="BG1562" s="21"/>
      <c r="BH1562" s="21"/>
      <c r="BI1562" s="21"/>
    </row>
    <row r="1563" spans="1:61" x14ac:dyDescent="0.2">
      <c r="A1563">
        <v>821</v>
      </c>
      <c r="B1563">
        <v>137</v>
      </c>
      <c r="C1563">
        <f t="shared" si="180"/>
        <v>9137</v>
      </c>
      <c r="D1563">
        <f t="shared" si="185"/>
        <v>9137</v>
      </c>
      <c r="H1563">
        <f t="shared" si="181"/>
        <v>2</v>
      </c>
      <c r="R1563">
        <v>77</v>
      </c>
      <c r="T1563" t="str">
        <f t="shared" si="179"/>
        <v>o</v>
      </c>
      <c r="AJ1563">
        <v>1</v>
      </c>
      <c r="AM1563" t="str">
        <f t="shared" si="182"/>
        <v>Save</v>
      </c>
      <c r="AN1563" t="str">
        <f t="shared" si="183"/>
        <v>Save_Freeze</v>
      </c>
      <c r="AP1563" t="str">
        <f t="shared" si="184"/>
        <v>Offensive</v>
      </c>
      <c r="BB1563" s="23"/>
      <c r="BD1563" s="21"/>
      <c r="BE1563" s="21"/>
      <c r="BF1563" s="21"/>
      <c r="BG1563" s="21"/>
      <c r="BH1563" s="21"/>
      <c r="BI1563" s="21"/>
    </row>
    <row r="1564" spans="1:61" x14ac:dyDescent="0.2">
      <c r="A1564">
        <v>822</v>
      </c>
      <c r="B1564">
        <v>137</v>
      </c>
      <c r="C1564">
        <f t="shared" si="180"/>
        <v>9137</v>
      </c>
      <c r="D1564">
        <f t="shared" si="185"/>
        <v>9137</v>
      </c>
      <c r="H1564">
        <f t="shared" si="181"/>
        <v>2</v>
      </c>
      <c r="I1564" s="5" t="s">
        <v>734</v>
      </c>
      <c r="J1564" s="5" t="s">
        <v>730</v>
      </c>
      <c r="Q1564" t="s">
        <v>620</v>
      </c>
      <c r="R1564">
        <v>39</v>
      </c>
      <c r="S1564">
        <v>1</v>
      </c>
      <c r="T1564" t="str">
        <f t="shared" si="179"/>
        <v>e</v>
      </c>
      <c r="U1564" t="s">
        <v>13</v>
      </c>
      <c r="V1564" t="s">
        <v>204</v>
      </c>
      <c r="W1564" t="s">
        <v>110</v>
      </c>
      <c r="AF1564" t="s">
        <v>623</v>
      </c>
      <c r="AM1564" t="str">
        <f t="shared" si="182"/>
        <v>Stoppage</v>
      </c>
      <c r="AN1564" t="str">
        <f t="shared" si="183"/>
        <v>Stoppage_Play</v>
      </c>
      <c r="AP1564" t="str">
        <f t="shared" si="184"/>
        <v/>
      </c>
      <c r="BB1564" s="23"/>
      <c r="BD1564" s="21"/>
      <c r="BE1564" s="21"/>
      <c r="BF1564" s="21"/>
      <c r="BG1564" s="21"/>
      <c r="BH1564" s="21"/>
      <c r="BI1564" s="21"/>
    </row>
    <row r="1565" spans="1:61" x14ac:dyDescent="0.2">
      <c r="A1565">
        <v>823</v>
      </c>
      <c r="B1565">
        <v>137</v>
      </c>
      <c r="C1565">
        <f t="shared" si="180"/>
        <v>9137</v>
      </c>
      <c r="D1565">
        <f t="shared" si="185"/>
        <v>9137</v>
      </c>
      <c r="H1565">
        <f t="shared" si="181"/>
        <v>2</v>
      </c>
      <c r="I1565" s="5" t="s">
        <v>734</v>
      </c>
      <c r="J1565" s="5" t="s">
        <v>730</v>
      </c>
      <c r="K1565" s="5" t="s">
        <v>815</v>
      </c>
      <c r="L1565" s="7" t="s">
        <v>896</v>
      </c>
      <c r="Q1565" t="s">
        <v>620</v>
      </c>
      <c r="R1565">
        <v>39</v>
      </c>
      <c r="S1565">
        <v>1</v>
      </c>
      <c r="T1565" t="str">
        <f t="shared" si="179"/>
        <v>e</v>
      </c>
      <c r="U1565" t="s">
        <v>262</v>
      </c>
      <c r="AF1565" t="s">
        <v>623</v>
      </c>
      <c r="AM1565" t="str">
        <f t="shared" si="182"/>
        <v>DeadIce</v>
      </c>
      <c r="AN1565" t="str">
        <f t="shared" si="183"/>
        <v/>
      </c>
      <c r="AP1565" t="str">
        <f t="shared" si="184"/>
        <v/>
      </c>
      <c r="BB1565" s="23"/>
      <c r="BD1565" s="21"/>
      <c r="BE1565" s="21"/>
      <c r="BF1565" s="21"/>
      <c r="BG1565" s="21"/>
      <c r="BH1565" s="21"/>
      <c r="BI1565" s="21"/>
    </row>
    <row r="1566" spans="1:61" x14ac:dyDescent="0.2">
      <c r="A1566">
        <v>824</v>
      </c>
      <c r="B1566" t="s">
        <v>887</v>
      </c>
      <c r="C1566" t="str">
        <f t="shared" si="180"/>
        <v/>
      </c>
      <c r="D1566" t="str">
        <f t="shared" si="185"/>
        <v/>
      </c>
      <c r="H1566">
        <f t="shared" si="181"/>
        <v>2</v>
      </c>
      <c r="I1566" s="5" t="s">
        <v>815</v>
      </c>
      <c r="J1566" s="5" t="s">
        <v>896</v>
      </c>
      <c r="Q1566" t="s">
        <v>620</v>
      </c>
      <c r="R1566">
        <v>70</v>
      </c>
      <c r="S1566">
        <v>1</v>
      </c>
      <c r="T1566" t="str">
        <f t="shared" si="179"/>
        <v>e</v>
      </c>
      <c r="U1566" t="s">
        <v>6</v>
      </c>
      <c r="V1566" t="s">
        <v>255</v>
      </c>
      <c r="AF1566" t="s">
        <v>623</v>
      </c>
      <c r="AM1566" t="str">
        <f t="shared" si="182"/>
        <v>Faceoff</v>
      </c>
      <c r="AN1566" t="str">
        <f t="shared" si="183"/>
        <v>Faceoff_AfterStoppage</v>
      </c>
      <c r="AP1566" t="str">
        <f t="shared" si="184"/>
        <v>Offensive</v>
      </c>
      <c r="BB1566" s="23"/>
      <c r="BD1566" s="21"/>
      <c r="BE1566" s="21"/>
      <c r="BF1566" s="21"/>
      <c r="BG1566" s="21"/>
      <c r="BH1566" s="21"/>
      <c r="BI1566" s="21"/>
    </row>
    <row r="1567" spans="1:61" x14ac:dyDescent="0.2">
      <c r="A1567">
        <v>824</v>
      </c>
      <c r="B1567" t="s">
        <v>887</v>
      </c>
      <c r="C1567" t="str">
        <f t="shared" si="180"/>
        <v/>
      </c>
      <c r="D1567" t="str">
        <f t="shared" si="185"/>
        <v/>
      </c>
      <c r="H1567">
        <f t="shared" si="181"/>
        <v>2</v>
      </c>
      <c r="R1567">
        <v>91</v>
      </c>
      <c r="S1567">
        <v>1</v>
      </c>
      <c r="T1567" t="str">
        <f t="shared" si="179"/>
        <v>e</v>
      </c>
      <c r="AM1567" t="str">
        <f t="shared" si="182"/>
        <v>Faceoff</v>
      </c>
      <c r="AN1567" t="str">
        <f t="shared" si="183"/>
        <v>Faceoff_AfterStoppage</v>
      </c>
      <c r="AP1567" t="str">
        <f t="shared" si="184"/>
        <v>Offensive</v>
      </c>
      <c r="BB1567" s="23"/>
      <c r="BD1567" s="21"/>
      <c r="BE1567" s="21"/>
      <c r="BF1567" s="21"/>
      <c r="BG1567" s="21"/>
      <c r="BH1567" s="21"/>
      <c r="BI1567" s="21"/>
    </row>
    <row r="1568" spans="1:61" x14ac:dyDescent="0.2">
      <c r="A1568">
        <v>824</v>
      </c>
      <c r="B1568" t="s">
        <v>887</v>
      </c>
      <c r="C1568" t="str">
        <f t="shared" si="180"/>
        <v/>
      </c>
      <c r="D1568" t="str">
        <f t="shared" si="185"/>
        <v/>
      </c>
      <c r="H1568">
        <f t="shared" si="181"/>
        <v>2</v>
      </c>
      <c r="R1568">
        <v>3</v>
      </c>
      <c r="T1568" t="str">
        <f t="shared" si="179"/>
        <v>o</v>
      </c>
      <c r="AM1568" t="str">
        <f t="shared" si="182"/>
        <v>Faceoff</v>
      </c>
      <c r="AN1568" t="str">
        <f t="shared" si="183"/>
        <v>Faceoff_AfterStoppage</v>
      </c>
      <c r="AP1568" t="str">
        <f t="shared" si="184"/>
        <v>Defensive</v>
      </c>
      <c r="BB1568" s="23"/>
      <c r="BD1568" s="21"/>
      <c r="BE1568" s="21"/>
      <c r="BF1568" s="21"/>
      <c r="BG1568" s="21"/>
      <c r="BH1568" s="21"/>
      <c r="BI1568" s="21"/>
    </row>
    <row r="1569" spans="1:61" x14ac:dyDescent="0.2">
      <c r="A1569">
        <v>825</v>
      </c>
      <c r="B1569" t="s">
        <v>887</v>
      </c>
      <c r="C1569" t="str">
        <f t="shared" si="180"/>
        <v/>
      </c>
      <c r="D1569" t="str">
        <f t="shared" si="185"/>
        <v/>
      </c>
      <c r="H1569">
        <f t="shared" si="181"/>
        <v>2</v>
      </c>
      <c r="I1569" s="5" t="s">
        <v>815</v>
      </c>
      <c r="J1569" s="5" t="s">
        <v>638</v>
      </c>
      <c r="Q1569" t="s">
        <v>619</v>
      </c>
      <c r="R1569">
        <v>3</v>
      </c>
      <c r="S1569">
        <v>1</v>
      </c>
      <c r="T1569" t="str">
        <f t="shared" si="179"/>
        <v>e</v>
      </c>
      <c r="U1569" t="s">
        <v>10</v>
      </c>
      <c r="V1569" t="s">
        <v>200</v>
      </c>
      <c r="W1569" t="s">
        <v>81</v>
      </c>
      <c r="X1569" t="s">
        <v>706</v>
      </c>
      <c r="AF1569" t="s">
        <v>401</v>
      </c>
      <c r="AJ1569">
        <v>1</v>
      </c>
      <c r="AM1569" t="str">
        <f t="shared" si="182"/>
        <v>Turnover</v>
      </c>
      <c r="AN1569" t="str">
        <f t="shared" si="183"/>
        <v>Turnover_Takeaway</v>
      </c>
      <c r="AP1569" t="str">
        <f t="shared" si="184"/>
        <v>Defensive</v>
      </c>
      <c r="BB1569" s="23"/>
      <c r="BD1569" s="21"/>
      <c r="BE1569" s="21"/>
      <c r="BF1569" s="21"/>
      <c r="BG1569" s="21"/>
      <c r="BH1569" s="21"/>
      <c r="BI1569" s="21"/>
    </row>
    <row r="1570" spans="1:61" x14ac:dyDescent="0.2">
      <c r="A1570">
        <v>825</v>
      </c>
      <c r="B1570" t="s">
        <v>887</v>
      </c>
      <c r="C1570" t="str">
        <f t="shared" si="180"/>
        <v/>
      </c>
      <c r="D1570" t="str">
        <f t="shared" si="185"/>
        <v/>
      </c>
      <c r="H1570">
        <f t="shared" si="181"/>
        <v>2</v>
      </c>
      <c r="R1570">
        <v>91</v>
      </c>
      <c r="T1570" t="str">
        <f t="shared" si="179"/>
        <v>o</v>
      </c>
      <c r="AJ1570">
        <v>1</v>
      </c>
      <c r="AM1570" t="str">
        <f t="shared" si="182"/>
        <v>Turnover</v>
      </c>
      <c r="AN1570" t="str">
        <f t="shared" si="183"/>
        <v>Turnover_Takeaway</v>
      </c>
      <c r="AP1570" t="str">
        <f t="shared" si="184"/>
        <v>Offensive</v>
      </c>
      <c r="BB1570" s="23"/>
      <c r="BD1570" s="21"/>
      <c r="BE1570" s="21"/>
      <c r="BF1570" s="21"/>
      <c r="BG1570" s="21"/>
      <c r="BH1570" s="21"/>
      <c r="BI1570" s="21"/>
    </row>
    <row r="1571" spans="1:61" x14ac:dyDescent="0.2">
      <c r="A1571">
        <v>826</v>
      </c>
      <c r="B1571" t="s">
        <v>887</v>
      </c>
      <c r="C1571" t="str">
        <f t="shared" si="180"/>
        <v/>
      </c>
      <c r="D1571" t="str">
        <f t="shared" si="185"/>
        <v/>
      </c>
      <c r="H1571">
        <f t="shared" si="181"/>
        <v>2</v>
      </c>
      <c r="I1571" s="5" t="s">
        <v>815</v>
      </c>
      <c r="J1571" s="5" t="s">
        <v>751</v>
      </c>
      <c r="K1571" s="5" t="s">
        <v>815</v>
      </c>
      <c r="L1571" s="7" t="s">
        <v>789</v>
      </c>
      <c r="Q1571" t="s">
        <v>619</v>
      </c>
      <c r="R1571">
        <v>91</v>
      </c>
      <c r="S1571">
        <v>1</v>
      </c>
      <c r="T1571" t="str">
        <f t="shared" si="179"/>
        <v>e</v>
      </c>
      <c r="U1571" t="s">
        <v>15</v>
      </c>
      <c r="AF1571" t="s">
        <v>401</v>
      </c>
      <c r="AJ1571">
        <v>1</v>
      </c>
      <c r="AM1571" t="str">
        <f t="shared" si="182"/>
        <v>Possession</v>
      </c>
      <c r="AN1571" t="str">
        <f t="shared" si="183"/>
        <v/>
      </c>
      <c r="AP1571" t="str">
        <f t="shared" si="184"/>
        <v>Offensive</v>
      </c>
      <c r="BB1571" s="23"/>
      <c r="BD1571" s="21"/>
      <c r="BE1571" s="21"/>
      <c r="BF1571" s="21"/>
      <c r="BG1571" s="21"/>
      <c r="BH1571" s="21"/>
      <c r="BI1571" s="21"/>
    </row>
    <row r="1572" spans="1:61" x14ac:dyDescent="0.2">
      <c r="A1572">
        <v>826</v>
      </c>
      <c r="B1572" t="s">
        <v>887</v>
      </c>
      <c r="C1572" t="str">
        <f t="shared" si="180"/>
        <v/>
      </c>
      <c r="D1572" t="str">
        <f t="shared" si="185"/>
        <v/>
      </c>
      <c r="H1572">
        <f t="shared" si="181"/>
        <v>2</v>
      </c>
      <c r="R1572">
        <v>84</v>
      </c>
      <c r="T1572" t="str">
        <f t="shared" si="179"/>
        <v>o</v>
      </c>
      <c r="Y1572" t="s">
        <v>715</v>
      </c>
      <c r="AJ1572">
        <v>1</v>
      </c>
      <c r="AM1572" t="str">
        <f t="shared" si="182"/>
        <v>Possession</v>
      </c>
      <c r="AN1572" t="str">
        <f t="shared" si="183"/>
        <v/>
      </c>
      <c r="AP1572" t="str">
        <f t="shared" si="184"/>
        <v>Defensive</v>
      </c>
      <c r="BB1572" s="23"/>
      <c r="BD1572" s="21"/>
      <c r="BE1572" s="21"/>
      <c r="BF1572" s="21"/>
      <c r="BG1572" s="21"/>
      <c r="BH1572" s="21"/>
      <c r="BI1572" s="21"/>
    </row>
    <row r="1573" spans="1:61" x14ac:dyDescent="0.2">
      <c r="A1573">
        <v>827</v>
      </c>
      <c r="B1573" t="s">
        <v>887</v>
      </c>
      <c r="C1573" t="str">
        <f t="shared" si="180"/>
        <v/>
      </c>
      <c r="D1573" t="str">
        <f t="shared" si="185"/>
        <v/>
      </c>
      <c r="H1573">
        <f t="shared" si="181"/>
        <v>2</v>
      </c>
      <c r="I1573" s="5" t="s">
        <v>815</v>
      </c>
      <c r="J1573" s="5" t="s">
        <v>789</v>
      </c>
      <c r="Q1573" t="s">
        <v>619</v>
      </c>
      <c r="R1573">
        <v>3</v>
      </c>
      <c r="S1573">
        <v>1</v>
      </c>
      <c r="T1573" t="str">
        <f t="shared" si="179"/>
        <v>e</v>
      </c>
      <c r="U1573" t="s">
        <v>8</v>
      </c>
      <c r="V1573" t="s">
        <v>199</v>
      </c>
      <c r="W1573" t="s">
        <v>69</v>
      </c>
      <c r="X1573" t="s">
        <v>705</v>
      </c>
      <c r="AF1573" t="s">
        <v>401</v>
      </c>
      <c r="AJ1573">
        <v>1</v>
      </c>
      <c r="AM1573" t="str">
        <f t="shared" si="182"/>
        <v>Pass</v>
      </c>
      <c r="AN1573" t="str">
        <f t="shared" si="183"/>
        <v>Pass_Missed</v>
      </c>
      <c r="AP1573" t="str">
        <f t="shared" si="184"/>
        <v>Offensive</v>
      </c>
      <c r="BB1573" s="23"/>
      <c r="BD1573" s="21"/>
      <c r="BE1573" s="21"/>
      <c r="BF1573" s="21"/>
      <c r="BG1573" s="21"/>
      <c r="BH1573" s="21"/>
      <c r="BI1573" s="21"/>
    </row>
    <row r="1574" spans="1:61" x14ac:dyDescent="0.2">
      <c r="A1574">
        <v>827</v>
      </c>
      <c r="B1574" t="s">
        <v>887</v>
      </c>
      <c r="C1574" t="str">
        <f t="shared" si="180"/>
        <v/>
      </c>
      <c r="D1574" t="str">
        <f t="shared" si="185"/>
        <v/>
      </c>
      <c r="H1574">
        <f t="shared" si="181"/>
        <v>2</v>
      </c>
      <c r="R1574">
        <v>12</v>
      </c>
      <c r="S1574">
        <v>1</v>
      </c>
      <c r="T1574" t="str">
        <f t="shared" si="179"/>
        <v>e</v>
      </c>
      <c r="AM1574" t="str">
        <f t="shared" si="182"/>
        <v>Pass</v>
      </c>
      <c r="AN1574" t="str">
        <f t="shared" si="183"/>
        <v>Pass_Missed</v>
      </c>
      <c r="AP1574" t="str">
        <f t="shared" si="184"/>
        <v>Offensive</v>
      </c>
      <c r="BB1574" s="23"/>
      <c r="BD1574" s="21"/>
      <c r="BE1574" s="21"/>
      <c r="BF1574" s="21"/>
      <c r="BG1574" s="21"/>
      <c r="BH1574" s="21"/>
      <c r="BI1574" s="21"/>
    </row>
    <row r="1575" spans="1:61" x14ac:dyDescent="0.2">
      <c r="A1575">
        <v>827</v>
      </c>
      <c r="B1575" t="s">
        <v>887</v>
      </c>
      <c r="C1575" t="str">
        <f t="shared" si="180"/>
        <v/>
      </c>
      <c r="D1575" t="str">
        <f t="shared" si="185"/>
        <v/>
      </c>
      <c r="H1575">
        <f t="shared" si="181"/>
        <v>2</v>
      </c>
      <c r="R1575">
        <v>84</v>
      </c>
      <c r="T1575" t="str">
        <f t="shared" si="179"/>
        <v>o</v>
      </c>
      <c r="Y1575" t="s">
        <v>715</v>
      </c>
      <c r="AJ1575">
        <v>1</v>
      </c>
      <c r="AM1575" t="str">
        <f t="shared" si="182"/>
        <v>Pass</v>
      </c>
      <c r="AN1575" t="str">
        <f t="shared" si="183"/>
        <v>Pass_Missed</v>
      </c>
      <c r="AP1575" t="str">
        <f t="shared" si="184"/>
        <v>Defensive</v>
      </c>
      <c r="BB1575" s="23"/>
      <c r="BD1575" s="21"/>
      <c r="BE1575" s="21"/>
      <c r="BF1575" s="21"/>
      <c r="BG1575" s="21"/>
      <c r="BH1575" s="21"/>
      <c r="BI1575" s="21"/>
    </row>
    <row r="1576" spans="1:61" x14ac:dyDescent="0.2">
      <c r="A1576">
        <v>828</v>
      </c>
      <c r="B1576" t="s">
        <v>887</v>
      </c>
      <c r="C1576" t="str">
        <f t="shared" si="180"/>
        <v/>
      </c>
      <c r="D1576" t="str">
        <f t="shared" si="185"/>
        <v/>
      </c>
      <c r="H1576">
        <f t="shared" si="181"/>
        <v>2</v>
      </c>
      <c r="I1576" s="5" t="s">
        <v>815</v>
      </c>
      <c r="J1576" s="5" t="s">
        <v>810</v>
      </c>
      <c r="Q1576" t="s">
        <v>619</v>
      </c>
      <c r="R1576">
        <v>4</v>
      </c>
      <c r="S1576">
        <v>1</v>
      </c>
      <c r="T1576" t="str">
        <f t="shared" si="179"/>
        <v>e</v>
      </c>
      <c r="U1576" t="s">
        <v>15</v>
      </c>
      <c r="V1576" t="s">
        <v>698</v>
      </c>
      <c r="X1576" t="s">
        <v>706</v>
      </c>
      <c r="Y1576" t="s">
        <v>756</v>
      </c>
      <c r="AA1576" t="s">
        <v>706</v>
      </c>
      <c r="AF1576" t="s">
        <v>401</v>
      </c>
      <c r="AM1576" t="str">
        <f t="shared" si="182"/>
        <v>Possession</v>
      </c>
      <c r="AN1576" t="str">
        <f t="shared" si="183"/>
        <v>PuckRecovery</v>
      </c>
      <c r="AP1576" t="str">
        <f t="shared" si="184"/>
        <v>Offensive</v>
      </c>
      <c r="BB1576" s="23"/>
      <c r="BD1576" s="21"/>
      <c r="BE1576" s="21"/>
      <c r="BF1576" s="21"/>
      <c r="BG1576" s="21"/>
      <c r="BH1576" s="21"/>
      <c r="BI1576" s="21"/>
    </row>
    <row r="1577" spans="1:61" x14ac:dyDescent="0.2">
      <c r="A1577">
        <v>829</v>
      </c>
      <c r="B1577">
        <v>138</v>
      </c>
      <c r="C1577">
        <f t="shared" si="180"/>
        <v>9138</v>
      </c>
      <c r="D1577">
        <f t="shared" si="185"/>
        <v>9138</v>
      </c>
      <c r="H1577">
        <f t="shared" si="181"/>
        <v>2</v>
      </c>
      <c r="I1577" s="5" t="s">
        <v>815</v>
      </c>
      <c r="J1577" s="5" t="s">
        <v>810</v>
      </c>
      <c r="Q1577" t="s">
        <v>619</v>
      </c>
      <c r="R1577">
        <v>4</v>
      </c>
      <c r="S1577">
        <v>1</v>
      </c>
      <c r="T1577" t="str">
        <f t="shared" si="179"/>
        <v>e</v>
      </c>
      <c r="U1577" t="s">
        <v>7</v>
      </c>
      <c r="V1577" t="s">
        <v>222</v>
      </c>
      <c r="W1577" t="s">
        <v>53</v>
      </c>
      <c r="X1577" t="s">
        <v>706</v>
      </c>
      <c r="AF1577" t="s">
        <v>401</v>
      </c>
      <c r="AM1577" t="str">
        <f t="shared" si="182"/>
        <v>Shot</v>
      </c>
      <c r="AN1577" t="str">
        <f t="shared" si="183"/>
        <v>Shot_OnNetSaved</v>
      </c>
      <c r="AP1577" t="str">
        <f t="shared" si="184"/>
        <v>Offensive</v>
      </c>
      <c r="BB1577" s="23"/>
      <c r="BD1577" s="21"/>
      <c r="BE1577" s="21"/>
      <c r="BF1577" s="21"/>
      <c r="BG1577" s="21"/>
      <c r="BH1577" s="21"/>
      <c r="BI1577" s="21"/>
    </row>
    <row r="1578" spans="1:61" x14ac:dyDescent="0.2">
      <c r="A1578">
        <v>829</v>
      </c>
      <c r="B1578">
        <v>138</v>
      </c>
      <c r="C1578">
        <f t="shared" si="180"/>
        <v>9138</v>
      </c>
      <c r="D1578">
        <f t="shared" si="185"/>
        <v>9138</v>
      </c>
      <c r="H1578">
        <f t="shared" si="181"/>
        <v>2</v>
      </c>
      <c r="R1578">
        <v>39</v>
      </c>
      <c r="T1578" t="str">
        <f t="shared" si="179"/>
        <v>o</v>
      </c>
      <c r="AM1578" t="str">
        <f t="shared" si="182"/>
        <v>Shot</v>
      </c>
      <c r="AN1578" t="str">
        <f t="shared" si="183"/>
        <v>Shot_OnNetSaved</v>
      </c>
      <c r="AP1578" t="str">
        <f t="shared" si="184"/>
        <v>Defensive</v>
      </c>
      <c r="BB1578" s="23"/>
      <c r="BD1578" s="21"/>
      <c r="BE1578" s="21"/>
      <c r="BF1578" s="21"/>
      <c r="BG1578" s="21"/>
      <c r="BH1578" s="21"/>
      <c r="BI1578" s="21"/>
    </row>
    <row r="1579" spans="1:61" x14ac:dyDescent="0.2">
      <c r="A1579">
        <v>830</v>
      </c>
      <c r="B1579">
        <v>138</v>
      </c>
      <c r="C1579">
        <f t="shared" si="180"/>
        <v>9138</v>
      </c>
      <c r="D1579">
        <f t="shared" si="185"/>
        <v>9138</v>
      </c>
      <c r="H1579">
        <f t="shared" si="181"/>
        <v>2</v>
      </c>
      <c r="I1579" s="5" t="s">
        <v>815</v>
      </c>
      <c r="J1579" s="5" t="s">
        <v>810</v>
      </c>
      <c r="Q1579" t="s">
        <v>620</v>
      </c>
      <c r="R1579">
        <v>39</v>
      </c>
      <c r="S1579">
        <v>1</v>
      </c>
      <c r="T1579" t="str">
        <f t="shared" si="179"/>
        <v>e</v>
      </c>
      <c r="U1579" t="s">
        <v>17</v>
      </c>
      <c r="V1579" t="s">
        <v>196</v>
      </c>
      <c r="W1579" t="s">
        <v>97</v>
      </c>
      <c r="AF1579" t="s">
        <v>623</v>
      </c>
      <c r="AM1579" t="str">
        <f t="shared" si="182"/>
        <v>Save</v>
      </c>
      <c r="AN1579" t="str">
        <f t="shared" si="183"/>
        <v>Save_Rebound</v>
      </c>
      <c r="AP1579" t="str">
        <f t="shared" si="184"/>
        <v>Defensive</v>
      </c>
      <c r="BB1579" s="23"/>
      <c r="BD1579" s="21"/>
      <c r="BE1579" s="21"/>
      <c r="BF1579" s="21"/>
      <c r="BG1579" s="21"/>
      <c r="BH1579" s="21"/>
      <c r="BI1579" s="21"/>
    </row>
    <row r="1580" spans="1:61" x14ac:dyDescent="0.2">
      <c r="A1580">
        <v>830</v>
      </c>
      <c r="B1580">
        <v>138</v>
      </c>
      <c r="C1580">
        <f t="shared" si="180"/>
        <v>9138</v>
      </c>
      <c r="D1580">
        <f t="shared" si="185"/>
        <v>9138</v>
      </c>
      <c r="H1580">
        <f t="shared" si="181"/>
        <v>2</v>
      </c>
      <c r="R1580">
        <v>4</v>
      </c>
      <c r="T1580" t="str">
        <f t="shared" si="179"/>
        <v>o</v>
      </c>
      <c r="AM1580" t="str">
        <f t="shared" si="182"/>
        <v>Save</v>
      </c>
      <c r="AN1580" t="str">
        <f t="shared" si="183"/>
        <v>Save_Rebound</v>
      </c>
      <c r="AP1580" t="str">
        <f t="shared" si="184"/>
        <v>Offensive</v>
      </c>
      <c r="BB1580" s="23"/>
      <c r="BD1580" s="21"/>
      <c r="BE1580" s="21"/>
      <c r="BF1580" s="21"/>
      <c r="BG1580" s="21"/>
      <c r="BH1580" s="21"/>
      <c r="BI1580" s="21"/>
    </row>
    <row r="1581" spans="1:61" x14ac:dyDescent="0.2">
      <c r="A1581">
        <v>831</v>
      </c>
      <c r="B1581">
        <v>138</v>
      </c>
      <c r="C1581">
        <f t="shared" si="180"/>
        <v>9138</v>
      </c>
      <c r="D1581">
        <f t="shared" si="185"/>
        <v>9138</v>
      </c>
      <c r="H1581">
        <f t="shared" si="181"/>
        <v>2</v>
      </c>
      <c r="I1581" s="5" t="s">
        <v>815</v>
      </c>
      <c r="J1581" s="5" t="s">
        <v>810</v>
      </c>
      <c r="Q1581" t="s">
        <v>620</v>
      </c>
      <c r="R1581">
        <v>39</v>
      </c>
      <c r="S1581">
        <v>1</v>
      </c>
      <c r="T1581" t="str">
        <f t="shared" si="179"/>
        <v>e</v>
      </c>
      <c r="U1581" t="s">
        <v>250</v>
      </c>
      <c r="V1581" t="s">
        <v>251</v>
      </c>
      <c r="AF1581" t="s">
        <v>623</v>
      </c>
      <c r="AM1581" t="str">
        <f t="shared" si="182"/>
        <v>Rebound</v>
      </c>
      <c r="AN1581" t="str">
        <f t="shared" si="183"/>
        <v>Rebound_TeamRecovered</v>
      </c>
      <c r="AP1581" t="str">
        <f t="shared" si="184"/>
        <v>Offensive</v>
      </c>
      <c r="BB1581" s="23"/>
      <c r="BD1581" s="21"/>
      <c r="BE1581" s="21"/>
      <c r="BF1581" s="21"/>
      <c r="BG1581" s="21"/>
      <c r="BH1581" s="21"/>
      <c r="BI1581" s="21"/>
    </row>
    <row r="1582" spans="1:61" x14ac:dyDescent="0.2">
      <c r="A1582">
        <v>832</v>
      </c>
      <c r="B1582" t="s">
        <v>887</v>
      </c>
      <c r="C1582" t="str">
        <f t="shared" si="180"/>
        <v/>
      </c>
      <c r="D1582" t="str">
        <f t="shared" si="185"/>
        <v/>
      </c>
      <c r="H1582">
        <f t="shared" si="181"/>
        <v>2</v>
      </c>
      <c r="I1582" s="5" t="s">
        <v>815</v>
      </c>
      <c r="J1582" s="5" t="s">
        <v>682</v>
      </c>
      <c r="Q1582" t="s">
        <v>620</v>
      </c>
      <c r="R1582">
        <v>84</v>
      </c>
      <c r="S1582">
        <v>1</v>
      </c>
      <c r="T1582" t="str">
        <f t="shared" si="179"/>
        <v>e</v>
      </c>
      <c r="U1582" t="s">
        <v>15</v>
      </c>
      <c r="V1582" t="s">
        <v>698</v>
      </c>
      <c r="X1582" t="s">
        <v>706</v>
      </c>
      <c r="Y1582" t="s">
        <v>808</v>
      </c>
      <c r="AA1582" t="s">
        <v>706</v>
      </c>
      <c r="AF1582" t="s">
        <v>623</v>
      </c>
      <c r="AM1582" t="str">
        <f t="shared" si="182"/>
        <v>Possession</v>
      </c>
      <c r="AN1582" t="str">
        <f t="shared" si="183"/>
        <v>PuckRecovery</v>
      </c>
      <c r="AP1582" t="str">
        <f t="shared" si="184"/>
        <v>Offensive</v>
      </c>
      <c r="BB1582" s="23"/>
      <c r="BD1582" s="21"/>
      <c r="BE1582" s="21"/>
      <c r="BF1582" s="21"/>
      <c r="BG1582" s="21"/>
      <c r="BH1582" s="21"/>
      <c r="BI1582" s="21"/>
    </row>
    <row r="1583" spans="1:61" x14ac:dyDescent="0.2">
      <c r="A1583">
        <v>833</v>
      </c>
      <c r="B1583">
        <v>139</v>
      </c>
      <c r="C1583">
        <f t="shared" si="180"/>
        <v>9139</v>
      </c>
      <c r="D1583">
        <f t="shared" si="185"/>
        <v>9139</v>
      </c>
      <c r="H1583">
        <f t="shared" si="181"/>
        <v>2</v>
      </c>
      <c r="I1583" s="5" t="s">
        <v>815</v>
      </c>
      <c r="J1583" s="5" t="s">
        <v>682</v>
      </c>
      <c r="K1583" s="5" t="s">
        <v>815</v>
      </c>
      <c r="L1583" s="7" t="s">
        <v>716</v>
      </c>
      <c r="Q1583" t="s">
        <v>620</v>
      </c>
      <c r="R1583">
        <v>84</v>
      </c>
      <c r="S1583">
        <v>1</v>
      </c>
      <c r="T1583" t="str">
        <f t="shared" si="179"/>
        <v>e</v>
      </c>
      <c r="U1583" t="s">
        <v>257</v>
      </c>
      <c r="V1583" t="s">
        <v>201</v>
      </c>
      <c r="W1583" t="s">
        <v>90</v>
      </c>
      <c r="X1583" t="s">
        <v>705</v>
      </c>
      <c r="Y1583" t="s">
        <v>767</v>
      </c>
      <c r="AA1583" t="s">
        <v>706</v>
      </c>
      <c r="AF1583" t="s">
        <v>623</v>
      </c>
      <c r="AJ1583">
        <v>1</v>
      </c>
      <c r="AM1583" t="str">
        <f t="shared" si="182"/>
        <v>Zone_Entry_Exit</v>
      </c>
      <c r="AN1583" t="str">
        <f t="shared" si="183"/>
        <v>Zone_Exit</v>
      </c>
      <c r="AP1583" t="str">
        <f t="shared" si="184"/>
        <v>Offensive</v>
      </c>
      <c r="BB1583" s="23"/>
      <c r="BD1583" s="21"/>
      <c r="BE1583" s="21"/>
      <c r="BF1583" s="21"/>
      <c r="BG1583" s="21"/>
      <c r="BH1583" s="21"/>
      <c r="BI1583" s="21"/>
    </row>
    <row r="1584" spans="1:61" x14ac:dyDescent="0.2">
      <c r="A1584">
        <v>833</v>
      </c>
      <c r="B1584">
        <v>139</v>
      </c>
      <c r="C1584">
        <f t="shared" si="180"/>
        <v>9139</v>
      </c>
      <c r="D1584">
        <f t="shared" si="185"/>
        <v>9139</v>
      </c>
      <c r="H1584">
        <f t="shared" si="181"/>
        <v>2</v>
      </c>
      <c r="R1584">
        <v>4</v>
      </c>
      <c r="T1584" t="str">
        <f t="shared" si="179"/>
        <v>o</v>
      </c>
      <c r="Y1584" t="s">
        <v>715</v>
      </c>
      <c r="Z1584" t="s">
        <v>737</v>
      </c>
      <c r="AA1584" t="s">
        <v>705</v>
      </c>
      <c r="AJ1584">
        <v>1</v>
      </c>
      <c r="AM1584" t="str">
        <f t="shared" si="182"/>
        <v>Zone_Entry_Exit</v>
      </c>
      <c r="AN1584" t="str">
        <f t="shared" si="183"/>
        <v>Zone_Exit</v>
      </c>
      <c r="AP1584" t="str">
        <f t="shared" si="184"/>
        <v>Defensive</v>
      </c>
      <c r="BB1584" s="23"/>
      <c r="BD1584" s="21"/>
      <c r="BE1584" s="21"/>
      <c r="BF1584" s="21"/>
      <c r="BG1584" s="21"/>
      <c r="BH1584" s="21"/>
      <c r="BI1584" s="21"/>
    </row>
    <row r="1585" spans="1:61" x14ac:dyDescent="0.2">
      <c r="A1585">
        <v>834</v>
      </c>
      <c r="B1585">
        <v>139</v>
      </c>
      <c r="C1585">
        <f t="shared" si="180"/>
        <v>9139</v>
      </c>
      <c r="D1585">
        <f t="shared" si="185"/>
        <v>9139</v>
      </c>
      <c r="H1585">
        <f t="shared" si="181"/>
        <v>2</v>
      </c>
      <c r="I1585" s="5" t="s">
        <v>815</v>
      </c>
      <c r="J1585" s="5" t="s">
        <v>766</v>
      </c>
      <c r="Q1585" t="s">
        <v>619</v>
      </c>
      <c r="R1585">
        <v>4</v>
      </c>
      <c r="S1585">
        <v>1</v>
      </c>
      <c r="T1585" t="str">
        <f t="shared" si="179"/>
        <v>e</v>
      </c>
      <c r="U1585" t="s">
        <v>257</v>
      </c>
      <c r="V1585" t="s">
        <v>820</v>
      </c>
      <c r="W1585" t="s">
        <v>90</v>
      </c>
      <c r="X1585" t="s">
        <v>705</v>
      </c>
      <c r="Y1585" t="s">
        <v>715</v>
      </c>
      <c r="Z1585" t="s">
        <v>737</v>
      </c>
      <c r="AA1585" t="s">
        <v>705</v>
      </c>
      <c r="AF1585" t="s">
        <v>401</v>
      </c>
      <c r="AJ1585">
        <v>1</v>
      </c>
      <c r="AM1585" t="str">
        <f t="shared" si="182"/>
        <v>Zone_Entry_Exit</v>
      </c>
      <c r="AN1585" t="str">
        <f t="shared" si="183"/>
        <v>Zone_KeepinFailed</v>
      </c>
      <c r="AP1585" t="str">
        <f t="shared" si="184"/>
        <v>Offensive</v>
      </c>
      <c r="BB1585" s="23"/>
      <c r="BD1585" s="21"/>
      <c r="BE1585" s="21"/>
      <c r="BF1585" s="21"/>
      <c r="BG1585" s="21"/>
      <c r="BH1585" s="21"/>
      <c r="BI1585" s="21"/>
    </row>
    <row r="1586" spans="1:61" x14ac:dyDescent="0.2">
      <c r="A1586">
        <v>834</v>
      </c>
      <c r="B1586">
        <v>139</v>
      </c>
      <c r="C1586">
        <f t="shared" si="180"/>
        <v>9139</v>
      </c>
      <c r="D1586">
        <f t="shared" si="185"/>
        <v>9139</v>
      </c>
      <c r="H1586">
        <f t="shared" si="181"/>
        <v>2</v>
      </c>
      <c r="R1586">
        <v>84</v>
      </c>
      <c r="T1586" t="str">
        <f t="shared" si="179"/>
        <v>o</v>
      </c>
      <c r="Y1586" t="s">
        <v>767</v>
      </c>
      <c r="AJ1586">
        <v>1</v>
      </c>
      <c r="AM1586" t="str">
        <f t="shared" si="182"/>
        <v>Zone_Entry_Exit</v>
      </c>
      <c r="AN1586" t="str">
        <f t="shared" si="183"/>
        <v>Zone_KeepinFailed</v>
      </c>
      <c r="AP1586" t="str">
        <f t="shared" si="184"/>
        <v>Defensive</v>
      </c>
      <c r="BB1586" s="23"/>
      <c r="BD1586" s="21"/>
      <c r="BE1586" s="21"/>
      <c r="BF1586" s="21"/>
      <c r="BG1586" s="21"/>
      <c r="BH1586" s="21"/>
      <c r="BI1586" s="21"/>
    </row>
    <row r="1587" spans="1:61" x14ac:dyDescent="0.2">
      <c r="A1587">
        <v>835</v>
      </c>
      <c r="B1587" t="s">
        <v>887</v>
      </c>
      <c r="C1587" t="str">
        <f t="shared" si="180"/>
        <v/>
      </c>
      <c r="D1587" t="str">
        <f t="shared" si="185"/>
        <v/>
      </c>
      <c r="H1587">
        <f t="shared" si="181"/>
        <v>2</v>
      </c>
      <c r="I1587" s="5" t="s">
        <v>815</v>
      </c>
      <c r="J1587" s="5" t="s">
        <v>717</v>
      </c>
      <c r="K1587" s="5" t="s">
        <v>815</v>
      </c>
      <c r="L1587" s="7" t="s">
        <v>778</v>
      </c>
      <c r="Q1587" t="s">
        <v>619</v>
      </c>
      <c r="R1587">
        <v>84</v>
      </c>
      <c r="S1587">
        <v>1</v>
      </c>
      <c r="T1587" t="str">
        <f t="shared" si="179"/>
        <v>e</v>
      </c>
      <c r="U1587" t="s">
        <v>10</v>
      </c>
      <c r="V1587" t="s">
        <v>190</v>
      </c>
      <c r="W1587" t="s">
        <v>73</v>
      </c>
      <c r="AF1587" t="s">
        <v>635</v>
      </c>
      <c r="AM1587" t="str">
        <f t="shared" si="182"/>
        <v>Turnover</v>
      </c>
      <c r="AN1587" t="str">
        <f t="shared" si="183"/>
        <v>Turnover_Giveaway</v>
      </c>
      <c r="AP1587" t="str">
        <f t="shared" si="184"/>
        <v>Offensive</v>
      </c>
      <c r="BB1587" s="23"/>
      <c r="BD1587" s="21"/>
      <c r="BE1587" s="21"/>
      <c r="BF1587" s="21"/>
      <c r="BG1587" s="21"/>
      <c r="BH1587" s="21"/>
      <c r="BI1587" s="21"/>
    </row>
    <row r="1588" spans="1:61" x14ac:dyDescent="0.2">
      <c r="A1588">
        <v>836</v>
      </c>
      <c r="B1588" t="s">
        <v>887</v>
      </c>
      <c r="C1588" t="str">
        <f t="shared" si="180"/>
        <v/>
      </c>
      <c r="D1588" t="str">
        <f t="shared" si="185"/>
        <v/>
      </c>
      <c r="H1588">
        <f t="shared" si="181"/>
        <v>2</v>
      </c>
      <c r="I1588" s="5" t="s">
        <v>815</v>
      </c>
      <c r="J1588" s="5" t="s">
        <v>778</v>
      </c>
      <c r="Q1588" t="s">
        <v>619</v>
      </c>
      <c r="R1588">
        <v>3</v>
      </c>
      <c r="S1588">
        <v>1</v>
      </c>
      <c r="T1588" t="str">
        <f t="shared" si="179"/>
        <v>e</v>
      </c>
      <c r="U1588" t="s">
        <v>15</v>
      </c>
      <c r="V1588" t="s">
        <v>697</v>
      </c>
      <c r="X1588" t="s">
        <v>706</v>
      </c>
      <c r="Y1588" t="s">
        <v>712</v>
      </c>
      <c r="AA1588" t="s">
        <v>706</v>
      </c>
      <c r="AF1588" t="s">
        <v>635</v>
      </c>
      <c r="AJ1588">
        <v>1</v>
      </c>
      <c r="AM1588" t="str">
        <f t="shared" si="182"/>
        <v>Possession</v>
      </c>
      <c r="AN1588" t="str">
        <f t="shared" si="183"/>
        <v>PuckRetrieval</v>
      </c>
      <c r="AP1588" t="str">
        <f t="shared" si="184"/>
        <v>Offensive</v>
      </c>
      <c r="BB1588" s="23"/>
      <c r="BD1588" s="21"/>
      <c r="BE1588" s="21"/>
      <c r="BF1588" s="21"/>
      <c r="BG1588" s="21"/>
      <c r="BH1588" s="21"/>
      <c r="BI1588" s="21"/>
    </row>
    <row r="1589" spans="1:61" x14ac:dyDescent="0.2">
      <c r="A1589">
        <v>836</v>
      </c>
      <c r="B1589" t="s">
        <v>887</v>
      </c>
      <c r="C1589" t="str">
        <f t="shared" si="180"/>
        <v/>
      </c>
      <c r="D1589" t="str">
        <f t="shared" si="185"/>
        <v/>
      </c>
      <c r="H1589">
        <f t="shared" si="181"/>
        <v>2</v>
      </c>
      <c r="R1589">
        <v>91</v>
      </c>
      <c r="T1589" t="str">
        <f t="shared" si="179"/>
        <v>o</v>
      </c>
      <c r="Y1589" t="s">
        <v>775</v>
      </c>
      <c r="AA1589" t="s">
        <v>705</v>
      </c>
      <c r="AJ1589">
        <v>1</v>
      </c>
      <c r="AM1589" t="str">
        <f t="shared" si="182"/>
        <v>Possession</v>
      </c>
      <c r="AN1589" t="str">
        <f t="shared" si="183"/>
        <v>PuckRetrieval</v>
      </c>
      <c r="AP1589" t="str">
        <f t="shared" si="184"/>
        <v>Defensive</v>
      </c>
      <c r="BB1589" s="23"/>
      <c r="BD1589" s="21"/>
      <c r="BE1589" s="21"/>
      <c r="BF1589" s="21"/>
      <c r="BG1589" s="21"/>
      <c r="BH1589" s="21"/>
      <c r="BI1589" s="21"/>
    </row>
    <row r="1590" spans="1:61" x14ac:dyDescent="0.2">
      <c r="A1590">
        <v>837</v>
      </c>
      <c r="B1590" t="s">
        <v>887</v>
      </c>
      <c r="C1590" t="str">
        <f t="shared" si="180"/>
        <v/>
      </c>
      <c r="D1590" t="str">
        <f t="shared" si="185"/>
        <v/>
      </c>
      <c r="H1590">
        <f t="shared" si="181"/>
        <v>2</v>
      </c>
      <c r="I1590" s="5" t="s">
        <v>815</v>
      </c>
      <c r="J1590" s="5" t="s">
        <v>719</v>
      </c>
      <c r="K1590" s="5" t="s">
        <v>888</v>
      </c>
      <c r="L1590" s="7" t="s">
        <v>724</v>
      </c>
      <c r="Q1590" t="s">
        <v>619</v>
      </c>
      <c r="R1590">
        <v>3</v>
      </c>
      <c r="S1590">
        <v>1</v>
      </c>
      <c r="T1590" t="str">
        <f t="shared" si="179"/>
        <v>e</v>
      </c>
      <c r="U1590" t="s">
        <v>257</v>
      </c>
      <c r="V1590" t="s">
        <v>191</v>
      </c>
      <c r="W1590" t="s">
        <v>87</v>
      </c>
      <c r="X1590" t="s">
        <v>706</v>
      </c>
      <c r="Y1590" t="s">
        <v>718</v>
      </c>
      <c r="AA1590" t="s">
        <v>706</v>
      </c>
      <c r="AF1590" t="s">
        <v>635</v>
      </c>
      <c r="AJ1590">
        <v>1</v>
      </c>
      <c r="AM1590" t="str">
        <f t="shared" si="182"/>
        <v>Zone_Entry_Exit</v>
      </c>
      <c r="AN1590" t="str">
        <f t="shared" si="183"/>
        <v>Zone_Entry</v>
      </c>
      <c r="AP1590" t="str">
        <f t="shared" si="184"/>
        <v>Offensive</v>
      </c>
      <c r="BB1590" s="23"/>
      <c r="BD1590" s="21"/>
      <c r="BE1590" s="21"/>
      <c r="BF1590" s="21"/>
      <c r="BG1590" s="21"/>
      <c r="BH1590" s="21"/>
      <c r="BI1590" s="21"/>
    </row>
    <row r="1591" spans="1:61" x14ac:dyDescent="0.2">
      <c r="A1591">
        <v>837</v>
      </c>
      <c r="B1591" t="s">
        <v>887</v>
      </c>
      <c r="C1591" t="str">
        <f t="shared" si="180"/>
        <v/>
      </c>
      <c r="D1591" t="str">
        <f t="shared" si="185"/>
        <v/>
      </c>
      <c r="H1591">
        <f t="shared" si="181"/>
        <v>2</v>
      </c>
      <c r="R1591">
        <v>91</v>
      </c>
      <c r="T1591" t="str">
        <f t="shared" si="179"/>
        <v>o</v>
      </c>
      <c r="Y1591" t="s">
        <v>855</v>
      </c>
      <c r="Z1591" t="s">
        <v>842</v>
      </c>
      <c r="AA1591" t="s">
        <v>705</v>
      </c>
      <c r="AF1591" t="s">
        <v>635</v>
      </c>
      <c r="AJ1591">
        <v>1</v>
      </c>
      <c r="AM1591" t="str">
        <f t="shared" si="182"/>
        <v>Zone_Entry_Exit</v>
      </c>
      <c r="AN1591" t="str">
        <f t="shared" si="183"/>
        <v>Zone_Entry</v>
      </c>
      <c r="AP1591" t="str">
        <f t="shared" si="184"/>
        <v>Defensive</v>
      </c>
      <c r="BB1591" s="23"/>
      <c r="BD1591" s="21"/>
      <c r="BE1591" s="21"/>
      <c r="BF1591" s="21"/>
      <c r="BG1591" s="21"/>
      <c r="BH1591" s="21"/>
      <c r="BI1591" s="21"/>
    </row>
    <row r="1592" spans="1:61" x14ac:dyDescent="0.2">
      <c r="A1592">
        <v>838</v>
      </c>
      <c r="B1592" t="s">
        <v>887</v>
      </c>
      <c r="C1592" t="str">
        <f t="shared" si="180"/>
        <v/>
      </c>
      <c r="D1592" t="str">
        <f t="shared" si="185"/>
        <v/>
      </c>
      <c r="H1592">
        <f t="shared" si="181"/>
        <v>2</v>
      </c>
      <c r="I1592" s="5" t="s">
        <v>888</v>
      </c>
      <c r="J1592" s="5" t="s">
        <v>724</v>
      </c>
      <c r="Q1592" t="s">
        <v>619</v>
      </c>
      <c r="R1592">
        <v>3</v>
      </c>
      <c r="S1592">
        <v>1</v>
      </c>
      <c r="T1592" t="str">
        <f t="shared" si="179"/>
        <v>e</v>
      </c>
      <c r="U1592" t="s">
        <v>8</v>
      </c>
      <c r="V1592" t="s">
        <v>199</v>
      </c>
      <c r="W1592" t="s">
        <v>70</v>
      </c>
      <c r="X1592" t="s">
        <v>705</v>
      </c>
      <c r="AF1592" t="s">
        <v>401</v>
      </c>
      <c r="AJ1592">
        <v>1</v>
      </c>
      <c r="AM1592" t="str">
        <f t="shared" si="182"/>
        <v>Pass</v>
      </c>
      <c r="AN1592" t="str">
        <f t="shared" si="183"/>
        <v>Pass_Missed</v>
      </c>
      <c r="AP1592" t="str">
        <f t="shared" si="184"/>
        <v>Offensive</v>
      </c>
      <c r="BB1592" s="23"/>
      <c r="BD1592" s="21"/>
      <c r="BE1592" s="21"/>
      <c r="BF1592" s="21"/>
      <c r="BG1592" s="21"/>
      <c r="BH1592" s="21"/>
      <c r="BI1592" s="21"/>
    </row>
    <row r="1593" spans="1:61" x14ac:dyDescent="0.2">
      <c r="A1593">
        <v>383</v>
      </c>
      <c r="B1593" t="s">
        <v>887</v>
      </c>
      <c r="C1593" t="str">
        <f t="shared" si="180"/>
        <v/>
      </c>
      <c r="D1593" t="str">
        <f t="shared" si="185"/>
        <v/>
      </c>
      <c r="H1593">
        <f t="shared" si="181"/>
        <v>2</v>
      </c>
      <c r="R1593">
        <v>56</v>
      </c>
      <c r="S1593">
        <v>1</v>
      </c>
      <c r="T1593" t="str">
        <f t="shared" si="179"/>
        <v>e</v>
      </c>
      <c r="AF1593" t="s">
        <v>401</v>
      </c>
      <c r="AM1593" t="str">
        <f t="shared" si="182"/>
        <v/>
      </c>
      <c r="AN1593" t="str">
        <f t="shared" si="183"/>
        <v/>
      </c>
      <c r="AP1593" t="str">
        <f t="shared" si="184"/>
        <v>Offensive</v>
      </c>
      <c r="BB1593" s="23"/>
      <c r="BD1593" s="21"/>
      <c r="BE1593" s="21"/>
      <c r="BF1593" s="21"/>
      <c r="BG1593" s="21"/>
      <c r="BH1593" s="21"/>
      <c r="BI1593" s="21"/>
    </row>
    <row r="1594" spans="1:61" x14ac:dyDescent="0.2">
      <c r="A1594">
        <v>383</v>
      </c>
      <c r="B1594" t="s">
        <v>887</v>
      </c>
      <c r="C1594" t="str">
        <f t="shared" si="180"/>
        <v/>
      </c>
      <c r="D1594" t="str">
        <f t="shared" si="185"/>
        <v/>
      </c>
      <c r="H1594">
        <f t="shared" si="181"/>
        <v>2</v>
      </c>
      <c r="R1594">
        <v>70</v>
      </c>
      <c r="T1594" t="str">
        <f t="shared" si="179"/>
        <v>o</v>
      </c>
      <c r="Y1594" t="s">
        <v>715</v>
      </c>
      <c r="AJ1594">
        <v>1</v>
      </c>
      <c r="AM1594" t="str">
        <f t="shared" si="182"/>
        <v/>
      </c>
      <c r="AN1594" t="str">
        <f t="shared" si="183"/>
        <v/>
      </c>
      <c r="AP1594" t="str">
        <f t="shared" si="184"/>
        <v>Defensive</v>
      </c>
      <c r="BB1594" s="23"/>
      <c r="BD1594" s="21"/>
      <c r="BE1594" s="21"/>
      <c r="BF1594" s="21"/>
      <c r="BG1594" s="21"/>
      <c r="BH1594" s="21"/>
      <c r="BI1594" s="21"/>
    </row>
    <row r="1595" spans="1:61" x14ac:dyDescent="0.2">
      <c r="A1595">
        <v>383</v>
      </c>
      <c r="B1595" t="s">
        <v>887</v>
      </c>
      <c r="C1595" t="str">
        <f t="shared" si="180"/>
        <v/>
      </c>
      <c r="D1595" t="str">
        <f t="shared" si="185"/>
        <v/>
      </c>
      <c r="H1595">
        <f t="shared" si="181"/>
        <v>2</v>
      </c>
      <c r="R1595">
        <v>84</v>
      </c>
      <c r="T1595" t="str">
        <f t="shared" si="179"/>
        <v>o</v>
      </c>
      <c r="Y1595" t="s">
        <v>722</v>
      </c>
      <c r="AM1595" t="str">
        <f t="shared" si="182"/>
        <v/>
      </c>
      <c r="AN1595" t="str">
        <f t="shared" si="183"/>
        <v/>
      </c>
      <c r="AP1595" t="str">
        <f t="shared" si="184"/>
        <v>Defensive</v>
      </c>
      <c r="BB1595" s="23"/>
      <c r="BD1595" s="21"/>
      <c r="BE1595" s="21"/>
      <c r="BF1595" s="21"/>
      <c r="BG1595" s="21"/>
      <c r="BH1595" s="21"/>
      <c r="BI1595" s="21"/>
    </row>
    <row r="1596" spans="1:61" x14ac:dyDescent="0.2">
      <c r="A1596">
        <v>834</v>
      </c>
      <c r="B1596" t="s">
        <v>887</v>
      </c>
      <c r="C1596" t="str">
        <f t="shared" si="180"/>
        <v/>
      </c>
      <c r="D1596" t="str">
        <f t="shared" si="185"/>
        <v/>
      </c>
      <c r="H1596">
        <f t="shared" si="181"/>
        <v>2</v>
      </c>
      <c r="I1596" s="5" t="s">
        <v>815</v>
      </c>
      <c r="J1596" s="5" t="s">
        <v>812</v>
      </c>
      <c r="K1596" s="5" t="s">
        <v>815</v>
      </c>
      <c r="L1596" s="7" t="s">
        <v>780</v>
      </c>
      <c r="Q1596" t="s">
        <v>620</v>
      </c>
      <c r="R1596">
        <v>75</v>
      </c>
      <c r="S1596">
        <v>1</v>
      </c>
      <c r="T1596" t="str">
        <f t="shared" si="179"/>
        <v>e</v>
      </c>
      <c r="U1596" t="s">
        <v>15</v>
      </c>
      <c r="V1596" t="s">
        <v>697</v>
      </c>
      <c r="X1596" t="s">
        <v>705</v>
      </c>
      <c r="Y1596" t="s">
        <v>725</v>
      </c>
      <c r="AA1596" t="s">
        <v>705</v>
      </c>
      <c r="AF1596" t="s">
        <v>623</v>
      </c>
      <c r="AM1596" t="str">
        <f t="shared" si="182"/>
        <v>Possession</v>
      </c>
      <c r="AN1596" t="str">
        <f t="shared" si="183"/>
        <v>PuckRetrieval</v>
      </c>
      <c r="AP1596" t="str">
        <f t="shared" si="184"/>
        <v>Offensive</v>
      </c>
      <c r="BB1596" s="23"/>
      <c r="BD1596" s="21"/>
      <c r="BE1596" s="21"/>
      <c r="BF1596" s="21"/>
      <c r="BG1596" s="21"/>
      <c r="BH1596" s="21"/>
      <c r="BI1596" s="21"/>
    </row>
    <row r="1597" spans="1:61" x14ac:dyDescent="0.2">
      <c r="A1597">
        <v>835</v>
      </c>
      <c r="B1597">
        <v>140</v>
      </c>
      <c r="C1597">
        <f t="shared" si="180"/>
        <v>9140</v>
      </c>
      <c r="D1597">
        <f t="shared" si="185"/>
        <v>9140</v>
      </c>
      <c r="H1597">
        <f t="shared" si="181"/>
        <v>2</v>
      </c>
      <c r="I1597" s="5" t="s">
        <v>815</v>
      </c>
      <c r="J1597" s="5" t="s">
        <v>780</v>
      </c>
      <c r="Q1597" t="s">
        <v>620</v>
      </c>
      <c r="R1597">
        <v>75</v>
      </c>
      <c r="S1597">
        <v>1</v>
      </c>
      <c r="T1597" t="str">
        <f t="shared" si="179"/>
        <v>e</v>
      </c>
      <c r="U1597" t="s">
        <v>8</v>
      </c>
      <c r="V1597" t="s">
        <v>199</v>
      </c>
      <c r="W1597" t="s">
        <v>70</v>
      </c>
      <c r="X1597" t="s">
        <v>705</v>
      </c>
      <c r="Y1597" t="s">
        <v>744</v>
      </c>
      <c r="AA1597" t="s">
        <v>705</v>
      </c>
      <c r="AF1597" t="s">
        <v>623</v>
      </c>
      <c r="AM1597" t="str">
        <f t="shared" si="182"/>
        <v>Pass</v>
      </c>
      <c r="AN1597" t="str">
        <f t="shared" si="183"/>
        <v>Pass_Missed</v>
      </c>
      <c r="AP1597" t="str">
        <f t="shared" si="184"/>
        <v>Offensive</v>
      </c>
      <c r="BB1597" s="23"/>
      <c r="BD1597" s="21"/>
      <c r="BE1597" s="21"/>
      <c r="BF1597" s="21"/>
      <c r="BG1597" s="21"/>
      <c r="BH1597" s="21"/>
      <c r="BI1597" s="21"/>
    </row>
    <row r="1598" spans="1:61" x14ac:dyDescent="0.2">
      <c r="A1598">
        <v>835</v>
      </c>
      <c r="B1598">
        <v>140</v>
      </c>
      <c r="C1598">
        <f t="shared" si="180"/>
        <v>9140</v>
      </c>
      <c r="D1598">
        <f t="shared" si="185"/>
        <v>9140</v>
      </c>
      <c r="H1598">
        <f t="shared" si="181"/>
        <v>2</v>
      </c>
      <c r="R1598">
        <v>24</v>
      </c>
      <c r="S1598">
        <v>1</v>
      </c>
      <c r="T1598" t="str">
        <f t="shared" si="179"/>
        <v>e</v>
      </c>
      <c r="AM1598" t="str">
        <f t="shared" si="182"/>
        <v>Pass</v>
      </c>
      <c r="AN1598" t="str">
        <f t="shared" si="183"/>
        <v>Pass_Missed</v>
      </c>
      <c r="AP1598" t="str">
        <f t="shared" si="184"/>
        <v>Offensive</v>
      </c>
      <c r="BB1598" s="23"/>
      <c r="BD1598" s="21"/>
      <c r="BE1598" s="21"/>
      <c r="BF1598" s="21"/>
      <c r="BG1598" s="21"/>
      <c r="BH1598" s="21"/>
      <c r="BI1598" s="21"/>
    </row>
    <row r="1599" spans="1:61" x14ac:dyDescent="0.2">
      <c r="A1599">
        <v>836</v>
      </c>
      <c r="B1599">
        <v>140</v>
      </c>
      <c r="C1599">
        <f t="shared" si="180"/>
        <v>9140</v>
      </c>
      <c r="D1599">
        <f t="shared" si="185"/>
        <v>9140</v>
      </c>
      <c r="H1599">
        <f t="shared" si="181"/>
        <v>2</v>
      </c>
      <c r="I1599" s="5" t="s">
        <v>815</v>
      </c>
      <c r="J1599" s="5" t="s">
        <v>780</v>
      </c>
      <c r="Q1599" t="s">
        <v>620</v>
      </c>
      <c r="R1599">
        <v>75</v>
      </c>
      <c r="S1599">
        <v>1</v>
      </c>
      <c r="T1599" t="str">
        <f t="shared" si="179"/>
        <v>e</v>
      </c>
      <c r="U1599" t="s">
        <v>257</v>
      </c>
      <c r="V1599" t="s">
        <v>201</v>
      </c>
      <c r="W1599" t="s">
        <v>409</v>
      </c>
      <c r="X1599" t="s">
        <v>705</v>
      </c>
      <c r="AF1599" t="s">
        <v>623</v>
      </c>
      <c r="AM1599" t="str">
        <f t="shared" si="182"/>
        <v>Zone_Entry_Exit</v>
      </c>
      <c r="AN1599" t="str">
        <f t="shared" si="183"/>
        <v>Zone_Exit</v>
      </c>
      <c r="AP1599" t="str">
        <f t="shared" si="184"/>
        <v>Offensive</v>
      </c>
      <c r="BB1599" s="23"/>
      <c r="BD1599" s="21"/>
      <c r="BE1599" s="21"/>
      <c r="BF1599" s="21"/>
      <c r="BG1599" s="21"/>
      <c r="BH1599" s="21"/>
      <c r="BI1599" s="21"/>
    </row>
    <row r="1600" spans="1:61" x14ac:dyDescent="0.2">
      <c r="A1600">
        <v>836</v>
      </c>
      <c r="B1600">
        <v>140</v>
      </c>
      <c r="C1600">
        <f t="shared" si="180"/>
        <v>9140</v>
      </c>
      <c r="D1600">
        <f t="shared" si="185"/>
        <v>9140</v>
      </c>
      <c r="H1600">
        <f t="shared" si="181"/>
        <v>2</v>
      </c>
      <c r="R1600">
        <v>24</v>
      </c>
      <c r="S1600">
        <v>1</v>
      </c>
      <c r="T1600" t="str">
        <f t="shared" si="179"/>
        <v>e</v>
      </c>
      <c r="AM1600" t="str">
        <f t="shared" si="182"/>
        <v>Zone_Entry_Exit</v>
      </c>
      <c r="AN1600" t="str">
        <f t="shared" si="183"/>
        <v>Zone_Exit</v>
      </c>
      <c r="AP1600" t="str">
        <f t="shared" si="184"/>
        <v>Offensive</v>
      </c>
      <c r="BB1600" s="23"/>
      <c r="BD1600" s="21"/>
      <c r="BE1600" s="21"/>
      <c r="BF1600" s="21"/>
      <c r="BG1600" s="21"/>
      <c r="BH1600" s="21"/>
      <c r="BI1600" s="21"/>
    </row>
    <row r="1601" spans="1:61" x14ac:dyDescent="0.2">
      <c r="A1601">
        <v>837</v>
      </c>
      <c r="B1601">
        <v>140</v>
      </c>
      <c r="C1601">
        <f t="shared" si="180"/>
        <v>9140</v>
      </c>
      <c r="D1601">
        <f t="shared" si="185"/>
        <v>9140</v>
      </c>
      <c r="H1601">
        <f t="shared" si="181"/>
        <v>2</v>
      </c>
      <c r="I1601" s="5" t="s">
        <v>815</v>
      </c>
      <c r="J1601" s="5" t="s">
        <v>780</v>
      </c>
      <c r="Q1601" t="s">
        <v>620</v>
      </c>
      <c r="R1601">
        <v>75</v>
      </c>
      <c r="S1601">
        <v>1</v>
      </c>
      <c r="T1601" t="str">
        <f t="shared" si="179"/>
        <v>e</v>
      </c>
      <c r="U1601" t="s">
        <v>10</v>
      </c>
      <c r="V1601" t="s">
        <v>190</v>
      </c>
      <c r="W1601" t="s">
        <v>76</v>
      </c>
      <c r="Y1601" t="s">
        <v>744</v>
      </c>
      <c r="AA1601" t="s">
        <v>705</v>
      </c>
      <c r="AF1601" t="s">
        <v>623</v>
      </c>
      <c r="AM1601" t="str">
        <f t="shared" si="182"/>
        <v>Turnover</v>
      </c>
      <c r="AN1601" t="str">
        <f t="shared" si="183"/>
        <v>Turnover_Giveaway</v>
      </c>
      <c r="AP1601" t="str">
        <f t="shared" si="184"/>
        <v>Offensive</v>
      </c>
      <c r="BB1601" s="23"/>
      <c r="BD1601" s="21"/>
      <c r="BE1601" s="21"/>
      <c r="BF1601" s="21"/>
      <c r="BG1601" s="21"/>
      <c r="BH1601" s="21"/>
      <c r="BI1601" s="21"/>
    </row>
    <row r="1602" spans="1:61" x14ac:dyDescent="0.2">
      <c r="A1602">
        <v>837</v>
      </c>
      <c r="B1602" t="s">
        <v>887</v>
      </c>
      <c r="C1602" t="str">
        <f t="shared" si="180"/>
        <v/>
      </c>
      <c r="D1602" t="str">
        <f t="shared" si="185"/>
        <v/>
      </c>
      <c r="H1602">
        <f t="shared" si="181"/>
        <v>2</v>
      </c>
      <c r="R1602">
        <v>24</v>
      </c>
      <c r="S1602">
        <v>1</v>
      </c>
      <c r="T1602" t="str">
        <f t="shared" si="179"/>
        <v>e</v>
      </c>
      <c r="AM1602" t="str">
        <f t="shared" si="182"/>
        <v>Turnover</v>
      </c>
      <c r="AN1602" t="str">
        <f t="shared" si="183"/>
        <v>Turnover_Giveaway</v>
      </c>
      <c r="AP1602" t="str">
        <f t="shared" si="184"/>
        <v>Offensive</v>
      </c>
      <c r="BB1602" s="23"/>
      <c r="BD1602" s="21"/>
      <c r="BE1602" s="21"/>
      <c r="BF1602" s="21"/>
      <c r="BG1602" s="21"/>
      <c r="BH1602" s="21"/>
      <c r="BI1602" s="21"/>
    </row>
    <row r="1603" spans="1:61" x14ac:dyDescent="0.2">
      <c r="A1603">
        <v>838</v>
      </c>
      <c r="B1603" t="s">
        <v>887</v>
      </c>
      <c r="C1603" t="str">
        <f t="shared" si="180"/>
        <v/>
      </c>
      <c r="D1603" t="str">
        <f t="shared" si="185"/>
        <v/>
      </c>
      <c r="H1603">
        <f t="shared" si="181"/>
        <v>2</v>
      </c>
      <c r="I1603" s="5" t="s">
        <v>815</v>
      </c>
      <c r="J1603" s="5" t="s">
        <v>766</v>
      </c>
      <c r="K1603" s="5" t="s">
        <v>815</v>
      </c>
      <c r="L1603" s="7" t="s">
        <v>813</v>
      </c>
      <c r="Q1603" t="s">
        <v>619</v>
      </c>
      <c r="R1603">
        <v>12</v>
      </c>
      <c r="S1603">
        <v>1</v>
      </c>
      <c r="T1603" t="str">
        <f t="shared" ref="T1603:T1666" si="186">IF(S1603="x","",IF(S1603=1,"e","o"))</f>
        <v>e</v>
      </c>
      <c r="U1603" t="s">
        <v>15</v>
      </c>
      <c r="V1603" t="s">
        <v>697</v>
      </c>
      <c r="X1603" t="s">
        <v>706</v>
      </c>
      <c r="Y1603" t="s">
        <v>725</v>
      </c>
      <c r="AA1603" t="s">
        <v>706</v>
      </c>
      <c r="AF1603" t="s">
        <v>635</v>
      </c>
      <c r="AJ1603">
        <v>1</v>
      </c>
      <c r="AM1603" t="str">
        <f t="shared" si="182"/>
        <v>Possession</v>
      </c>
      <c r="AN1603" t="str">
        <f t="shared" si="183"/>
        <v>PuckRetrieval</v>
      </c>
      <c r="AP1603" t="str">
        <f t="shared" si="184"/>
        <v>Offensive</v>
      </c>
      <c r="BB1603" s="23"/>
      <c r="BD1603" s="21"/>
      <c r="BE1603" s="21"/>
      <c r="BF1603" s="21"/>
      <c r="BG1603" s="21"/>
      <c r="BH1603" s="21"/>
      <c r="BI1603" s="21"/>
    </row>
    <row r="1604" spans="1:61" x14ac:dyDescent="0.2">
      <c r="A1604">
        <v>383</v>
      </c>
      <c r="B1604" t="s">
        <v>887</v>
      </c>
      <c r="C1604" t="str">
        <f t="shared" ref="C1604:C1667" si="187">IF(B1604&lt;&gt;"",9000+B1604,"")</f>
        <v/>
      </c>
      <c r="D1604" t="str">
        <f t="shared" si="185"/>
        <v/>
      </c>
      <c r="H1604">
        <f t="shared" si="181"/>
        <v>2</v>
      </c>
      <c r="R1604">
        <v>24</v>
      </c>
      <c r="T1604" t="str">
        <f t="shared" si="186"/>
        <v>o</v>
      </c>
      <c r="AJ1604">
        <v>1</v>
      </c>
      <c r="AM1604" t="str">
        <f t="shared" si="182"/>
        <v/>
      </c>
      <c r="AN1604" t="str">
        <f t="shared" si="183"/>
        <v/>
      </c>
      <c r="AP1604" t="str">
        <f t="shared" si="184"/>
        <v>Defensive</v>
      </c>
      <c r="BB1604" s="23"/>
      <c r="BD1604" s="21"/>
      <c r="BE1604" s="21"/>
      <c r="BF1604" s="21"/>
      <c r="BG1604" s="21"/>
      <c r="BH1604" s="21"/>
      <c r="BI1604" s="21"/>
    </row>
    <row r="1605" spans="1:61" x14ac:dyDescent="0.2">
      <c r="A1605">
        <v>834</v>
      </c>
      <c r="B1605" t="s">
        <v>887</v>
      </c>
      <c r="C1605" t="str">
        <f t="shared" si="187"/>
        <v/>
      </c>
      <c r="D1605" t="str">
        <f t="shared" si="185"/>
        <v/>
      </c>
      <c r="H1605">
        <f t="shared" ref="H1605:H1668" si="188">IF(U1605="Intermission",H1604+1,H1604)</f>
        <v>2</v>
      </c>
      <c r="I1605" s="5" t="s">
        <v>815</v>
      </c>
      <c r="J1605" s="5" t="s">
        <v>813</v>
      </c>
      <c r="K1605" s="5" t="s">
        <v>815</v>
      </c>
      <c r="L1605" s="7" t="s">
        <v>782</v>
      </c>
      <c r="Q1605" t="s">
        <v>619</v>
      </c>
      <c r="R1605">
        <v>12</v>
      </c>
      <c r="S1605">
        <v>1</v>
      </c>
      <c r="T1605" t="str">
        <f t="shared" si="186"/>
        <v>e</v>
      </c>
      <c r="U1605" t="s">
        <v>15</v>
      </c>
      <c r="Y1605" t="s">
        <v>767</v>
      </c>
      <c r="AA1605" t="s">
        <v>706</v>
      </c>
      <c r="AF1605" t="s">
        <v>635</v>
      </c>
      <c r="AJ1605">
        <v>1</v>
      </c>
      <c r="AM1605" t="str">
        <f t="shared" ref="AM1605:AM1668" si="189">IF(U1605&lt;&gt;"",U1605,IF($A1605=$A1604,AM1604,""))</f>
        <v>Possession</v>
      </c>
      <c r="AN1605" t="str">
        <f t="shared" ref="AN1605:AN1668" si="190">IF(V1605&lt;&gt;"",V1605,IF($A1605=$A1604,AN1604,""))</f>
        <v/>
      </c>
      <c r="AP1605" t="str">
        <f t="shared" si="184"/>
        <v>Offensive</v>
      </c>
      <c r="BB1605" s="23"/>
      <c r="BD1605" s="21"/>
      <c r="BE1605" s="21"/>
      <c r="BF1605" s="21"/>
      <c r="BG1605" s="21"/>
      <c r="BH1605" s="21"/>
      <c r="BI1605" s="21"/>
    </row>
    <row r="1606" spans="1:61" x14ac:dyDescent="0.2">
      <c r="A1606">
        <v>834</v>
      </c>
      <c r="B1606" t="s">
        <v>887</v>
      </c>
      <c r="C1606" t="str">
        <f t="shared" si="187"/>
        <v/>
      </c>
      <c r="D1606" t="str">
        <f t="shared" si="185"/>
        <v/>
      </c>
      <c r="H1606">
        <f t="shared" si="188"/>
        <v>2</v>
      </c>
      <c r="R1606">
        <v>70</v>
      </c>
      <c r="T1606" t="str">
        <f t="shared" si="186"/>
        <v>o</v>
      </c>
      <c r="Y1606" t="s">
        <v>714</v>
      </c>
      <c r="AA1606" t="s">
        <v>705</v>
      </c>
      <c r="AJ1606">
        <v>1</v>
      </c>
      <c r="AM1606" t="str">
        <f t="shared" si="189"/>
        <v>Possession</v>
      </c>
      <c r="AN1606" t="str">
        <f t="shared" si="190"/>
        <v/>
      </c>
      <c r="AP1606" t="str">
        <f t="shared" ref="AP1606:AP1669" si="191">IF(AND(T1606="e",OR(AM1606="Save",AN1606="Turnover_Takeaway",AN1606="Play_Defensive")),"Defensive",IF(AND(T1606="o",OR(AM1606="Save",AN1606="Turnover_Takeaway",AN1606="Play_Defensive")),"Offensive",IF(OR(AM1606="Deadice",AM1606="Stoppage",AM1606="Intermission"),"",IF(T1606="e","Offensive",IF(T1606="o","Defensive","")))))</f>
        <v>Defensive</v>
      </c>
      <c r="BB1606" s="23"/>
      <c r="BD1606" s="21"/>
      <c r="BE1606" s="21"/>
      <c r="BF1606" s="21"/>
      <c r="BG1606" s="21"/>
      <c r="BH1606" s="21"/>
      <c r="BI1606" s="21"/>
    </row>
    <row r="1607" spans="1:61" x14ac:dyDescent="0.2">
      <c r="A1607">
        <v>835</v>
      </c>
      <c r="B1607" t="s">
        <v>887</v>
      </c>
      <c r="C1607" t="str">
        <f t="shared" si="187"/>
        <v/>
      </c>
      <c r="D1607" t="str">
        <f t="shared" si="185"/>
        <v/>
      </c>
      <c r="H1607">
        <f t="shared" si="188"/>
        <v>2</v>
      </c>
      <c r="I1607" s="5" t="s">
        <v>815</v>
      </c>
      <c r="J1607" s="5" t="s">
        <v>782</v>
      </c>
      <c r="K1607" s="5" t="s">
        <v>815</v>
      </c>
      <c r="L1607" s="7" t="s">
        <v>732</v>
      </c>
      <c r="Q1607" t="s">
        <v>619</v>
      </c>
      <c r="R1607">
        <v>12</v>
      </c>
      <c r="S1607">
        <v>1</v>
      </c>
      <c r="T1607" t="str">
        <f t="shared" si="186"/>
        <v>e</v>
      </c>
      <c r="U1607" t="s">
        <v>257</v>
      </c>
      <c r="V1607" t="s">
        <v>191</v>
      </c>
      <c r="W1607" t="s">
        <v>87</v>
      </c>
      <c r="X1607" t="s">
        <v>705</v>
      </c>
      <c r="Y1607" t="s">
        <v>677</v>
      </c>
      <c r="AF1607" t="s">
        <v>401</v>
      </c>
      <c r="AJ1607">
        <v>1</v>
      </c>
      <c r="AM1607" t="str">
        <f t="shared" si="189"/>
        <v>Zone_Entry_Exit</v>
      </c>
      <c r="AN1607" t="str">
        <f t="shared" si="190"/>
        <v>Zone_Entry</v>
      </c>
      <c r="AP1607" t="str">
        <f t="shared" si="191"/>
        <v>Offensive</v>
      </c>
      <c r="BB1607" s="23"/>
      <c r="BD1607" s="21"/>
      <c r="BE1607" s="21"/>
      <c r="BF1607" s="21"/>
      <c r="BG1607" s="21"/>
      <c r="BH1607" s="21"/>
      <c r="BI1607" s="21"/>
    </row>
    <row r="1608" spans="1:61" x14ac:dyDescent="0.2">
      <c r="A1608">
        <v>835</v>
      </c>
      <c r="B1608" t="s">
        <v>887</v>
      </c>
      <c r="C1608" t="str">
        <f t="shared" si="187"/>
        <v/>
      </c>
      <c r="D1608" t="str">
        <f t="shared" si="185"/>
        <v/>
      </c>
      <c r="H1608">
        <f t="shared" si="188"/>
        <v>2</v>
      </c>
      <c r="R1608">
        <v>70</v>
      </c>
      <c r="T1608" t="str">
        <f t="shared" si="186"/>
        <v>o</v>
      </c>
      <c r="AM1608" t="str">
        <f t="shared" si="189"/>
        <v>Zone_Entry_Exit</v>
      </c>
      <c r="AN1608" t="str">
        <f t="shared" si="190"/>
        <v>Zone_Entry</v>
      </c>
      <c r="AP1608" t="str">
        <f t="shared" si="191"/>
        <v>Defensive</v>
      </c>
      <c r="BB1608" s="23"/>
      <c r="BD1608" s="21"/>
      <c r="BE1608" s="21"/>
      <c r="BF1608" s="21"/>
      <c r="BG1608" s="21"/>
      <c r="BH1608" s="21"/>
      <c r="BI1608" s="21"/>
    </row>
    <row r="1609" spans="1:61" x14ac:dyDescent="0.2">
      <c r="A1609">
        <v>835</v>
      </c>
      <c r="B1609" t="s">
        <v>887</v>
      </c>
      <c r="C1609" t="str">
        <f t="shared" si="187"/>
        <v/>
      </c>
      <c r="D1609" t="str">
        <f t="shared" ref="D1609:D1672" si="192">IF(C1609&lt;&gt;"",C1609,B1609)</f>
        <v/>
      </c>
      <c r="H1609">
        <f t="shared" si="188"/>
        <v>2</v>
      </c>
      <c r="R1609">
        <v>91</v>
      </c>
      <c r="T1609" t="str">
        <f t="shared" si="186"/>
        <v>o</v>
      </c>
      <c r="Y1609" t="s">
        <v>715</v>
      </c>
      <c r="AA1609" t="s">
        <v>706</v>
      </c>
      <c r="AJ1609">
        <v>1</v>
      </c>
      <c r="AM1609" t="str">
        <f t="shared" si="189"/>
        <v>Zone_Entry_Exit</v>
      </c>
      <c r="AN1609" t="str">
        <f t="shared" si="190"/>
        <v>Zone_Entry</v>
      </c>
      <c r="AP1609" t="str">
        <f t="shared" si="191"/>
        <v>Defensive</v>
      </c>
      <c r="BB1609" s="23"/>
      <c r="BD1609" s="21"/>
      <c r="BE1609" s="21"/>
      <c r="BF1609" s="21"/>
      <c r="BG1609" s="21"/>
      <c r="BH1609" s="21"/>
      <c r="BI1609" s="21"/>
    </row>
    <row r="1610" spans="1:61" x14ac:dyDescent="0.2">
      <c r="A1610">
        <v>836</v>
      </c>
      <c r="B1610" t="s">
        <v>887</v>
      </c>
      <c r="C1610" t="str">
        <f t="shared" si="187"/>
        <v/>
      </c>
      <c r="D1610" t="str">
        <f t="shared" si="192"/>
        <v/>
      </c>
      <c r="H1610">
        <f t="shared" si="188"/>
        <v>2</v>
      </c>
      <c r="I1610" s="5" t="s">
        <v>815</v>
      </c>
      <c r="J1610" s="5" t="s">
        <v>732</v>
      </c>
      <c r="Q1610" t="s">
        <v>620</v>
      </c>
      <c r="R1610">
        <v>91</v>
      </c>
      <c r="S1610">
        <v>1</v>
      </c>
      <c r="T1610" t="str">
        <f t="shared" si="186"/>
        <v>e</v>
      </c>
      <c r="U1610" t="s">
        <v>10</v>
      </c>
      <c r="V1610" t="s">
        <v>200</v>
      </c>
      <c r="W1610" t="s">
        <v>82</v>
      </c>
      <c r="X1610" t="s">
        <v>706</v>
      </c>
      <c r="Y1610" t="s">
        <v>714</v>
      </c>
      <c r="AA1610" t="s">
        <v>706</v>
      </c>
      <c r="AF1610" t="s">
        <v>623</v>
      </c>
      <c r="AJ1610">
        <v>1</v>
      </c>
      <c r="AM1610" t="str">
        <f t="shared" si="189"/>
        <v>Turnover</v>
      </c>
      <c r="AN1610" t="str">
        <f t="shared" si="190"/>
        <v>Turnover_Takeaway</v>
      </c>
      <c r="AP1610" t="str">
        <f t="shared" si="191"/>
        <v>Defensive</v>
      </c>
      <c r="BB1610" s="23"/>
      <c r="BD1610" s="21"/>
      <c r="BE1610" s="21"/>
      <c r="BF1610" s="21"/>
      <c r="BG1610" s="21"/>
      <c r="BH1610" s="21"/>
      <c r="BI1610" s="21"/>
    </row>
    <row r="1611" spans="1:61" x14ac:dyDescent="0.2">
      <c r="A1611">
        <v>836</v>
      </c>
      <c r="B1611" t="s">
        <v>887</v>
      </c>
      <c r="C1611" t="str">
        <f t="shared" si="187"/>
        <v/>
      </c>
      <c r="D1611" t="str">
        <f t="shared" si="192"/>
        <v/>
      </c>
      <c r="H1611">
        <f t="shared" si="188"/>
        <v>2</v>
      </c>
      <c r="R1611">
        <v>12</v>
      </c>
      <c r="T1611" t="str">
        <f t="shared" si="186"/>
        <v>o</v>
      </c>
      <c r="Y1611" t="s">
        <v>677</v>
      </c>
      <c r="AJ1611">
        <v>1</v>
      </c>
      <c r="AM1611" t="str">
        <f t="shared" si="189"/>
        <v>Turnover</v>
      </c>
      <c r="AN1611" t="str">
        <f t="shared" si="190"/>
        <v>Turnover_Takeaway</v>
      </c>
      <c r="AP1611" t="str">
        <f t="shared" si="191"/>
        <v>Offensive</v>
      </c>
      <c r="BB1611" s="23"/>
      <c r="BD1611" s="21"/>
      <c r="BE1611" s="21"/>
      <c r="BF1611" s="21"/>
      <c r="BG1611" s="21"/>
      <c r="BH1611" s="21"/>
      <c r="BI1611" s="21"/>
    </row>
    <row r="1612" spans="1:61" x14ac:dyDescent="0.2">
      <c r="A1612">
        <v>837</v>
      </c>
      <c r="B1612" t="s">
        <v>887</v>
      </c>
      <c r="C1612" t="str">
        <f t="shared" si="187"/>
        <v/>
      </c>
      <c r="D1612" t="str">
        <f t="shared" si="192"/>
        <v/>
      </c>
      <c r="H1612">
        <f t="shared" si="188"/>
        <v>2</v>
      </c>
      <c r="I1612" s="5" t="s">
        <v>815</v>
      </c>
      <c r="J1612" s="5" t="s">
        <v>732</v>
      </c>
      <c r="Q1612" t="s">
        <v>620</v>
      </c>
      <c r="R1612">
        <v>84</v>
      </c>
      <c r="S1612">
        <v>1</v>
      </c>
      <c r="T1612" t="str">
        <f t="shared" si="186"/>
        <v>e</v>
      </c>
      <c r="U1612" t="s">
        <v>15</v>
      </c>
      <c r="V1612" t="s">
        <v>697</v>
      </c>
      <c r="X1612" t="s">
        <v>706</v>
      </c>
      <c r="Y1612" t="s">
        <v>712</v>
      </c>
      <c r="AA1612" t="s">
        <v>706</v>
      </c>
      <c r="AF1612" t="s">
        <v>623</v>
      </c>
      <c r="AJ1612">
        <v>1</v>
      </c>
      <c r="AM1612" t="str">
        <f t="shared" si="189"/>
        <v>Possession</v>
      </c>
      <c r="AN1612" t="str">
        <f t="shared" si="190"/>
        <v>PuckRetrieval</v>
      </c>
      <c r="AP1612" t="str">
        <f t="shared" si="191"/>
        <v>Offensive</v>
      </c>
      <c r="BB1612" s="23"/>
      <c r="BD1612" s="21"/>
      <c r="BE1612" s="21"/>
      <c r="BF1612" s="21"/>
      <c r="BG1612" s="21"/>
      <c r="BH1612" s="21"/>
      <c r="BI1612" s="21"/>
    </row>
    <row r="1613" spans="1:61" x14ac:dyDescent="0.2">
      <c r="A1613">
        <v>837</v>
      </c>
      <c r="B1613" t="s">
        <v>887</v>
      </c>
      <c r="C1613" t="str">
        <f t="shared" si="187"/>
        <v/>
      </c>
      <c r="D1613" t="str">
        <f t="shared" si="192"/>
        <v/>
      </c>
      <c r="H1613">
        <f t="shared" si="188"/>
        <v>2</v>
      </c>
      <c r="R1613">
        <v>12</v>
      </c>
      <c r="T1613" t="str">
        <f t="shared" si="186"/>
        <v>o</v>
      </c>
      <c r="Y1613" t="s">
        <v>775</v>
      </c>
      <c r="AA1613" t="s">
        <v>705</v>
      </c>
      <c r="AJ1613">
        <v>1</v>
      </c>
      <c r="AM1613" t="str">
        <f t="shared" si="189"/>
        <v>Possession</v>
      </c>
      <c r="AN1613" t="str">
        <f t="shared" si="190"/>
        <v>PuckRetrieval</v>
      </c>
      <c r="AP1613" t="str">
        <f t="shared" si="191"/>
        <v>Defensive</v>
      </c>
      <c r="BB1613" s="23"/>
      <c r="BD1613" s="21"/>
      <c r="BE1613" s="21"/>
      <c r="BF1613" s="21"/>
      <c r="BG1613" s="21"/>
      <c r="BH1613" s="21"/>
      <c r="BI1613" s="21"/>
    </row>
    <row r="1614" spans="1:61" x14ac:dyDescent="0.2">
      <c r="A1614">
        <v>837</v>
      </c>
      <c r="B1614" t="s">
        <v>887</v>
      </c>
      <c r="C1614" t="str">
        <f t="shared" si="187"/>
        <v/>
      </c>
      <c r="D1614" t="str">
        <f t="shared" si="192"/>
        <v/>
      </c>
      <c r="H1614">
        <f t="shared" si="188"/>
        <v>2</v>
      </c>
      <c r="R1614">
        <v>56</v>
      </c>
      <c r="T1614" t="str">
        <f t="shared" si="186"/>
        <v>o</v>
      </c>
      <c r="Y1614" t="s">
        <v>775</v>
      </c>
      <c r="AA1614" t="s">
        <v>705</v>
      </c>
      <c r="AJ1614">
        <v>1</v>
      </c>
      <c r="AM1614" t="str">
        <f t="shared" si="189"/>
        <v>Possession</v>
      </c>
      <c r="AN1614" t="str">
        <f t="shared" si="190"/>
        <v>PuckRetrieval</v>
      </c>
      <c r="AP1614" t="str">
        <f t="shared" si="191"/>
        <v>Defensive</v>
      </c>
      <c r="BB1614" s="23"/>
      <c r="BD1614" s="21"/>
      <c r="BE1614" s="21"/>
      <c r="BF1614" s="21"/>
      <c r="BG1614" s="21"/>
      <c r="BH1614" s="21"/>
      <c r="BI1614" s="21"/>
    </row>
    <row r="1615" spans="1:61" x14ac:dyDescent="0.2">
      <c r="A1615">
        <v>838</v>
      </c>
      <c r="B1615" t="s">
        <v>887</v>
      </c>
      <c r="C1615" t="str">
        <f t="shared" si="187"/>
        <v/>
      </c>
      <c r="D1615" t="str">
        <f t="shared" si="192"/>
        <v/>
      </c>
      <c r="H1615">
        <f t="shared" si="188"/>
        <v>2</v>
      </c>
      <c r="I1615" s="5" t="s">
        <v>815</v>
      </c>
      <c r="J1615" s="5" t="s">
        <v>732</v>
      </c>
      <c r="Q1615" t="s">
        <v>620</v>
      </c>
      <c r="R1615">
        <v>84</v>
      </c>
      <c r="S1615">
        <v>1</v>
      </c>
      <c r="T1615" t="str">
        <f t="shared" si="186"/>
        <v>e</v>
      </c>
      <c r="U1615" t="s">
        <v>8</v>
      </c>
      <c r="V1615" t="s">
        <v>189</v>
      </c>
      <c r="W1615" t="s">
        <v>414</v>
      </c>
      <c r="X1615" t="s">
        <v>706</v>
      </c>
      <c r="AF1615" t="s">
        <v>623</v>
      </c>
      <c r="AJ1615">
        <v>1</v>
      </c>
      <c r="AM1615" t="str">
        <f t="shared" si="189"/>
        <v>Pass</v>
      </c>
      <c r="AN1615" t="str">
        <f t="shared" si="190"/>
        <v>Pass_Completed</v>
      </c>
      <c r="AP1615" t="str">
        <f t="shared" si="191"/>
        <v>Offensive</v>
      </c>
      <c r="BB1615" s="23"/>
      <c r="BD1615" s="21"/>
      <c r="BE1615" s="21"/>
      <c r="BF1615" s="21"/>
      <c r="BG1615" s="21"/>
      <c r="BH1615" s="21"/>
      <c r="BI1615" s="21"/>
    </row>
    <row r="1616" spans="1:61" x14ac:dyDescent="0.2">
      <c r="A1616">
        <v>838</v>
      </c>
      <c r="B1616" t="s">
        <v>887</v>
      </c>
      <c r="C1616" t="str">
        <f t="shared" si="187"/>
        <v/>
      </c>
      <c r="D1616" t="str">
        <f t="shared" si="192"/>
        <v/>
      </c>
      <c r="H1616">
        <f t="shared" si="188"/>
        <v>2</v>
      </c>
      <c r="R1616">
        <v>70</v>
      </c>
      <c r="S1616">
        <v>1</v>
      </c>
      <c r="T1616" t="str">
        <f t="shared" si="186"/>
        <v>e</v>
      </c>
      <c r="AM1616" t="str">
        <f t="shared" si="189"/>
        <v>Pass</v>
      </c>
      <c r="AN1616" t="str">
        <f t="shared" si="190"/>
        <v>Pass_Completed</v>
      </c>
      <c r="AP1616" t="str">
        <f t="shared" si="191"/>
        <v>Offensive</v>
      </c>
      <c r="BB1616" s="23"/>
      <c r="BD1616" s="21"/>
      <c r="BE1616" s="21"/>
      <c r="BF1616" s="21"/>
      <c r="BG1616" s="21"/>
      <c r="BH1616" s="21"/>
      <c r="BI1616" s="21"/>
    </row>
    <row r="1617" spans="1:61" x14ac:dyDescent="0.2">
      <c r="A1617">
        <v>838</v>
      </c>
      <c r="B1617" t="s">
        <v>887</v>
      </c>
      <c r="C1617" t="str">
        <f t="shared" si="187"/>
        <v/>
      </c>
      <c r="D1617" t="str">
        <f t="shared" si="192"/>
        <v/>
      </c>
      <c r="H1617">
        <f t="shared" si="188"/>
        <v>2</v>
      </c>
      <c r="R1617">
        <v>12</v>
      </c>
      <c r="T1617" t="str">
        <f t="shared" si="186"/>
        <v>o</v>
      </c>
      <c r="Y1617" t="s">
        <v>715</v>
      </c>
      <c r="AJ1617">
        <v>1</v>
      </c>
      <c r="AM1617" t="str">
        <f t="shared" si="189"/>
        <v>Pass</v>
      </c>
      <c r="AN1617" t="str">
        <f t="shared" si="190"/>
        <v>Pass_Completed</v>
      </c>
      <c r="AP1617" t="str">
        <f t="shared" si="191"/>
        <v>Defensive</v>
      </c>
      <c r="BB1617" s="23"/>
      <c r="BD1617" s="21"/>
      <c r="BE1617" s="21"/>
      <c r="BF1617" s="21"/>
      <c r="BG1617" s="21"/>
      <c r="BH1617" s="21"/>
      <c r="BI1617" s="21"/>
    </row>
    <row r="1618" spans="1:61" x14ac:dyDescent="0.2">
      <c r="A1618">
        <v>838</v>
      </c>
      <c r="B1618" t="s">
        <v>887</v>
      </c>
      <c r="C1618" t="str">
        <f t="shared" si="187"/>
        <v/>
      </c>
      <c r="D1618" t="str">
        <f t="shared" si="192"/>
        <v/>
      </c>
      <c r="H1618">
        <f t="shared" si="188"/>
        <v>2</v>
      </c>
      <c r="R1618">
        <v>56</v>
      </c>
      <c r="T1618" t="str">
        <f t="shared" si="186"/>
        <v>o</v>
      </c>
      <c r="Y1618" t="s">
        <v>715</v>
      </c>
      <c r="AJ1618">
        <v>1</v>
      </c>
      <c r="AM1618" t="str">
        <f t="shared" si="189"/>
        <v>Pass</v>
      </c>
      <c r="AN1618" t="str">
        <f t="shared" si="190"/>
        <v>Pass_Completed</v>
      </c>
      <c r="AP1618" t="str">
        <f t="shared" si="191"/>
        <v>Defensive</v>
      </c>
      <c r="BB1618" s="23"/>
      <c r="BD1618" s="21"/>
      <c r="BE1618" s="21"/>
      <c r="BF1618" s="21"/>
      <c r="BG1618" s="21"/>
      <c r="BH1618" s="21"/>
      <c r="BI1618" s="21"/>
    </row>
    <row r="1619" spans="1:61" x14ac:dyDescent="0.2">
      <c r="A1619">
        <v>839</v>
      </c>
      <c r="B1619" t="s">
        <v>887</v>
      </c>
      <c r="C1619" t="str">
        <f t="shared" si="187"/>
        <v/>
      </c>
      <c r="D1619" t="str">
        <f t="shared" si="192"/>
        <v/>
      </c>
      <c r="H1619">
        <f t="shared" si="188"/>
        <v>2</v>
      </c>
      <c r="I1619" s="5" t="s">
        <v>815</v>
      </c>
      <c r="J1619" s="5" t="s">
        <v>768</v>
      </c>
      <c r="K1619" s="5" t="s">
        <v>815</v>
      </c>
      <c r="L1619" s="7" t="s">
        <v>733</v>
      </c>
      <c r="Q1619" t="s">
        <v>620</v>
      </c>
      <c r="R1619">
        <v>70</v>
      </c>
      <c r="S1619">
        <v>1</v>
      </c>
      <c r="T1619" t="str">
        <f t="shared" si="186"/>
        <v>e</v>
      </c>
      <c r="U1619" t="s">
        <v>257</v>
      </c>
      <c r="V1619" t="s">
        <v>201</v>
      </c>
      <c r="W1619" t="s">
        <v>90</v>
      </c>
      <c r="X1619" t="s">
        <v>706</v>
      </c>
      <c r="AF1619" t="s">
        <v>623</v>
      </c>
      <c r="AM1619" t="str">
        <f t="shared" si="189"/>
        <v>Zone_Entry_Exit</v>
      </c>
      <c r="AN1619" t="str">
        <f t="shared" si="190"/>
        <v>Zone_Exit</v>
      </c>
      <c r="AP1619" t="str">
        <f t="shared" si="191"/>
        <v>Offensive</v>
      </c>
      <c r="BB1619" s="23"/>
      <c r="BD1619" s="21"/>
      <c r="BE1619" s="21"/>
      <c r="BF1619" s="21"/>
      <c r="BG1619" s="21"/>
      <c r="BH1619" s="21"/>
      <c r="BI1619" s="21"/>
    </row>
    <row r="1620" spans="1:61" x14ac:dyDescent="0.2">
      <c r="A1620">
        <v>840</v>
      </c>
      <c r="B1620" t="s">
        <v>887</v>
      </c>
      <c r="C1620" t="str">
        <f t="shared" si="187"/>
        <v/>
      </c>
      <c r="D1620" t="str">
        <f t="shared" si="192"/>
        <v/>
      </c>
      <c r="H1620">
        <f t="shared" si="188"/>
        <v>2</v>
      </c>
      <c r="I1620" s="5" t="s">
        <v>815</v>
      </c>
      <c r="J1620" s="5" t="s">
        <v>733</v>
      </c>
      <c r="K1620" s="5" t="s">
        <v>815</v>
      </c>
      <c r="L1620" s="7" t="s">
        <v>734</v>
      </c>
      <c r="Q1620" t="s">
        <v>620</v>
      </c>
      <c r="R1620">
        <v>70</v>
      </c>
      <c r="S1620">
        <v>1</v>
      </c>
      <c r="T1620" t="str">
        <f t="shared" si="186"/>
        <v>e</v>
      </c>
      <c r="U1620" t="s">
        <v>15</v>
      </c>
      <c r="AF1620" t="s">
        <v>635</v>
      </c>
      <c r="AM1620" t="str">
        <f t="shared" si="189"/>
        <v>Possession</v>
      </c>
      <c r="AN1620" t="str">
        <f t="shared" si="190"/>
        <v/>
      </c>
      <c r="AP1620" t="str">
        <f t="shared" si="191"/>
        <v>Offensive</v>
      </c>
      <c r="BB1620" s="23"/>
      <c r="BD1620" s="21"/>
      <c r="BE1620" s="21"/>
      <c r="BF1620" s="21"/>
      <c r="BG1620" s="21"/>
      <c r="BH1620" s="21"/>
      <c r="BI1620" s="21"/>
    </row>
    <row r="1621" spans="1:61" x14ac:dyDescent="0.2">
      <c r="A1621">
        <v>841</v>
      </c>
      <c r="B1621" t="s">
        <v>887</v>
      </c>
      <c r="C1621" t="str">
        <f t="shared" si="187"/>
        <v/>
      </c>
      <c r="D1621" t="str">
        <f t="shared" si="192"/>
        <v/>
      </c>
      <c r="H1621">
        <f t="shared" si="188"/>
        <v>2</v>
      </c>
      <c r="I1621" s="5" t="s">
        <v>815</v>
      </c>
      <c r="J1621" s="5" t="s">
        <v>734</v>
      </c>
      <c r="K1621" s="5" t="s">
        <v>815</v>
      </c>
      <c r="L1621" s="7" t="s">
        <v>735</v>
      </c>
      <c r="Q1621" t="s">
        <v>620</v>
      </c>
      <c r="R1621">
        <v>70</v>
      </c>
      <c r="S1621">
        <v>1</v>
      </c>
      <c r="T1621" t="str">
        <f t="shared" si="186"/>
        <v>e</v>
      </c>
      <c r="U1621" t="s">
        <v>257</v>
      </c>
      <c r="V1621" t="s">
        <v>191</v>
      </c>
      <c r="W1621" t="s">
        <v>87</v>
      </c>
      <c r="X1621" t="s">
        <v>705</v>
      </c>
      <c r="AF1621" t="s">
        <v>401</v>
      </c>
      <c r="AJ1621">
        <v>1</v>
      </c>
      <c r="AM1621" t="str">
        <f t="shared" si="189"/>
        <v>Zone_Entry_Exit</v>
      </c>
      <c r="AN1621" t="str">
        <f t="shared" si="190"/>
        <v>Zone_Entry</v>
      </c>
      <c r="AP1621" t="str">
        <f t="shared" si="191"/>
        <v>Offensive</v>
      </c>
      <c r="BB1621" s="23"/>
      <c r="BD1621" s="21"/>
      <c r="BE1621" s="21"/>
      <c r="BF1621" s="21"/>
      <c r="BG1621" s="21"/>
      <c r="BH1621" s="21"/>
      <c r="BI1621" s="21"/>
    </row>
    <row r="1622" spans="1:61" x14ac:dyDescent="0.2">
      <c r="A1622">
        <v>841</v>
      </c>
      <c r="B1622" t="s">
        <v>887</v>
      </c>
      <c r="C1622" t="str">
        <f t="shared" si="187"/>
        <v/>
      </c>
      <c r="D1622" t="str">
        <f t="shared" si="192"/>
        <v/>
      </c>
      <c r="H1622">
        <f t="shared" si="188"/>
        <v>2</v>
      </c>
      <c r="R1622">
        <v>4</v>
      </c>
      <c r="T1622" t="str">
        <f t="shared" si="186"/>
        <v>o</v>
      </c>
      <c r="Y1622" t="s">
        <v>715</v>
      </c>
      <c r="AA1622" t="s">
        <v>706</v>
      </c>
      <c r="AJ1622">
        <v>1</v>
      </c>
      <c r="AM1622" t="str">
        <f t="shared" si="189"/>
        <v>Zone_Entry_Exit</v>
      </c>
      <c r="AN1622" t="str">
        <f t="shared" si="190"/>
        <v>Zone_Entry</v>
      </c>
      <c r="AP1622" t="str">
        <f t="shared" si="191"/>
        <v>Defensive</v>
      </c>
      <c r="BB1622" s="23"/>
      <c r="BD1622" s="21"/>
      <c r="BE1622" s="21"/>
      <c r="BF1622" s="21"/>
      <c r="BG1622" s="21"/>
      <c r="BH1622" s="21"/>
      <c r="BI1622" s="21"/>
    </row>
    <row r="1623" spans="1:61" x14ac:dyDescent="0.2">
      <c r="A1623">
        <v>841</v>
      </c>
      <c r="B1623" t="s">
        <v>887</v>
      </c>
      <c r="C1623" t="str">
        <f t="shared" si="187"/>
        <v/>
      </c>
      <c r="D1623" t="str">
        <f t="shared" si="192"/>
        <v/>
      </c>
      <c r="H1623">
        <f t="shared" si="188"/>
        <v>2</v>
      </c>
      <c r="R1623">
        <v>3</v>
      </c>
      <c r="T1623" t="str">
        <f t="shared" si="186"/>
        <v>o</v>
      </c>
      <c r="Y1623" t="s">
        <v>824</v>
      </c>
      <c r="AJ1623">
        <v>1</v>
      </c>
      <c r="AM1623" t="str">
        <f t="shared" si="189"/>
        <v>Zone_Entry_Exit</v>
      </c>
      <c r="AN1623" t="str">
        <f t="shared" si="190"/>
        <v>Zone_Entry</v>
      </c>
      <c r="AP1623" t="str">
        <f t="shared" si="191"/>
        <v>Defensive</v>
      </c>
      <c r="BB1623" s="23"/>
      <c r="BD1623" s="21"/>
      <c r="BE1623" s="21"/>
      <c r="BF1623" s="21"/>
      <c r="BG1623" s="21"/>
      <c r="BH1623" s="21"/>
      <c r="BI1623" s="21"/>
    </row>
    <row r="1624" spans="1:61" x14ac:dyDescent="0.2">
      <c r="A1624">
        <v>841</v>
      </c>
      <c r="B1624" t="s">
        <v>887</v>
      </c>
      <c r="C1624" t="str">
        <f t="shared" si="187"/>
        <v/>
      </c>
      <c r="D1624" t="str">
        <f t="shared" si="192"/>
        <v/>
      </c>
      <c r="H1624">
        <f t="shared" si="188"/>
        <v>2</v>
      </c>
      <c r="R1624">
        <v>25</v>
      </c>
      <c r="T1624" t="str">
        <f t="shared" si="186"/>
        <v>o</v>
      </c>
      <c r="AM1624" t="str">
        <f t="shared" si="189"/>
        <v>Zone_Entry_Exit</v>
      </c>
      <c r="AN1624" t="str">
        <f t="shared" si="190"/>
        <v>Zone_Entry</v>
      </c>
      <c r="AP1624" t="str">
        <f t="shared" si="191"/>
        <v>Defensive</v>
      </c>
      <c r="BB1624" s="23"/>
      <c r="BD1624" s="21"/>
      <c r="BE1624" s="21"/>
      <c r="BF1624" s="21"/>
      <c r="BG1624" s="21"/>
      <c r="BH1624" s="21"/>
      <c r="BI1624" s="21"/>
    </row>
    <row r="1625" spans="1:61" x14ac:dyDescent="0.2">
      <c r="A1625">
        <v>842</v>
      </c>
      <c r="B1625" t="s">
        <v>887</v>
      </c>
      <c r="C1625" t="str">
        <f t="shared" si="187"/>
        <v/>
      </c>
      <c r="D1625" t="str">
        <f t="shared" si="192"/>
        <v/>
      </c>
      <c r="H1625">
        <f t="shared" si="188"/>
        <v>2</v>
      </c>
      <c r="I1625" s="5" t="s">
        <v>815</v>
      </c>
      <c r="J1625" s="5" t="s">
        <v>735</v>
      </c>
      <c r="Q1625" t="s">
        <v>619</v>
      </c>
      <c r="R1625">
        <v>3</v>
      </c>
      <c r="S1625">
        <v>1</v>
      </c>
      <c r="T1625" t="str">
        <f t="shared" si="186"/>
        <v>e</v>
      </c>
      <c r="U1625" t="s">
        <v>10</v>
      </c>
      <c r="V1625" t="s">
        <v>200</v>
      </c>
      <c r="W1625" t="s">
        <v>82</v>
      </c>
      <c r="X1625" t="s">
        <v>706</v>
      </c>
      <c r="AF1625" t="s">
        <v>623</v>
      </c>
      <c r="AJ1625">
        <v>1</v>
      </c>
      <c r="AM1625" t="str">
        <f t="shared" si="189"/>
        <v>Turnover</v>
      </c>
      <c r="AN1625" t="str">
        <f t="shared" si="190"/>
        <v>Turnover_Takeaway</v>
      </c>
      <c r="AP1625" t="str">
        <f t="shared" si="191"/>
        <v>Defensive</v>
      </c>
      <c r="BB1625" s="23"/>
      <c r="BD1625" s="21"/>
      <c r="BE1625" s="21"/>
      <c r="BF1625" s="21"/>
      <c r="BG1625" s="21"/>
      <c r="BH1625" s="21"/>
      <c r="BI1625" s="21"/>
    </row>
    <row r="1626" spans="1:61" x14ac:dyDescent="0.2">
      <c r="A1626">
        <v>842</v>
      </c>
      <c r="B1626" t="s">
        <v>887</v>
      </c>
      <c r="C1626" t="str">
        <f t="shared" si="187"/>
        <v/>
      </c>
      <c r="D1626" t="str">
        <f t="shared" si="192"/>
        <v/>
      </c>
      <c r="H1626">
        <f t="shared" si="188"/>
        <v>2</v>
      </c>
      <c r="R1626">
        <v>70</v>
      </c>
      <c r="T1626" t="str">
        <f t="shared" si="186"/>
        <v>o</v>
      </c>
      <c r="AJ1626">
        <v>1</v>
      </c>
      <c r="AM1626" t="str">
        <f t="shared" si="189"/>
        <v>Turnover</v>
      </c>
      <c r="AN1626" t="str">
        <f t="shared" si="190"/>
        <v>Turnover_Takeaway</v>
      </c>
      <c r="AP1626" t="str">
        <f t="shared" si="191"/>
        <v>Offensive</v>
      </c>
      <c r="BB1626" s="23"/>
      <c r="BD1626" s="21"/>
      <c r="BE1626" s="21"/>
      <c r="BF1626" s="21"/>
      <c r="BG1626" s="21"/>
      <c r="BH1626" s="21"/>
      <c r="BI1626" s="21"/>
    </row>
    <row r="1627" spans="1:61" x14ac:dyDescent="0.2">
      <c r="A1627">
        <v>843</v>
      </c>
      <c r="B1627" t="s">
        <v>887</v>
      </c>
      <c r="C1627" t="str">
        <f t="shared" si="187"/>
        <v/>
      </c>
      <c r="D1627" t="str">
        <f t="shared" si="192"/>
        <v/>
      </c>
      <c r="H1627">
        <f t="shared" si="188"/>
        <v>2</v>
      </c>
      <c r="I1627" s="5" t="s">
        <v>815</v>
      </c>
      <c r="J1627" s="5" t="s">
        <v>735</v>
      </c>
      <c r="K1627" s="5" t="s">
        <v>815</v>
      </c>
      <c r="L1627" s="7" t="s">
        <v>736</v>
      </c>
      <c r="Q1627" t="s">
        <v>619</v>
      </c>
      <c r="R1627">
        <v>3</v>
      </c>
      <c r="S1627">
        <v>1</v>
      </c>
      <c r="T1627" t="str">
        <f t="shared" si="186"/>
        <v>e</v>
      </c>
      <c r="U1627" t="s">
        <v>15</v>
      </c>
      <c r="AF1627" t="s">
        <v>623</v>
      </c>
      <c r="AM1627" t="str">
        <f t="shared" si="189"/>
        <v>Possession</v>
      </c>
      <c r="AN1627" t="str">
        <f t="shared" si="190"/>
        <v/>
      </c>
      <c r="AP1627" t="str">
        <f t="shared" si="191"/>
        <v>Offensive</v>
      </c>
      <c r="BB1627" s="23"/>
      <c r="BD1627" s="21"/>
      <c r="BE1627" s="21"/>
      <c r="BF1627" s="21"/>
      <c r="BG1627" s="21"/>
      <c r="BH1627" s="21"/>
      <c r="BI1627" s="21"/>
    </row>
    <row r="1628" spans="1:61" x14ac:dyDescent="0.2">
      <c r="A1628">
        <v>844</v>
      </c>
      <c r="B1628">
        <v>141</v>
      </c>
      <c r="C1628">
        <f t="shared" si="187"/>
        <v>9141</v>
      </c>
      <c r="D1628">
        <f t="shared" si="192"/>
        <v>9141</v>
      </c>
      <c r="H1628">
        <f t="shared" si="188"/>
        <v>2</v>
      </c>
      <c r="I1628" s="5" t="s">
        <v>815</v>
      </c>
      <c r="J1628" s="5" t="s">
        <v>736</v>
      </c>
      <c r="Q1628" t="s">
        <v>619</v>
      </c>
      <c r="R1628">
        <v>3</v>
      </c>
      <c r="S1628">
        <v>1</v>
      </c>
      <c r="T1628" t="str">
        <f t="shared" si="186"/>
        <v>e</v>
      </c>
      <c r="U1628" t="s">
        <v>8</v>
      </c>
      <c r="V1628" t="s">
        <v>189</v>
      </c>
      <c r="W1628" t="s">
        <v>70</v>
      </c>
      <c r="X1628" t="s">
        <v>706</v>
      </c>
      <c r="AF1628" t="s">
        <v>623</v>
      </c>
      <c r="AJ1628">
        <v>1</v>
      </c>
      <c r="AM1628" t="str">
        <f t="shared" si="189"/>
        <v>Pass</v>
      </c>
      <c r="AN1628" t="str">
        <f t="shared" si="190"/>
        <v>Pass_Completed</v>
      </c>
      <c r="AP1628" t="str">
        <f t="shared" si="191"/>
        <v>Offensive</v>
      </c>
      <c r="BB1628" s="23"/>
      <c r="BD1628" s="21"/>
      <c r="BE1628" s="21"/>
      <c r="BF1628" s="21"/>
      <c r="BG1628" s="21"/>
      <c r="BH1628" s="21"/>
      <c r="BI1628" s="21"/>
    </row>
    <row r="1629" spans="1:61" x14ac:dyDescent="0.2">
      <c r="A1629">
        <v>844</v>
      </c>
      <c r="B1629">
        <v>141</v>
      </c>
      <c r="C1629">
        <f t="shared" si="187"/>
        <v>9141</v>
      </c>
      <c r="D1629">
        <f t="shared" si="192"/>
        <v>9141</v>
      </c>
      <c r="H1629">
        <f t="shared" si="188"/>
        <v>2</v>
      </c>
      <c r="R1629">
        <v>56</v>
      </c>
      <c r="S1629">
        <v>1</v>
      </c>
      <c r="T1629" t="str">
        <f t="shared" si="186"/>
        <v>e</v>
      </c>
      <c r="AM1629" t="str">
        <f t="shared" si="189"/>
        <v>Pass</v>
      </c>
      <c r="AN1629" t="str">
        <f t="shared" si="190"/>
        <v>Pass_Completed</v>
      </c>
      <c r="AP1629" t="str">
        <f t="shared" si="191"/>
        <v>Offensive</v>
      </c>
      <c r="BB1629" s="23"/>
      <c r="BD1629" s="21"/>
      <c r="BE1629" s="21"/>
      <c r="BF1629" s="21"/>
      <c r="BG1629" s="21"/>
      <c r="BH1629" s="21"/>
      <c r="BI1629" s="21"/>
    </row>
    <row r="1630" spans="1:61" x14ac:dyDescent="0.2">
      <c r="A1630">
        <v>844</v>
      </c>
      <c r="B1630">
        <v>141</v>
      </c>
      <c r="C1630">
        <f t="shared" si="187"/>
        <v>9141</v>
      </c>
      <c r="D1630">
        <f t="shared" si="192"/>
        <v>9141</v>
      </c>
      <c r="H1630">
        <f t="shared" si="188"/>
        <v>2</v>
      </c>
      <c r="R1630">
        <v>24</v>
      </c>
      <c r="T1630" t="str">
        <f t="shared" si="186"/>
        <v>o</v>
      </c>
      <c r="AJ1630">
        <v>1</v>
      </c>
      <c r="AM1630" t="str">
        <f t="shared" si="189"/>
        <v>Pass</v>
      </c>
      <c r="AN1630" t="str">
        <f t="shared" si="190"/>
        <v>Pass_Completed</v>
      </c>
      <c r="AP1630" t="str">
        <f t="shared" si="191"/>
        <v>Defensive</v>
      </c>
      <c r="BB1630" s="23"/>
      <c r="BD1630" s="21"/>
      <c r="BE1630" s="21"/>
      <c r="BF1630" s="21"/>
      <c r="BG1630" s="21"/>
      <c r="BH1630" s="21"/>
      <c r="BI1630" s="21"/>
    </row>
    <row r="1631" spans="1:61" x14ac:dyDescent="0.2">
      <c r="A1631">
        <v>845</v>
      </c>
      <c r="B1631">
        <v>141</v>
      </c>
      <c r="C1631">
        <f t="shared" si="187"/>
        <v>9141</v>
      </c>
      <c r="D1631">
        <f t="shared" si="192"/>
        <v>9141</v>
      </c>
      <c r="H1631">
        <f t="shared" si="188"/>
        <v>2</v>
      </c>
      <c r="I1631" s="5" t="s">
        <v>815</v>
      </c>
      <c r="J1631" s="5" t="s">
        <v>736</v>
      </c>
      <c r="Q1631" t="s">
        <v>619</v>
      </c>
      <c r="R1631">
        <v>3</v>
      </c>
      <c r="S1631">
        <v>1</v>
      </c>
      <c r="T1631" t="str">
        <f t="shared" si="186"/>
        <v>e</v>
      </c>
      <c r="U1631" t="s">
        <v>257</v>
      </c>
      <c r="V1631" t="s">
        <v>201</v>
      </c>
      <c r="W1631" t="s">
        <v>90</v>
      </c>
      <c r="X1631" t="s">
        <v>706</v>
      </c>
      <c r="AF1631" t="s">
        <v>623</v>
      </c>
      <c r="AJ1631">
        <v>1</v>
      </c>
      <c r="AM1631" t="str">
        <f t="shared" si="189"/>
        <v>Zone_Entry_Exit</v>
      </c>
      <c r="AN1631" t="str">
        <f t="shared" si="190"/>
        <v>Zone_Exit</v>
      </c>
      <c r="AP1631" t="str">
        <f t="shared" si="191"/>
        <v>Offensive</v>
      </c>
      <c r="BB1631" s="23"/>
      <c r="BD1631" s="21"/>
      <c r="BE1631" s="21"/>
      <c r="BF1631" s="21"/>
      <c r="BG1631" s="21"/>
      <c r="BH1631" s="21"/>
      <c r="BI1631" s="21"/>
    </row>
    <row r="1632" spans="1:61" x14ac:dyDescent="0.2">
      <c r="A1632">
        <v>845</v>
      </c>
      <c r="B1632">
        <v>141</v>
      </c>
      <c r="C1632">
        <f t="shared" si="187"/>
        <v>9141</v>
      </c>
      <c r="D1632">
        <f t="shared" si="192"/>
        <v>9141</v>
      </c>
      <c r="H1632">
        <f t="shared" si="188"/>
        <v>2</v>
      </c>
      <c r="R1632">
        <v>56</v>
      </c>
      <c r="S1632">
        <v>1</v>
      </c>
      <c r="T1632" t="str">
        <f t="shared" si="186"/>
        <v>e</v>
      </c>
      <c r="AM1632" t="str">
        <f t="shared" si="189"/>
        <v>Zone_Entry_Exit</v>
      </c>
      <c r="AN1632" t="str">
        <f t="shared" si="190"/>
        <v>Zone_Exit</v>
      </c>
      <c r="AP1632" t="str">
        <f t="shared" si="191"/>
        <v>Offensive</v>
      </c>
      <c r="BB1632" s="23"/>
      <c r="BD1632" s="21"/>
      <c r="BE1632" s="21"/>
      <c r="BF1632" s="21"/>
      <c r="BG1632" s="21"/>
      <c r="BH1632" s="21"/>
      <c r="BI1632" s="21"/>
    </row>
    <row r="1633" spans="1:61" x14ac:dyDescent="0.2">
      <c r="A1633">
        <v>845</v>
      </c>
      <c r="B1633" t="s">
        <v>887</v>
      </c>
      <c r="C1633" t="str">
        <f t="shared" si="187"/>
        <v/>
      </c>
      <c r="D1633" t="str">
        <f t="shared" si="192"/>
        <v/>
      </c>
      <c r="H1633">
        <f t="shared" si="188"/>
        <v>2</v>
      </c>
      <c r="R1633">
        <v>24</v>
      </c>
      <c r="T1633" t="str">
        <f t="shared" si="186"/>
        <v>o</v>
      </c>
      <c r="AJ1633">
        <v>1</v>
      </c>
      <c r="AM1633" t="str">
        <f t="shared" si="189"/>
        <v>Zone_Entry_Exit</v>
      </c>
      <c r="AN1633" t="str">
        <f t="shared" si="190"/>
        <v>Zone_Exit</v>
      </c>
      <c r="AP1633" t="str">
        <f t="shared" si="191"/>
        <v>Defensive</v>
      </c>
      <c r="BB1633" s="23"/>
      <c r="BD1633" s="21"/>
      <c r="BE1633" s="21"/>
      <c r="BF1633" s="21"/>
      <c r="BG1633" s="21"/>
      <c r="BH1633" s="21"/>
      <c r="BI1633" s="21"/>
    </row>
    <row r="1634" spans="1:61" x14ac:dyDescent="0.2">
      <c r="A1634">
        <v>846</v>
      </c>
      <c r="B1634" t="s">
        <v>887</v>
      </c>
      <c r="C1634" t="str">
        <f t="shared" si="187"/>
        <v/>
      </c>
      <c r="D1634" t="str">
        <f t="shared" si="192"/>
        <v/>
      </c>
      <c r="H1634">
        <f t="shared" si="188"/>
        <v>2</v>
      </c>
      <c r="I1634" s="5" t="s">
        <v>815</v>
      </c>
      <c r="J1634" s="5" t="s">
        <v>801</v>
      </c>
      <c r="Q1634" t="s">
        <v>620</v>
      </c>
      <c r="R1634">
        <v>84</v>
      </c>
      <c r="S1634">
        <v>1</v>
      </c>
      <c r="T1634" t="str">
        <f t="shared" si="186"/>
        <v>e</v>
      </c>
      <c r="U1634" t="s">
        <v>247</v>
      </c>
      <c r="V1634" t="s">
        <v>422</v>
      </c>
      <c r="W1634" t="s">
        <v>469</v>
      </c>
      <c r="X1634" t="s">
        <v>706</v>
      </c>
      <c r="Y1634" t="s">
        <v>774</v>
      </c>
      <c r="AA1634" t="s">
        <v>706</v>
      </c>
      <c r="AF1634" t="s">
        <v>635</v>
      </c>
      <c r="AJ1634">
        <v>1</v>
      </c>
      <c r="AM1634" t="str">
        <f t="shared" si="189"/>
        <v>Play</v>
      </c>
      <c r="AN1634" t="str">
        <f t="shared" si="190"/>
        <v>Play_Defensive</v>
      </c>
      <c r="AP1634" t="str">
        <f t="shared" si="191"/>
        <v>Defensive</v>
      </c>
      <c r="BB1634" s="23"/>
      <c r="BD1634" s="21"/>
      <c r="BE1634" s="21"/>
      <c r="BF1634" s="21"/>
      <c r="BG1634" s="21"/>
      <c r="BH1634" s="21"/>
      <c r="BI1634" s="21"/>
    </row>
    <row r="1635" spans="1:61" x14ac:dyDescent="0.2">
      <c r="A1635">
        <v>846</v>
      </c>
      <c r="B1635" t="s">
        <v>887</v>
      </c>
      <c r="C1635" t="str">
        <f t="shared" si="187"/>
        <v/>
      </c>
      <c r="D1635" t="str">
        <f t="shared" si="192"/>
        <v/>
      </c>
      <c r="H1635">
        <f t="shared" si="188"/>
        <v>2</v>
      </c>
      <c r="R1635">
        <v>56</v>
      </c>
      <c r="T1635" t="str">
        <f t="shared" si="186"/>
        <v>o</v>
      </c>
      <c r="AJ1635">
        <v>1</v>
      </c>
      <c r="AM1635" t="str">
        <f t="shared" si="189"/>
        <v>Play</v>
      </c>
      <c r="AN1635" t="str">
        <f t="shared" si="190"/>
        <v>Play_Defensive</v>
      </c>
      <c r="AP1635" t="str">
        <f t="shared" si="191"/>
        <v>Offensive</v>
      </c>
      <c r="BB1635" s="23"/>
      <c r="BD1635" s="21"/>
      <c r="BE1635" s="21"/>
      <c r="BF1635" s="21"/>
      <c r="BG1635" s="21"/>
      <c r="BH1635" s="21"/>
      <c r="BI1635" s="21"/>
    </row>
    <row r="1636" spans="1:61" x14ac:dyDescent="0.2">
      <c r="A1636">
        <v>847</v>
      </c>
      <c r="B1636" t="s">
        <v>887</v>
      </c>
      <c r="C1636" t="str">
        <f t="shared" si="187"/>
        <v/>
      </c>
      <c r="D1636" t="str">
        <f t="shared" si="192"/>
        <v/>
      </c>
      <c r="H1636">
        <f t="shared" si="188"/>
        <v>2</v>
      </c>
      <c r="I1636" s="5" t="s">
        <v>815</v>
      </c>
      <c r="J1636" s="5" t="s">
        <v>740</v>
      </c>
      <c r="K1636" s="5" t="s">
        <v>815</v>
      </c>
      <c r="L1636" s="7" t="s">
        <v>741</v>
      </c>
      <c r="Q1636" t="s">
        <v>619</v>
      </c>
      <c r="R1636">
        <v>3</v>
      </c>
      <c r="S1636">
        <v>1</v>
      </c>
      <c r="T1636" t="str">
        <f t="shared" si="186"/>
        <v>e</v>
      </c>
      <c r="U1636" t="s">
        <v>15</v>
      </c>
      <c r="V1636" t="s">
        <v>698</v>
      </c>
      <c r="X1636" t="s">
        <v>706</v>
      </c>
      <c r="Y1636" t="s">
        <v>752</v>
      </c>
      <c r="AA1636" t="s">
        <v>706</v>
      </c>
      <c r="AF1636" t="s">
        <v>635</v>
      </c>
      <c r="AM1636" t="str">
        <f t="shared" si="189"/>
        <v>Possession</v>
      </c>
      <c r="AN1636" t="str">
        <f t="shared" si="190"/>
        <v>PuckRecovery</v>
      </c>
      <c r="AP1636" t="str">
        <f t="shared" si="191"/>
        <v>Offensive</v>
      </c>
      <c r="BB1636" s="23"/>
      <c r="BD1636" s="21"/>
      <c r="BE1636" s="21"/>
      <c r="BF1636" s="21"/>
      <c r="BG1636" s="21"/>
      <c r="BH1636" s="21"/>
      <c r="BI1636" s="21"/>
    </row>
    <row r="1637" spans="1:61" x14ac:dyDescent="0.2">
      <c r="A1637">
        <v>848</v>
      </c>
      <c r="B1637" t="s">
        <v>887</v>
      </c>
      <c r="C1637" t="str">
        <f t="shared" si="187"/>
        <v/>
      </c>
      <c r="D1637" t="str">
        <f t="shared" si="192"/>
        <v/>
      </c>
      <c r="H1637">
        <f t="shared" si="188"/>
        <v>2</v>
      </c>
      <c r="I1637" s="5" t="s">
        <v>815</v>
      </c>
      <c r="J1637" s="5" t="s">
        <v>741</v>
      </c>
      <c r="K1637" s="5" t="s">
        <v>815</v>
      </c>
      <c r="L1637" s="7" t="s">
        <v>446</v>
      </c>
      <c r="Q1637" t="s">
        <v>619</v>
      </c>
      <c r="R1637">
        <v>3</v>
      </c>
      <c r="S1637">
        <v>1</v>
      </c>
      <c r="T1637" t="str">
        <f t="shared" si="186"/>
        <v>e</v>
      </c>
      <c r="U1637" t="s">
        <v>257</v>
      </c>
      <c r="V1637" t="s">
        <v>191</v>
      </c>
      <c r="W1637" t="s">
        <v>87</v>
      </c>
      <c r="X1637" t="s">
        <v>706</v>
      </c>
      <c r="Y1637" t="s">
        <v>677</v>
      </c>
      <c r="AF1637" t="s">
        <v>401</v>
      </c>
      <c r="AJ1637">
        <v>1</v>
      </c>
      <c r="AM1637" t="str">
        <f t="shared" si="189"/>
        <v>Zone_Entry_Exit</v>
      </c>
      <c r="AN1637" t="str">
        <f t="shared" si="190"/>
        <v>Zone_Entry</v>
      </c>
      <c r="AP1637" t="str">
        <f t="shared" si="191"/>
        <v>Offensive</v>
      </c>
      <c r="BB1637" s="23"/>
      <c r="BD1637" s="21"/>
      <c r="BE1637" s="21"/>
      <c r="BF1637" s="21"/>
      <c r="BG1637" s="21"/>
      <c r="BH1637" s="21"/>
      <c r="BI1637" s="21"/>
    </row>
    <row r="1638" spans="1:61" x14ac:dyDescent="0.2">
      <c r="A1638">
        <v>848</v>
      </c>
      <c r="B1638" t="s">
        <v>887</v>
      </c>
      <c r="C1638" t="str">
        <f t="shared" si="187"/>
        <v/>
      </c>
      <c r="D1638" t="str">
        <f t="shared" si="192"/>
        <v/>
      </c>
      <c r="H1638">
        <f t="shared" si="188"/>
        <v>2</v>
      </c>
      <c r="R1638">
        <v>12</v>
      </c>
      <c r="S1638">
        <v>1</v>
      </c>
      <c r="T1638" t="str">
        <f t="shared" si="186"/>
        <v>e</v>
      </c>
      <c r="AM1638" t="str">
        <f t="shared" si="189"/>
        <v>Zone_Entry_Exit</v>
      </c>
      <c r="AN1638" t="str">
        <f t="shared" si="190"/>
        <v>Zone_Entry</v>
      </c>
      <c r="AP1638" t="str">
        <f t="shared" si="191"/>
        <v>Offensive</v>
      </c>
      <c r="BB1638" s="23"/>
      <c r="BD1638" s="21"/>
      <c r="BE1638" s="21"/>
      <c r="BF1638" s="21"/>
      <c r="BG1638" s="21"/>
      <c r="BH1638" s="21"/>
      <c r="BI1638" s="21"/>
    </row>
    <row r="1639" spans="1:61" x14ac:dyDescent="0.2">
      <c r="A1639">
        <v>848</v>
      </c>
      <c r="B1639" t="s">
        <v>887</v>
      </c>
      <c r="C1639" t="str">
        <f t="shared" si="187"/>
        <v/>
      </c>
      <c r="D1639" t="str">
        <f t="shared" si="192"/>
        <v/>
      </c>
      <c r="H1639">
        <f t="shared" si="188"/>
        <v>2</v>
      </c>
      <c r="R1639">
        <v>25</v>
      </c>
      <c r="S1639">
        <v>1</v>
      </c>
      <c r="T1639" t="str">
        <f t="shared" si="186"/>
        <v>e</v>
      </c>
      <c r="AM1639" t="str">
        <f t="shared" si="189"/>
        <v>Zone_Entry_Exit</v>
      </c>
      <c r="AN1639" t="str">
        <f t="shared" si="190"/>
        <v>Zone_Entry</v>
      </c>
      <c r="AP1639" t="str">
        <f t="shared" si="191"/>
        <v>Offensive</v>
      </c>
      <c r="BB1639" s="23"/>
      <c r="BD1639" s="21"/>
      <c r="BE1639" s="21"/>
      <c r="BF1639" s="21"/>
      <c r="BG1639" s="21"/>
      <c r="BH1639" s="21"/>
      <c r="BI1639" s="21"/>
    </row>
    <row r="1640" spans="1:61" x14ac:dyDescent="0.2">
      <c r="A1640">
        <v>848</v>
      </c>
      <c r="B1640" t="s">
        <v>887</v>
      </c>
      <c r="C1640" t="str">
        <f t="shared" si="187"/>
        <v/>
      </c>
      <c r="D1640" t="str">
        <f t="shared" si="192"/>
        <v/>
      </c>
      <c r="H1640">
        <f t="shared" si="188"/>
        <v>2</v>
      </c>
      <c r="R1640">
        <v>22</v>
      </c>
      <c r="T1640" t="str">
        <f t="shared" si="186"/>
        <v>o</v>
      </c>
      <c r="AJ1640">
        <v>1</v>
      </c>
      <c r="AM1640" t="str">
        <f t="shared" si="189"/>
        <v>Zone_Entry_Exit</v>
      </c>
      <c r="AN1640" t="str">
        <f t="shared" si="190"/>
        <v>Zone_Entry</v>
      </c>
      <c r="AP1640" t="str">
        <f t="shared" si="191"/>
        <v>Defensive</v>
      </c>
      <c r="BB1640" s="23"/>
      <c r="BD1640" s="21"/>
      <c r="BE1640" s="21"/>
      <c r="BF1640" s="21"/>
      <c r="BG1640" s="21"/>
      <c r="BH1640" s="21"/>
      <c r="BI1640" s="21"/>
    </row>
    <row r="1641" spans="1:61" x14ac:dyDescent="0.2">
      <c r="A1641">
        <v>848</v>
      </c>
      <c r="B1641" t="s">
        <v>887</v>
      </c>
      <c r="C1641" t="str">
        <f t="shared" si="187"/>
        <v/>
      </c>
      <c r="D1641" t="str">
        <f t="shared" si="192"/>
        <v/>
      </c>
      <c r="H1641">
        <f t="shared" si="188"/>
        <v>2</v>
      </c>
      <c r="R1641">
        <v>75</v>
      </c>
      <c r="T1641" t="str">
        <f t="shared" si="186"/>
        <v>o</v>
      </c>
      <c r="AM1641" t="str">
        <f t="shared" si="189"/>
        <v>Zone_Entry_Exit</v>
      </c>
      <c r="AN1641" t="str">
        <f t="shared" si="190"/>
        <v>Zone_Entry</v>
      </c>
      <c r="AP1641" t="str">
        <f t="shared" si="191"/>
        <v>Defensive</v>
      </c>
      <c r="BB1641" s="23"/>
      <c r="BD1641" s="21"/>
      <c r="BE1641" s="21"/>
      <c r="BF1641" s="21"/>
      <c r="BG1641" s="21"/>
      <c r="BH1641" s="21"/>
      <c r="BI1641" s="21"/>
    </row>
    <row r="1642" spans="1:61" x14ac:dyDescent="0.2">
      <c r="A1642">
        <v>849</v>
      </c>
      <c r="B1642" t="s">
        <v>887</v>
      </c>
      <c r="C1642" t="str">
        <f t="shared" si="187"/>
        <v/>
      </c>
      <c r="D1642" t="str">
        <f t="shared" si="192"/>
        <v/>
      </c>
      <c r="H1642">
        <f t="shared" si="188"/>
        <v>2</v>
      </c>
      <c r="I1642" s="5" t="s">
        <v>815</v>
      </c>
      <c r="J1642" s="5" t="s">
        <v>446</v>
      </c>
      <c r="K1642" s="5" t="s">
        <v>888</v>
      </c>
      <c r="L1642" s="7" t="s">
        <v>896</v>
      </c>
      <c r="Q1642" t="s">
        <v>619</v>
      </c>
      <c r="R1642">
        <v>3</v>
      </c>
      <c r="S1642">
        <v>1</v>
      </c>
      <c r="T1642" t="str">
        <f t="shared" si="186"/>
        <v>e</v>
      </c>
      <c r="U1642" t="s">
        <v>15</v>
      </c>
      <c r="Y1642" t="s">
        <v>825</v>
      </c>
      <c r="Z1642" t="s">
        <v>767</v>
      </c>
      <c r="AA1642" t="s">
        <v>706</v>
      </c>
      <c r="AF1642" t="s">
        <v>401</v>
      </c>
      <c r="AJ1642">
        <v>1</v>
      </c>
      <c r="AM1642" t="str">
        <f t="shared" si="189"/>
        <v>Possession</v>
      </c>
      <c r="AN1642" t="str">
        <f t="shared" si="190"/>
        <v/>
      </c>
      <c r="AP1642" t="str">
        <f t="shared" si="191"/>
        <v>Offensive</v>
      </c>
      <c r="BB1642" s="23"/>
      <c r="BD1642" s="21"/>
      <c r="BE1642" s="21"/>
      <c r="BF1642" s="21"/>
      <c r="BG1642" s="21"/>
      <c r="BH1642" s="21"/>
      <c r="BI1642" s="21"/>
    </row>
    <row r="1643" spans="1:61" x14ac:dyDescent="0.2">
      <c r="A1643">
        <v>849</v>
      </c>
      <c r="B1643" t="s">
        <v>887</v>
      </c>
      <c r="C1643" t="str">
        <f t="shared" si="187"/>
        <v/>
      </c>
      <c r="D1643" t="str">
        <f t="shared" si="192"/>
        <v/>
      </c>
      <c r="H1643">
        <f t="shared" si="188"/>
        <v>2</v>
      </c>
      <c r="R1643">
        <v>22</v>
      </c>
      <c r="T1643" t="str">
        <f t="shared" si="186"/>
        <v>o</v>
      </c>
      <c r="Y1643" t="s">
        <v>781</v>
      </c>
      <c r="Z1643" t="s">
        <v>764</v>
      </c>
      <c r="AA1643" t="s">
        <v>705</v>
      </c>
      <c r="AJ1643">
        <v>1</v>
      </c>
      <c r="AM1643" t="str">
        <f t="shared" si="189"/>
        <v>Possession</v>
      </c>
      <c r="AN1643" t="str">
        <f t="shared" si="190"/>
        <v/>
      </c>
      <c r="AP1643" t="str">
        <f t="shared" si="191"/>
        <v>Defensive</v>
      </c>
      <c r="BB1643" s="23"/>
      <c r="BD1643" s="21"/>
      <c r="BE1643" s="21"/>
      <c r="BF1643" s="21"/>
      <c r="BG1643" s="21"/>
      <c r="BH1643" s="21"/>
      <c r="BI1643" s="21"/>
    </row>
    <row r="1644" spans="1:61" x14ac:dyDescent="0.2">
      <c r="A1644">
        <v>849</v>
      </c>
      <c r="B1644" t="s">
        <v>887</v>
      </c>
      <c r="C1644" t="str">
        <f t="shared" si="187"/>
        <v/>
      </c>
      <c r="D1644" t="str">
        <f t="shared" si="192"/>
        <v/>
      </c>
      <c r="H1644">
        <f t="shared" si="188"/>
        <v>2</v>
      </c>
      <c r="R1644">
        <v>75</v>
      </c>
      <c r="T1644" t="str">
        <f t="shared" si="186"/>
        <v>o</v>
      </c>
      <c r="AM1644" t="str">
        <f t="shared" si="189"/>
        <v>Possession</v>
      </c>
      <c r="AN1644" t="str">
        <f t="shared" si="190"/>
        <v/>
      </c>
      <c r="AP1644" t="str">
        <f t="shared" si="191"/>
        <v>Defensive</v>
      </c>
      <c r="BB1644" s="23"/>
      <c r="BD1644" s="21"/>
      <c r="BE1644" s="21"/>
      <c r="BF1644" s="21"/>
      <c r="BG1644" s="21"/>
      <c r="BH1644" s="21"/>
      <c r="BI1644" s="21"/>
    </row>
    <row r="1645" spans="1:61" x14ac:dyDescent="0.2">
      <c r="A1645">
        <v>850</v>
      </c>
      <c r="B1645" t="s">
        <v>887</v>
      </c>
      <c r="C1645" t="str">
        <f t="shared" si="187"/>
        <v/>
      </c>
      <c r="D1645" t="str">
        <f t="shared" si="192"/>
        <v/>
      </c>
      <c r="H1645">
        <f t="shared" si="188"/>
        <v>2</v>
      </c>
      <c r="I1645" s="5" t="s">
        <v>888</v>
      </c>
      <c r="J1645" s="5" t="s">
        <v>896</v>
      </c>
      <c r="Q1645" t="s">
        <v>620</v>
      </c>
      <c r="R1645">
        <v>75</v>
      </c>
      <c r="S1645">
        <v>1</v>
      </c>
      <c r="T1645" t="str">
        <f t="shared" si="186"/>
        <v>e</v>
      </c>
      <c r="U1645" t="s">
        <v>247</v>
      </c>
      <c r="V1645" t="s">
        <v>422</v>
      </c>
      <c r="W1645" t="s">
        <v>467</v>
      </c>
      <c r="X1645" t="s">
        <v>706</v>
      </c>
      <c r="Y1645" t="s">
        <v>714</v>
      </c>
      <c r="AA1645" t="s">
        <v>706</v>
      </c>
      <c r="AF1645" t="s">
        <v>623</v>
      </c>
      <c r="AJ1645">
        <v>1</v>
      </c>
      <c r="AM1645" t="str">
        <f t="shared" si="189"/>
        <v>Play</v>
      </c>
      <c r="AN1645" t="str">
        <f t="shared" si="190"/>
        <v>Play_Defensive</v>
      </c>
      <c r="AP1645" t="str">
        <f t="shared" si="191"/>
        <v>Defensive</v>
      </c>
      <c r="BB1645" s="23"/>
      <c r="BD1645" s="21"/>
      <c r="BE1645" s="21"/>
      <c r="BF1645" s="21"/>
      <c r="BG1645" s="21"/>
      <c r="BH1645" s="21"/>
      <c r="BI1645" s="21"/>
    </row>
    <row r="1646" spans="1:61" x14ac:dyDescent="0.2">
      <c r="A1646">
        <v>850</v>
      </c>
      <c r="B1646" t="s">
        <v>887</v>
      </c>
      <c r="C1646" t="str">
        <f t="shared" si="187"/>
        <v/>
      </c>
      <c r="D1646" t="str">
        <f t="shared" si="192"/>
        <v/>
      </c>
      <c r="H1646">
        <f t="shared" si="188"/>
        <v>2</v>
      </c>
      <c r="R1646">
        <v>22</v>
      </c>
      <c r="S1646">
        <v>1</v>
      </c>
      <c r="T1646" t="str">
        <f t="shared" si="186"/>
        <v>e</v>
      </c>
      <c r="AJ1646">
        <v>1</v>
      </c>
      <c r="AM1646" t="str">
        <f t="shared" si="189"/>
        <v>Play</v>
      </c>
      <c r="AN1646" t="str">
        <f t="shared" si="190"/>
        <v>Play_Defensive</v>
      </c>
      <c r="AP1646" t="str">
        <f t="shared" si="191"/>
        <v>Defensive</v>
      </c>
      <c r="BB1646" s="23"/>
      <c r="BD1646" s="21"/>
      <c r="BE1646" s="21"/>
      <c r="BF1646" s="21"/>
      <c r="BG1646" s="21"/>
      <c r="BH1646" s="21"/>
      <c r="BI1646" s="21"/>
    </row>
    <row r="1647" spans="1:61" x14ac:dyDescent="0.2">
      <c r="A1647">
        <v>850</v>
      </c>
      <c r="B1647" t="s">
        <v>887</v>
      </c>
      <c r="C1647" t="str">
        <f t="shared" si="187"/>
        <v/>
      </c>
      <c r="D1647" t="str">
        <f t="shared" si="192"/>
        <v/>
      </c>
      <c r="H1647">
        <f t="shared" si="188"/>
        <v>2</v>
      </c>
      <c r="R1647">
        <v>3</v>
      </c>
      <c r="T1647" t="str">
        <f t="shared" si="186"/>
        <v>o</v>
      </c>
      <c r="AJ1647">
        <v>1</v>
      </c>
      <c r="AM1647" t="str">
        <f t="shared" si="189"/>
        <v>Play</v>
      </c>
      <c r="AN1647" t="str">
        <f t="shared" si="190"/>
        <v>Play_Defensive</v>
      </c>
      <c r="AP1647" t="str">
        <f t="shared" si="191"/>
        <v>Offensive</v>
      </c>
      <c r="BB1647" s="23"/>
      <c r="BD1647" s="21"/>
      <c r="BE1647" s="21"/>
      <c r="BF1647" s="21"/>
      <c r="BG1647" s="21"/>
      <c r="BH1647" s="21"/>
      <c r="BI1647" s="21"/>
    </row>
    <row r="1648" spans="1:61" x14ac:dyDescent="0.2">
      <c r="A1648">
        <v>851</v>
      </c>
      <c r="B1648" t="s">
        <v>887</v>
      </c>
      <c r="C1648" t="str">
        <f t="shared" si="187"/>
        <v/>
      </c>
      <c r="D1648" t="str">
        <f t="shared" si="192"/>
        <v/>
      </c>
      <c r="H1648">
        <f t="shared" si="188"/>
        <v>2</v>
      </c>
      <c r="I1648" s="5" t="s">
        <v>888</v>
      </c>
      <c r="J1648" s="5" t="s">
        <v>637</v>
      </c>
      <c r="K1648" s="5" t="s">
        <v>888</v>
      </c>
      <c r="L1648" s="7" t="s">
        <v>639</v>
      </c>
      <c r="Q1648" t="s">
        <v>619</v>
      </c>
      <c r="R1648">
        <v>56</v>
      </c>
      <c r="S1648">
        <v>1</v>
      </c>
      <c r="T1648" t="str">
        <f t="shared" si="186"/>
        <v>e</v>
      </c>
      <c r="U1648" t="s">
        <v>15</v>
      </c>
      <c r="V1648" t="s">
        <v>684</v>
      </c>
      <c r="Y1648" t="s">
        <v>777</v>
      </c>
      <c r="AF1648" t="s">
        <v>401</v>
      </c>
      <c r="AJ1648">
        <v>1</v>
      </c>
      <c r="AM1648" t="str">
        <f t="shared" si="189"/>
        <v>Possession</v>
      </c>
      <c r="AN1648" t="str">
        <f t="shared" si="190"/>
        <v>Regroup</v>
      </c>
      <c r="AP1648" t="str">
        <f t="shared" si="191"/>
        <v>Offensive</v>
      </c>
      <c r="BB1648" s="23"/>
      <c r="BD1648" s="21"/>
      <c r="BE1648" s="21"/>
      <c r="BF1648" s="21"/>
      <c r="BG1648" s="21"/>
      <c r="BH1648" s="21"/>
      <c r="BI1648" s="21"/>
    </row>
    <row r="1649" spans="1:61" x14ac:dyDescent="0.2">
      <c r="A1649">
        <v>851</v>
      </c>
      <c r="B1649" t="s">
        <v>887</v>
      </c>
      <c r="C1649" t="str">
        <f t="shared" si="187"/>
        <v/>
      </c>
      <c r="D1649" t="str">
        <f t="shared" si="192"/>
        <v/>
      </c>
      <c r="H1649">
        <f t="shared" si="188"/>
        <v>2</v>
      </c>
      <c r="R1649">
        <v>75</v>
      </c>
      <c r="T1649" t="str">
        <f t="shared" si="186"/>
        <v>o</v>
      </c>
      <c r="AJ1649">
        <v>1</v>
      </c>
      <c r="AM1649" t="str">
        <f t="shared" si="189"/>
        <v>Possession</v>
      </c>
      <c r="AN1649" t="str">
        <f t="shared" si="190"/>
        <v>Regroup</v>
      </c>
      <c r="AP1649" t="str">
        <f t="shared" si="191"/>
        <v>Defensive</v>
      </c>
      <c r="BB1649" s="23"/>
      <c r="BD1649" s="21"/>
      <c r="BE1649" s="21"/>
      <c r="BF1649" s="21"/>
      <c r="BG1649" s="21"/>
      <c r="BH1649" s="21"/>
      <c r="BI1649" s="21"/>
    </row>
    <row r="1650" spans="1:61" x14ac:dyDescent="0.2">
      <c r="A1650">
        <v>851</v>
      </c>
      <c r="B1650" t="s">
        <v>887</v>
      </c>
      <c r="C1650" t="str">
        <f t="shared" si="187"/>
        <v/>
      </c>
      <c r="D1650" t="str">
        <f t="shared" si="192"/>
        <v/>
      </c>
      <c r="H1650">
        <f t="shared" si="188"/>
        <v>2</v>
      </c>
      <c r="R1650">
        <v>70</v>
      </c>
      <c r="T1650" t="str">
        <f t="shared" si="186"/>
        <v>o</v>
      </c>
      <c r="AM1650" t="str">
        <f t="shared" si="189"/>
        <v>Possession</v>
      </c>
      <c r="AN1650" t="str">
        <f t="shared" si="190"/>
        <v>Regroup</v>
      </c>
      <c r="AP1650" t="str">
        <f t="shared" si="191"/>
        <v>Defensive</v>
      </c>
      <c r="BB1650" s="23"/>
      <c r="BD1650" s="21"/>
      <c r="BE1650" s="21"/>
      <c r="BF1650" s="21"/>
      <c r="BG1650" s="21"/>
      <c r="BH1650" s="21"/>
      <c r="BI1650" s="21"/>
    </row>
    <row r="1651" spans="1:61" x14ac:dyDescent="0.2">
      <c r="A1651">
        <v>852</v>
      </c>
      <c r="B1651" t="s">
        <v>887</v>
      </c>
      <c r="C1651" t="str">
        <f t="shared" si="187"/>
        <v/>
      </c>
      <c r="D1651" t="str">
        <f t="shared" si="192"/>
        <v/>
      </c>
      <c r="H1651">
        <f t="shared" si="188"/>
        <v>2</v>
      </c>
      <c r="I1651" s="5" t="s">
        <v>888</v>
      </c>
      <c r="J1651" s="5" t="s">
        <v>639</v>
      </c>
      <c r="Q1651" t="s">
        <v>619</v>
      </c>
      <c r="R1651">
        <v>56</v>
      </c>
      <c r="S1651">
        <v>1</v>
      </c>
      <c r="T1651" t="str">
        <f t="shared" si="186"/>
        <v>e</v>
      </c>
      <c r="U1651" t="s">
        <v>8</v>
      </c>
      <c r="V1651" t="s">
        <v>189</v>
      </c>
      <c r="W1651" t="s">
        <v>70</v>
      </c>
      <c r="X1651" t="s">
        <v>706</v>
      </c>
      <c r="AF1651" t="s">
        <v>401</v>
      </c>
      <c r="AJ1651">
        <v>1</v>
      </c>
      <c r="AM1651" t="str">
        <f t="shared" si="189"/>
        <v>Pass</v>
      </c>
      <c r="AN1651" t="str">
        <f t="shared" si="190"/>
        <v>Pass_Completed</v>
      </c>
      <c r="AP1651" t="str">
        <f t="shared" si="191"/>
        <v>Offensive</v>
      </c>
      <c r="BB1651" s="23"/>
      <c r="BD1651" s="21"/>
      <c r="BE1651" s="21"/>
      <c r="BF1651" s="21"/>
      <c r="BG1651" s="21"/>
      <c r="BH1651" s="21"/>
      <c r="BI1651" s="21"/>
    </row>
    <row r="1652" spans="1:61" x14ac:dyDescent="0.2">
      <c r="A1652">
        <v>852</v>
      </c>
      <c r="B1652" t="s">
        <v>887</v>
      </c>
      <c r="C1652" t="str">
        <f t="shared" si="187"/>
        <v/>
      </c>
      <c r="D1652" t="str">
        <f t="shared" si="192"/>
        <v/>
      </c>
      <c r="H1652">
        <f t="shared" si="188"/>
        <v>2</v>
      </c>
      <c r="R1652">
        <v>3</v>
      </c>
      <c r="S1652">
        <v>1</v>
      </c>
      <c r="T1652" t="str">
        <f t="shared" si="186"/>
        <v>e</v>
      </c>
      <c r="AM1652" t="str">
        <f t="shared" si="189"/>
        <v>Pass</v>
      </c>
      <c r="AN1652" t="str">
        <f t="shared" si="190"/>
        <v>Pass_Completed</v>
      </c>
      <c r="AP1652" t="str">
        <f t="shared" si="191"/>
        <v>Offensive</v>
      </c>
      <c r="BB1652" s="23"/>
      <c r="BD1652" s="21"/>
      <c r="BE1652" s="21"/>
      <c r="BF1652" s="21"/>
      <c r="BG1652" s="21"/>
      <c r="BH1652" s="21"/>
      <c r="BI1652" s="21"/>
    </row>
    <row r="1653" spans="1:61" x14ac:dyDescent="0.2">
      <c r="A1653">
        <v>852</v>
      </c>
      <c r="B1653" t="s">
        <v>887</v>
      </c>
      <c r="C1653" t="str">
        <f t="shared" si="187"/>
        <v/>
      </c>
      <c r="D1653" t="str">
        <f t="shared" si="192"/>
        <v/>
      </c>
      <c r="H1653">
        <f t="shared" si="188"/>
        <v>2</v>
      </c>
      <c r="R1653">
        <v>75</v>
      </c>
      <c r="T1653" t="str">
        <f t="shared" si="186"/>
        <v>o</v>
      </c>
      <c r="AJ1653">
        <v>1</v>
      </c>
      <c r="AM1653" t="str">
        <f t="shared" si="189"/>
        <v>Pass</v>
      </c>
      <c r="AN1653" t="str">
        <f t="shared" si="190"/>
        <v>Pass_Completed</v>
      </c>
      <c r="AP1653" t="str">
        <f t="shared" si="191"/>
        <v>Defensive</v>
      </c>
      <c r="BB1653" s="23"/>
      <c r="BD1653" s="21"/>
      <c r="BE1653" s="21"/>
      <c r="BF1653" s="21"/>
      <c r="BG1653" s="21"/>
      <c r="BH1653" s="21"/>
      <c r="BI1653" s="21"/>
    </row>
    <row r="1654" spans="1:61" x14ac:dyDescent="0.2">
      <c r="A1654">
        <v>853</v>
      </c>
      <c r="B1654" t="s">
        <v>887</v>
      </c>
      <c r="C1654" t="str">
        <f t="shared" si="187"/>
        <v/>
      </c>
      <c r="D1654" t="str">
        <f t="shared" si="192"/>
        <v/>
      </c>
      <c r="H1654">
        <f t="shared" si="188"/>
        <v>2</v>
      </c>
      <c r="I1654" s="5" t="s">
        <v>888</v>
      </c>
      <c r="J1654" s="5" t="s">
        <v>753</v>
      </c>
      <c r="Q1654" t="s">
        <v>619</v>
      </c>
      <c r="R1654">
        <v>3</v>
      </c>
      <c r="S1654">
        <v>1</v>
      </c>
      <c r="T1654" t="str">
        <f t="shared" si="186"/>
        <v>e</v>
      </c>
      <c r="U1654" t="s">
        <v>7</v>
      </c>
      <c r="V1654" t="s">
        <v>222</v>
      </c>
      <c r="W1654" t="s">
        <v>53</v>
      </c>
      <c r="X1654" t="s">
        <v>705</v>
      </c>
      <c r="AF1654" t="s">
        <v>401</v>
      </c>
      <c r="AJ1654">
        <v>1</v>
      </c>
      <c r="AM1654" t="str">
        <f t="shared" si="189"/>
        <v>Shot</v>
      </c>
      <c r="AN1654" t="str">
        <f t="shared" si="190"/>
        <v>Shot_OnNetSaved</v>
      </c>
      <c r="AP1654" t="str">
        <f t="shared" si="191"/>
        <v>Offensive</v>
      </c>
      <c r="BB1654" s="23"/>
      <c r="BD1654" s="21"/>
      <c r="BE1654" s="21"/>
      <c r="BF1654" s="21"/>
      <c r="BG1654" s="21"/>
      <c r="BH1654" s="21"/>
      <c r="BI1654" s="21"/>
    </row>
    <row r="1655" spans="1:61" x14ac:dyDescent="0.2">
      <c r="A1655">
        <v>853</v>
      </c>
      <c r="B1655" t="s">
        <v>887</v>
      </c>
      <c r="C1655" t="str">
        <f t="shared" si="187"/>
        <v/>
      </c>
      <c r="D1655" t="str">
        <f t="shared" si="192"/>
        <v/>
      </c>
      <c r="H1655">
        <f t="shared" si="188"/>
        <v>2</v>
      </c>
      <c r="R1655">
        <v>22</v>
      </c>
      <c r="T1655" t="str">
        <f t="shared" si="186"/>
        <v>o</v>
      </c>
      <c r="Y1655" t="s">
        <v>722</v>
      </c>
      <c r="AJ1655">
        <v>1</v>
      </c>
      <c r="AM1655" t="str">
        <f t="shared" si="189"/>
        <v>Shot</v>
      </c>
      <c r="AN1655" t="str">
        <f t="shared" si="190"/>
        <v>Shot_OnNetSaved</v>
      </c>
      <c r="AP1655" t="str">
        <f t="shared" si="191"/>
        <v>Defensive</v>
      </c>
      <c r="BB1655" s="23"/>
      <c r="BD1655" s="21"/>
      <c r="BE1655" s="21"/>
      <c r="BF1655" s="21"/>
      <c r="BG1655" s="21"/>
      <c r="BH1655" s="21"/>
      <c r="BI1655" s="21"/>
    </row>
    <row r="1656" spans="1:61" x14ac:dyDescent="0.2">
      <c r="A1656">
        <v>854</v>
      </c>
      <c r="B1656" t="s">
        <v>887</v>
      </c>
      <c r="C1656" t="str">
        <f t="shared" si="187"/>
        <v/>
      </c>
      <c r="D1656" t="str">
        <f t="shared" si="192"/>
        <v/>
      </c>
      <c r="H1656">
        <f t="shared" si="188"/>
        <v>2</v>
      </c>
      <c r="I1656" s="5" t="s">
        <v>888</v>
      </c>
      <c r="J1656" s="5" t="s">
        <v>673</v>
      </c>
      <c r="K1656" s="5" t="s">
        <v>888</v>
      </c>
      <c r="L1656" s="7" t="s">
        <v>672</v>
      </c>
      <c r="Q1656" t="s">
        <v>619</v>
      </c>
      <c r="R1656">
        <v>4</v>
      </c>
      <c r="S1656">
        <v>1</v>
      </c>
      <c r="T1656" t="str">
        <f t="shared" si="186"/>
        <v>e</v>
      </c>
      <c r="U1656" t="s">
        <v>15</v>
      </c>
      <c r="V1656" t="s">
        <v>698</v>
      </c>
      <c r="X1656" t="s">
        <v>706</v>
      </c>
      <c r="Y1656" t="s">
        <v>739</v>
      </c>
      <c r="AA1656" t="s">
        <v>706</v>
      </c>
      <c r="AF1656" t="s">
        <v>401</v>
      </c>
      <c r="AM1656" t="str">
        <f t="shared" si="189"/>
        <v>Possession</v>
      </c>
      <c r="AN1656" t="str">
        <f t="shared" si="190"/>
        <v>PuckRecovery</v>
      </c>
      <c r="AP1656" t="str">
        <f t="shared" si="191"/>
        <v>Offensive</v>
      </c>
      <c r="BB1656" s="23"/>
      <c r="BD1656" s="21"/>
      <c r="BE1656" s="21"/>
      <c r="BF1656" s="21"/>
      <c r="BG1656" s="21"/>
      <c r="BH1656" s="21"/>
      <c r="BI1656" s="21"/>
    </row>
    <row r="1657" spans="1:61" x14ac:dyDescent="0.2">
      <c r="A1657">
        <v>855</v>
      </c>
      <c r="B1657" t="s">
        <v>887</v>
      </c>
      <c r="C1657" t="str">
        <f t="shared" si="187"/>
        <v/>
      </c>
      <c r="D1657" t="str">
        <f t="shared" si="192"/>
        <v/>
      </c>
      <c r="H1657">
        <f t="shared" si="188"/>
        <v>2</v>
      </c>
      <c r="I1657" s="5" t="s">
        <v>888</v>
      </c>
      <c r="J1657" s="5" t="s">
        <v>672</v>
      </c>
      <c r="Q1657" t="s">
        <v>619</v>
      </c>
      <c r="R1657">
        <v>4</v>
      </c>
      <c r="S1657">
        <v>1</v>
      </c>
      <c r="T1657" t="str">
        <f t="shared" si="186"/>
        <v>e</v>
      </c>
      <c r="U1657" t="s">
        <v>247</v>
      </c>
      <c r="V1657" t="s">
        <v>421</v>
      </c>
      <c r="W1657" t="s">
        <v>466</v>
      </c>
      <c r="Y1657" t="s">
        <v>680</v>
      </c>
      <c r="AA1657" t="s">
        <v>705</v>
      </c>
      <c r="AF1657" t="s">
        <v>401</v>
      </c>
      <c r="AJ1657">
        <v>1</v>
      </c>
      <c r="AM1657" t="str">
        <f t="shared" si="189"/>
        <v>Play</v>
      </c>
      <c r="AN1657" t="str">
        <f t="shared" si="190"/>
        <v>Play_Offensive</v>
      </c>
      <c r="AP1657" t="str">
        <f t="shared" si="191"/>
        <v>Offensive</v>
      </c>
      <c r="BB1657" s="23"/>
      <c r="BD1657" s="21"/>
      <c r="BE1657" s="21"/>
      <c r="BF1657" s="21"/>
      <c r="BG1657" s="21"/>
      <c r="BH1657" s="21"/>
      <c r="BI1657" s="21"/>
    </row>
    <row r="1658" spans="1:61" x14ac:dyDescent="0.2">
      <c r="A1658">
        <v>855</v>
      </c>
      <c r="B1658" t="s">
        <v>887</v>
      </c>
      <c r="C1658" t="str">
        <f t="shared" si="187"/>
        <v/>
      </c>
      <c r="D1658" t="str">
        <f t="shared" si="192"/>
        <v/>
      </c>
      <c r="H1658">
        <f t="shared" si="188"/>
        <v>2</v>
      </c>
      <c r="R1658">
        <v>24</v>
      </c>
      <c r="T1658" t="str">
        <f t="shared" si="186"/>
        <v>o</v>
      </c>
      <c r="AJ1658">
        <v>1</v>
      </c>
      <c r="AM1658" t="str">
        <f t="shared" si="189"/>
        <v>Play</v>
      </c>
      <c r="AN1658" t="str">
        <f t="shared" si="190"/>
        <v>Play_Offensive</v>
      </c>
      <c r="AP1658" t="str">
        <f t="shared" si="191"/>
        <v>Defensive</v>
      </c>
      <c r="BB1658" s="23"/>
      <c r="BD1658" s="21"/>
      <c r="BE1658" s="21"/>
      <c r="BF1658" s="21"/>
      <c r="BG1658" s="21"/>
      <c r="BH1658" s="21"/>
      <c r="BI1658" s="21"/>
    </row>
    <row r="1659" spans="1:61" x14ac:dyDescent="0.2">
      <c r="A1659">
        <v>855</v>
      </c>
      <c r="B1659" t="s">
        <v>887</v>
      </c>
      <c r="C1659" t="str">
        <f t="shared" si="187"/>
        <v/>
      </c>
      <c r="D1659" t="str">
        <f t="shared" si="192"/>
        <v/>
      </c>
      <c r="H1659">
        <f t="shared" si="188"/>
        <v>2</v>
      </c>
      <c r="R1659">
        <v>84</v>
      </c>
      <c r="T1659" t="str">
        <f t="shared" si="186"/>
        <v>o</v>
      </c>
      <c r="AM1659" t="str">
        <f t="shared" si="189"/>
        <v>Play</v>
      </c>
      <c r="AN1659" t="str">
        <f t="shared" si="190"/>
        <v>Play_Offensive</v>
      </c>
      <c r="AP1659" t="str">
        <f t="shared" si="191"/>
        <v>Defensive</v>
      </c>
      <c r="BB1659" s="23"/>
      <c r="BD1659" s="21"/>
      <c r="BE1659" s="21"/>
      <c r="BF1659" s="21"/>
      <c r="BG1659" s="21"/>
      <c r="BH1659" s="21"/>
      <c r="BI1659" s="21"/>
    </row>
    <row r="1660" spans="1:61" x14ac:dyDescent="0.2">
      <c r="A1660">
        <v>856</v>
      </c>
      <c r="B1660" t="s">
        <v>887</v>
      </c>
      <c r="C1660" t="str">
        <f t="shared" si="187"/>
        <v/>
      </c>
      <c r="D1660" t="str">
        <f t="shared" si="192"/>
        <v/>
      </c>
      <c r="H1660">
        <f t="shared" si="188"/>
        <v>2</v>
      </c>
      <c r="I1660" s="5" t="s">
        <v>888</v>
      </c>
      <c r="J1660" s="5" t="s">
        <v>711</v>
      </c>
      <c r="Q1660" t="s">
        <v>619</v>
      </c>
      <c r="R1660">
        <v>3</v>
      </c>
      <c r="S1660">
        <v>1</v>
      </c>
      <c r="T1660" t="str">
        <f t="shared" si="186"/>
        <v>e</v>
      </c>
      <c r="U1660" t="s">
        <v>15</v>
      </c>
      <c r="V1660" t="s">
        <v>698</v>
      </c>
      <c r="X1660" t="s">
        <v>705</v>
      </c>
      <c r="Y1660" t="s">
        <v>858</v>
      </c>
      <c r="AA1660" t="s">
        <v>705</v>
      </c>
      <c r="AF1660" t="s">
        <v>401</v>
      </c>
      <c r="AJ1660">
        <v>1</v>
      </c>
      <c r="AM1660" t="str">
        <f t="shared" si="189"/>
        <v>Possession</v>
      </c>
      <c r="AN1660" t="str">
        <f t="shared" si="190"/>
        <v>PuckRecovery</v>
      </c>
      <c r="AP1660" t="str">
        <f t="shared" si="191"/>
        <v>Offensive</v>
      </c>
      <c r="BB1660" s="23"/>
      <c r="BD1660" s="21"/>
      <c r="BE1660" s="21"/>
      <c r="BF1660" s="21"/>
      <c r="BG1660" s="21"/>
      <c r="BH1660" s="21"/>
      <c r="BI1660" s="21"/>
    </row>
    <row r="1661" spans="1:61" x14ac:dyDescent="0.2">
      <c r="A1661">
        <v>856</v>
      </c>
      <c r="B1661" t="s">
        <v>887</v>
      </c>
      <c r="C1661" t="str">
        <f t="shared" si="187"/>
        <v/>
      </c>
      <c r="D1661" t="str">
        <f t="shared" si="192"/>
        <v/>
      </c>
      <c r="H1661">
        <f t="shared" si="188"/>
        <v>2</v>
      </c>
      <c r="R1661">
        <v>75</v>
      </c>
      <c r="T1661" t="str">
        <f t="shared" si="186"/>
        <v>o</v>
      </c>
      <c r="AJ1661">
        <v>1</v>
      </c>
      <c r="AM1661" t="str">
        <f t="shared" si="189"/>
        <v>Possession</v>
      </c>
      <c r="AN1661" t="str">
        <f t="shared" si="190"/>
        <v>PuckRecovery</v>
      </c>
      <c r="AP1661" t="str">
        <f t="shared" si="191"/>
        <v>Defensive</v>
      </c>
      <c r="BB1661" s="23"/>
      <c r="BD1661" s="21"/>
      <c r="BE1661" s="21"/>
      <c r="BF1661" s="21"/>
      <c r="BG1661" s="21"/>
      <c r="BH1661" s="21"/>
      <c r="BI1661" s="21"/>
    </row>
    <row r="1662" spans="1:61" x14ac:dyDescent="0.2">
      <c r="A1662">
        <v>857</v>
      </c>
      <c r="C1662" t="str">
        <f t="shared" si="187"/>
        <v/>
      </c>
      <c r="D1662">
        <f t="shared" si="192"/>
        <v>0</v>
      </c>
      <c r="H1662">
        <f t="shared" si="188"/>
        <v>2</v>
      </c>
      <c r="I1662" s="5" t="s">
        <v>888</v>
      </c>
      <c r="J1662" s="5" t="s">
        <v>711</v>
      </c>
      <c r="Q1662" t="s">
        <v>619</v>
      </c>
      <c r="R1662">
        <v>3</v>
      </c>
      <c r="S1662">
        <v>1</v>
      </c>
      <c r="T1662" t="str">
        <f t="shared" si="186"/>
        <v>e</v>
      </c>
      <c r="U1662" t="s">
        <v>10</v>
      </c>
      <c r="V1662" t="s">
        <v>190</v>
      </c>
      <c r="W1662" t="s">
        <v>387</v>
      </c>
      <c r="X1662" t="s">
        <v>705</v>
      </c>
      <c r="Y1662" t="s">
        <v>680</v>
      </c>
      <c r="AA1662" t="s">
        <v>705</v>
      </c>
      <c r="AF1662" t="s">
        <v>401</v>
      </c>
      <c r="AM1662" t="str">
        <f t="shared" si="189"/>
        <v>Turnover</v>
      </c>
      <c r="AN1662" t="str">
        <f t="shared" si="190"/>
        <v>Turnover_Giveaway</v>
      </c>
      <c r="AP1662" t="str">
        <f t="shared" si="191"/>
        <v>Offensive</v>
      </c>
      <c r="BB1662" s="23"/>
      <c r="BD1662" s="21"/>
      <c r="BE1662" s="21"/>
      <c r="BF1662" s="21"/>
      <c r="BG1662" s="21"/>
      <c r="BH1662" s="21"/>
      <c r="BI1662" s="21"/>
    </row>
    <row r="1663" spans="1:61" x14ac:dyDescent="0.2">
      <c r="A1663">
        <v>859</v>
      </c>
      <c r="C1663" t="str">
        <f t="shared" si="187"/>
        <v/>
      </c>
      <c r="D1663">
        <f t="shared" si="192"/>
        <v>0</v>
      </c>
      <c r="H1663">
        <f t="shared" si="188"/>
        <v>2</v>
      </c>
      <c r="I1663" s="5" t="s">
        <v>888</v>
      </c>
      <c r="J1663" s="5" t="s">
        <v>790</v>
      </c>
      <c r="K1663" s="5" t="s">
        <v>888</v>
      </c>
      <c r="L1663" s="7" t="s">
        <v>776</v>
      </c>
      <c r="Q1663" t="s">
        <v>620</v>
      </c>
      <c r="R1663">
        <v>22</v>
      </c>
      <c r="S1663">
        <v>1</v>
      </c>
      <c r="T1663" t="str">
        <f t="shared" si="186"/>
        <v>e</v>
      </c>
      <c r="U1663" t="s">
        <v>15</v>
      </c>
      <c r="V1663" t="s">
        <v>697</v>
      </c>
      <c r="X1663" t="s">
        <v>705</v>
      </c>
      <c r="Y1663" t="s">
        <v>720</v>
      </c>
      <c r="AA1663" t="s">
        <v>705</v>
      </c>
      <c r="AF1663" t="s">
        <v>623</v>
      </c>
      <c r="AM1663" t="str">
        <f t="shared" si="189"/>
        <v>Possession</v>
      </c>
      <c r="AN1663" t="str">
        <f t="shared" si="190"/>
        <v>PuckRetrieval</v>
      </c>
      <c r="AP1663" t="str">
        <f t="shared" si="191"/>
        <v>Offensive</v>
      </c>
      <c r="BB1663" s="23"/>
      <c r="BD1663" s="21"/>
      <c r="BE1663" s="21"/>
      <c r="BF1663" s="21"/>
      <c r="BG1663" s="21"/>
      <c r="BH1663" s="21"/>
      <c r="BI1663" s="21"/>
    </row>
    <row r="1664" spans="1:61" x14ac:dyDescent="0.2">
      <c r="A1664">
        <v>860</v>
      </c>
      <c r="B1664" t="s">
        <v>887</v>
      </c>
      <c r="C1664" t="str">
        <f t="shared" si="187"/>
        <v/>
      </c>
      <c r="D1664" t="str">
        <f t="shared" si="192"/>
        <v/>
      </c>
      <c r="H1664">
        <f t="shared" si="188"/>
        <v>2</v>
      </c>
      <c r="I1664" s="5" t="s">
        <v>888</v>
      </c>
      <c r="J1664" s="5" t="s">
        <v>776</v>
      </c>
      <c r="Q1664" t="s">
        <v>620</v>
      </c>
      <c r="R1664">
        <v>22</v>
      </c>
      <c r="S1664">
        <v>1</v>
      </c>
      <c r="T1664" t="str">
        <f t="shared" si="186"/>
        <v>e</v>
      </c>
      <c r="U1664" t="s">
        <v>15</v>
      </c>
      <c r="V1664" t="s">
        <v>697</v>
      </c>
      <c r="X1664" t="s">
        <v>705</v>
      </c>
      <c r="Y1664" t="s">
        <v>720</v>
      </c>
      <c r="AA1664" t="s">
        <v>705</v>
      </c>
      <c r="AF1664" t="s">
        <v>623</v>
      </c>
      <c r="AM1664" t="str">
        <f t="shared" si="189"/>
        <v>Possession</v>
      </c>
      <c r="AN1664" t="str">
        <f t="shared" si="190"/>
        <v>PuckRetrieval</v>
      </c>
      <c r="AP1664" t="str">
        <f t="shared" si="191"/>
        <v>Offensive</v>
      </c>
      <c r="BB1664" s="23"/>
      <c r="BD1664" s="21"/>
      <c r="BE1664" s="21"/>
      <c r="BF1664" s="21"/>
      <c r="BG1664" s="21"/>
      <c r="BH1664" s="21"/>
      <c r="BI1664" s="21"/>
    </row>
    <row r="1665" spans="1:61" x14ac:dyDescent="0.2">
      <c r="A1665">
        <v>861</v>
      </c>
      <c r="B1665">
        <v>142</v>
      </c>
      <c r="C1665">
        <f t="shared" si="187"/>
        <v>9142</v>
      </c>
      <c r="D1665">
        <f t="shared" si="192"/>
        <v>9142</v>
      </c>
      <c r="H1665">
        <f t="shared" si="188"/>
        <v>2</v>
      </c>
      <c r="I1665" s="5" t="s">
        <v>888</v>
      </c>
      <c r="J1665" s="5" t="s">
        <v>717</v>
      </c>
      <c r="Q1665" t="s">
        <v>620</v>
      </c>
      <c r="R1665">
        <v>22</v>
      </c>
      <c r="S1665">
        <v>1</v>
      </c>
      <c r="T1665" t="str">
        <f t="shared" si="186"/>
        <v>e</v>
      </c>
      <c r="U1665" t="s">
        <v>257</v>
      </c>
      <c r="V1665" t="s">
        <v>819</v>
      </c>
      <c r="W1665" t="s">
        <v>92</v>
      </c>
      <c r="X1665" t="s">
        <v>705</v>
      </c>
      <c r="Y1665" t="s">
        <v>746</v>
      </c>
      <c r="AA1665" t="s">
        <v>705</v>
      </c>
      <c r="AF1665" t="s">
        <v>623</v>
      </c>
      <c r="AM1665" t="str">
        <f t="shared" si="189"/>
        <v>Zone_Entry_Exit</v>
      </c>
      <c r="AN1665" t="str">
        <f t="shared" si="190"/>
        <v>Zone_ExitFailed</v>
      </c>
      <c r="AP1665" t="str">
        <f t="shared" si="191"/>
        <v>Offensive</v>
      </c>
      <c r="BB1665" s="23"/>
      <c r="BD1665" s="21"/>
      <c r="BE1665" s="21"/>
      <c r="BF1665" s="21"/>
      <c r="BG1665" s="21"/>
      <c r="BH1665" s="21"/>
      <c r="BI1665" s="21"/>
    </row>
    <row r="1666" spans="1:61" x14ac:dyDescent="0.2">
      <c r="A1666">
        <v>862</v>
      </c>
      <c r="B1666">
        <v>142</v>
      </c>
      <c r="C1666">
        <f t="shared" si="187"/>
        <v>9142</v>
      </c>
      <c r="D1666">
        <f t="shared" si="192"/>
        <v>9142</v>
      </c>
      <c r="H1666">
        <f t="shared" si="188"/>
        <v>2</v>
      </c>
      <c r="I1666" s="5" t="s">
        <v>888</v>
      </c>
      <c r="J1666" s="5" t="s">
        <v>717</v>
      </c>
      <c r="Q1666" t="s">
        <v>620</v>
      </c>
      <c r="R1666">
        <v>22</v>
      </c>
      <c r="S1666">
        <v>1</v>
      </c>
      <c r="T1666" t="str">
        <f t="shared" si="186"/>
        <v>e</v>
      </c>
      <c r="U1666" t="s">
        <v>10</v>
      </c>
      <c r="V1666" t="s">
        <v>190</v>
      </c>
      <c r="W1666" t="s">
        <v>398</v>
      </c>
      <c r="X1666" t="s">
        <v>705</v>
      </c>
      <c r="Y1666" t="s">
        <v>746</v>
      </c>
      <c r="AA1666" t="s">
        <v>705</v>
      </c>
      <c r="AF1666" t="s">
        <v>623</v>
      </c>
      <c r="AM1666" t="str">
        <f t="shared" si="189"/>
        <v>Turnover</v>
      </c>
      <c r="AN1666" t="str">
        <f t="shared" si="190"/>
        <v>Turnover_Giveaway</v>
      </c>
      <c r="AP1666" t="str">
        <f t="shared" si="191"/>
        <v>Offensive</v>
      </c>
      <c r="BB1666" s="23"/>
      <c r="BD1666" s="21"/>
      <c r="BE1666" s="21"/>
      <c r="BF1666" s="21"/>
      <c r="BG1666" s="21"/>
      <c r="BH1666" s="21"/>
      <c r="BI1666" s="21"/>
    </row>
    <row r="1667" spans="1:61" x14ac:dyDescent="0.2">
      <c r="A1667">
        <v>863</v>
      </c>
      <c r="B1667" t="s">
        <v>887</v>
      </c>
      <c r="C1667" t="str">
        <f t="shared" si="187"/>
        <v/>
      </c>
      <c r="D1667" t="str">
        <f t="shared" si="192"/>
        <v/>
      </c>
      <c r="H1667">
        <f t="shared" si="188"/>
        <v>2</v>
      </c>
      <c r="I1667" s="5" t="s">
        <v>888</v>
      </c>
      <c r="J1667" s="5" t="s">
        <v>778</v>
      </c>
      <c r="K1667" s="5" t="s">
        <v>888</v>
      </c>
      <c r="L1667" s="7" t="s">
        <v>779</v>
      </c>
      <c r="Q1667" t="s">
        <v>619</v>
      </c>
      <c r="R1667">
        <v>25</v>
      </c>
      <c r="S1667">
        <v>1</v>
      </c>
      <c r="T1667" t="str">
        <f t="shared" ref="T1667:T1730" si="193">IF(S1667="x","",IF(S1667=1,"e","o"))</f>
        <v>e</v>
      </c>
      <c r="U1667" t="s">
        <v>15</v>
      </c>
      <c r="V1667" t="s">
        <v>697</v>
      </c>
      <c r="X1667" t="s">
        <v>705</v>
      </c>
      <c r="Y1667" t="s">
        <v>720</v>
      </c>
      <c r="AA1667" t="s">
        <v>705</v>
      </c>
      <c r="AF1667" t="s">
        <v>401</v>
      </c>
      <c r="AM1667" t="str">
        <f t="shared" si="189"/>
        <v>Possession</v>
      </c>
      <c r="AN1667" t="str">
        <f t="shared" si="190"/>
        <v>PuckRetrieval</v>
      </c>
      <c r="AP1667" t="str">
        <f t="shared" si="191"/>
        <v>Offensive</v>
      </c>
      <c r="BB1667" s="23"/>
      <c r="BD1667" s="21"/>
      <c r="BE1667" s="21"/>
      <c r="BF1667" s="21"/>
      <c r="BG1667" s="21"/>
      <c r="BH1667" s="21"/>
      <c r="BI1667" s="21"/>
    </row>
    <row r="1668" spans="1:61" x14ac:dyDescent="0.2">
      <c r="A1668">
        <v>864</v>
      </c>
      <c r="C1668" t="str">
        <f t="shared" ref="C1668:C1731" si="194">IF(B1668&lt;&gt;"",9000+B1668,"")</f>
        <v/>
      </c>
      <c r="D1668">
        <f t="shared" si="192"/>
        <v>0</v>
      </c>
      <c r="H1668">
        <f t="shared" si="188"/>
        <v>2</v>
      </c>
      <c r="Q1668" t="s">
        <v>619</v>
      </c>
      <c r="R1668">
        <v>25</v>
      </c>
      <c r="S1668">
        <v>1</v>
      </c>
      <c r="T1668" t="str">
        <f t="shared" si="193"/>
        <v>e</v>
      </c>
      <c r="U1668" t="s">
        <v>10</v>
      </c>
      <c r="V1668" t="s">
        <v>190</v>
      </c>
      <c r="W1668" t="s">
        <v>424</v>
      </c>
      <c r="X1668" t="s">
        <v>705</v>
      </c>
      <c r="Y1668" t="s">
        <v>680</v>
      </c>
      <c r="AA1668" t="s">
        <v>705</v>
      </c>
      <c r="AF1668" t="s">
        <v>401</v>
      </c>
      <c r="AM1668" t="str">
        <f t="shared" si="189"/>
        <v>Turnover</v>
      </c>
      <c r="AN1668" t="str">
        <f t="shared" si="190"/>
        <v>Turnover_Giveaway</v>
      </c>
      <c r="AP1668" t="str">
        <f t="shared" si="191"/>
        <v>Offensive</v>
      </c>
      <c r="BB1668" s="23"/>
      <c r="BD1668" s="21"/>
      <c r="BE1668" s="21"/>
      <c r="BF1668" s="21"/>
      <c r="BG1668" s="21"/>
      <c r="BH1668" s="21"/>
      <c r="BI1668" s="21"/>
    </row>
    <row r="1669" spans="1:61" x14ac:dyDescent="0.2">
      <c r="A1669">
        <v>865</v>
      </c>
      <c r="B1669" t="s">
        <v>887</v>
      </c>
      <c r="C1669" t="str">
        <f t="shared" si="194"/>
        <v/>
      </c>
      <c r="D1669" t="str">
        <f t="shared" si="192"/>
        <v/>
      </c>
      <c r="H1669">
        <f t="shared" ref="H1669:H1732" si="195">IF(U1669="Intermission",H1668+1,H1668)</f>
        <v>2</v>
      </c>
      <c r="I1669" s="5" t="s">
        <v>888</v>
      </c>
      <c r="J1669" s="5" t="s">
        <v>721</v>
      </c>
      <c r="Q1669" t="s">
        <v>620</v>
      </c>
      <c r="R1669">
        <v>84</v>
      </c>
      <c r="S1669">
        <v>1</v>
      </c>
      <c r="T1669" t="str">
        <f t="shared" si="193"/>
        <v>e</v>
      </c>
      <c r="U1669" t="s">
        <v>15</v>
      </c>
      <c r="V1669" t="s">
        <v>697</v>
      </c>
      <c r="X1669" t="s">
        <v>706</v>
      </c>
      <c r="Y1669" t="s">
        <v>720</v>
      </c>
      <c r="AA1669" t="s">
        <v>706</v>
      </c>
      <c r="AF1669" t="s">
        <v>623</v>
      </c>
      <c r="AJ1669">
        <v>1</v>
      </c>
      <c r="AM1669" t="str">
        <f t="shared" ref="AM1669:AM1732" si="196">IF(U1669&lt;&gt;"",U1669,IF($A1669=$A1668,AM1668,""))</f>
        <v>Possession</v>
      </c>
      <c r="AN1669" t="str">
        <f t="shared" ref="AN1669:AN1732" si="197">IF(V1669&lt;&gt;"",V1669,IF($A1669=$A1668,AN1668,""))</f>
        <v>PuckRetrieval</v>
      </c>
      <c r="AP1669" t="str">
        <f t="shared" si="191"/>
        <v>Offensive</v>
      </c>
      <c r="BB1669" s="23"/>
      <c r="BD1669" s="21"/>
      <c r="BE1669" s="21"/>
      <c r="BF1669" s="21"/>
      <c r="BG1669" s="21"/>
      <c r="BH1669" s="21"/>
      <c r="BI1669" s="21"/>
    </row>
    <row r="1670" spans="1:61" x14ac:dyDescent="0.2">
      <c r="A1670">
        <v>865</v>
      </c>
      <c r="B1670" t="s">
        <v>887</v>
      </c>
      <c r="C1670" t="str">
        <f t="shared" si="194"/>
        <v/>
      </c>
      <c r="D1670" t="str">
        <f t="shared" si="192"/>
        <v/>
      </c>
      <c r="H1670">
        <f t="shared" si="195"/>
        <v>2</v>
      </c>
      <c r="R1670">
        <v>91</v>
      </c>
      <c r="T1670" t="str">
        <f t="shared" si="193"/>
        <v>o</v>
      </c>
      <c r="Y1670" t="s">
        <v>761</v>
      </c>
      <c r="AA1670" t="s">
        <v>705</v>
      </c>
      <c r="AJ1670">
        <v>1</v>
      </c>
      <c r="AM1670" t="str">
        <f t="shared" si="196"/>
        <v>Possession</v>
      </c>
      <c r="AN1670" t="str">
        <f t="shared" si="197"/>
        <v>PuckRetrieval</v>
      </c>
      <c r="AP1670" t="str">
        <f t="shared" ref="AP1670:AP1733" si="198">IF(AND(T1670="e",OR(AM1670="Save",AN1670="Turnover_Takeaway",AN1670="Play_Defensive")),"Defensive",IF(AND(T1670="o",OR(AM1670="Save",AN1670="Turnover_Takeaway",AN1670="Play_Defensive")),"Offensive",IF(OR(AM1670="Deadice",AM1670="Stoppage",AM1670="Intermission"),"",IF(T1670="e","Offensive",IF(T1670="o","Defensive","")))))</f>
        <v>Defensive</v>
      </c>
      <c r="BB1670" s="23"/>
      <c r="BD1670" s="21"/>
      <c r="BE1670" s="21"/>
      <c r="BF1670" s="21"/>
      <c r="BG1670" s="21"/>
      <c r="BH1670" s="21"/>
      <c r="BI1670" s="21"/>
    </row>
    <row r="1671" spans="1:61" x14ac:dyDescent="0.2">
      <c r="A1671">
        <v>866</v>
      </c>
      <c r="B1671" t="s">
        <v>887</v>
      </c>
      <c r="C1671" t="str">
        <f t="shared" si="194"/>
        <v/>
      </c>
      <c r="D1671" t="str">
        <f t="shared" si="192"/>
        <v/>
      </c>
      <c r="H1671">
        <f t="shared" si="195"/>
        <v>2</v>
      </c>
      <c r="I1671" s="5" t="s">
        <v>888</v>
      </c>
      <c r="J1671" s="5" t="s">
        <v>721</v>
      </c>
      <c r="Q1671" t="s">
        <v>620</v>
      </c>
      <c r="R1671">
        <v>84</v>
      </c>
      <c r="S1671">
        <v>1</v>
      </c>
      <c r="T1671" t="str">
        <f t="shared" si="193"/>
        <v>e</v>
      </c>
      <c r="U1671" t="s">
        <v>8</v>
      </c>
      <c r="V1671" t="s">
        <v>189</v>
      </c>
      <c r="W1671" t="s">
        <v>69</v>
      </c>
      <c r="X1671" t="s">
        <v>706</v>
      </c>
      <c r="Y1671" t="s">
        <v>814</v>
      </c>
      <c r="AA1671" t="s">
        <v>706</v>
      </c>
      <c r="AM1671" t="str">
        <f t="shared" si="196"/>
        <v>Pass</v>
      </c>
      <c r="AN1671" t="str">
        <f t="shared" si="197"/>
        <v>Pass_Completed</v>
      </c>
      <c r="AP1671" t="str">
        <f t="shared" si="198"/>
        <v>Offensive</v>
      </c>
      <c r="BB1671" s="23"/>
      <c r="BD1671" s="21"/>
      <c r="BE1671" s="21"/>
      <c r="BF1671" s="21"/>
      <c r="BG1671" s="21"/>
      <c r="BH1671" s="21"/>
      <c r="BI1671" s="21"/>
    </row>
    <row r="1672" spans="1:61" x14ac:dyDescent="0.2">
      <c r="A1672">
        <v>866</v>
      </c>
      <c r="B1672" t="s">
        <v>887</v>
      </c>
      <c r="C1672" t="str">
        <f t="shared" si="194"/>
        <v/>
      </c>
      <c r="D1672" t="str">
        <f t="shared" si="192"/>
        <v/>
      </c>
      <c r="H1672">
        <f t="shared" si="195"/>
        <v>2</v>
      </c>
      <c r="R1672">
        <v>22</v>
      </c>
      <c r="S1672">
        <v>1</v>
      </c>
      <c r="T1672" t="str">
        <f t="shared" si="193"/>
        <v>e</v>
      </c>
      <c r="AM1672" t="str">
        <f t="shared" si="196"/>
        <v>Pass</v>
      </c>
      <c r="AN1672" t="str">
        <f t="shared" si="197"/>
        <v>Pass_Completed</v>
      </c>
      <c r="AP1672" t="str">
        <f t="shared" si="198"/>
        <v>Offensive</v>
      </c>
      <c r="BB1672" s="23"/>
      <c r="BD1672" s="21"/>
      <c r="BE1672" s="21"/>
      <c r="BF1672" s="21"/>
      <c r="BG1672" s="21"/>
      <c r="BH1672" s="21"/>
      <c r="BI1672" s="21"/>
    </row>
    <row r="1673" spans="1:61" x14ac:dyDescent="0.2">
      <c r="A1673">
        <v>866</v>
      </c>
      <c r="B1673" t="s">
        <v>887</v>
      </c>
      <c r="C1673" t="str">
        <f t="shared" si="194"/>
        <v/>
      </c>
      <c r="D1673" t="str">
        <f t="shared" ref="D1673:D1736" si="199">IF(C1673&lt;&gt;"",C1673,B1673)</f>
        <v/>
      </c>
      <c r="H1673">
        <f t="shared" si="195"/>
        <v>2</v>
      </c>
      <c r="R1673">
        <v>91</v>
      </c>
      <c r="T1673" t="str">
        <f t="shared" si="193"/>
        <v>o</v>
      </c>
      <c r="AM1673" t="str">
        <f t="shared" si="196"/>
        <v>Pass</v>
      </c>
      <c r="AN1673" t="str">
        <f t="shared" si="197"/>
        <v>Pass_Completed</v>
      </c>
      <c r="AP1673" t="str">
        <f t="shared" si="198"/>
        <v>Defensive</v>
      </c>
      <c r="BB1673" s="23"/>
      <c r="BD1673" s="21"/>
      <c r="BE1673" s="21"/>
      <c r="BF1673" s="21"/>
      <c r="BG1673" s="21"/>
      <c r="BH1673" s="21"/>
      <c r="BI1673" s="21"/>
    </row>
    <row r="1674" spans="1:61" x14ac:dyDescent="0.2">
      <c r="A1674">
        <v>867</v>
      </c>
      <c r="B1674">
        <v>143</v>
      </c>
      <c r="C1674">
        <f t="shared" si="194"/>
        <v>9143</v>
      </c>
      <c r="D1674">
        <f t="shared" si="199"/>
        <v>9143</v>
      </c>
      <c r="H1674">
        <f t="shared" si="195"/>
        <v>2</v>
      </c>
      <c r="I1674" s="5" t="s">
        <v>888</v>
      </c>
      <c r="J1674" s="5" t="s">
        <v>812</v>
      </c>
      <c r="Q1674" t="s">
        <v>620</v>
      </c>
      <c r="R1674">
        <v>22</v>
      </c>
      <c r="S1674">
        <v>1</v>
      </c>
      <c r="T1674" t="str">
        <f t="shared" si="193"/>
        <v>e</v>
      </c>
      <c r="U1674" t="s">
        <v>8</v>
      </c>
      <c r="V1674" t="s">
        <v>189</v>
      </c>
      <c r="W1674" t="s">
        <v>71</v>
      </c>
      <c r="X1674" t="s">
        <v>706</v>
      </c>
      <c r="Y1674" t="s">
        <v>678</v>
      </c>
      <c r="AA1674" t="s">
        <v>706</v>
      </c>
      <c r="AF1674" t="s">
        <v>623</v>
      </c>
      <c r="AM1674" t="str">
        <f t="shared" si="196"/>
        <v>Pass</v>
      </c>
      <c r="AN1674" t="str">
        <f t="shared" si="197"/>
        <v>Pass_Completed</v>
      </c>
      <c r="AP1674" t="str">
        <f t="shared" si="198"/>
        <v>Offensive</v>
      </c>
      <c r="BB1674" s="23"/>
      <c r="BD1674" s="21"/>
      <c r="BE1674" s="21"/>
      <c r="BF1674" s="21"/>
      <c r="BG1674" s="21"/>
      <c r="BH1674" s="21"/>
      <c r="BI1674" s="21"/>
    </row>
    <row r="1675" spans="1:61" x14ac:dyDescent="0.2">
      <c r="A1675">
        <v>867</v>
      </c>
      <c r="B1675">
        <v>143</v>
      </c>
      <c r="C1675">
        <f t="shared" si="194"/>
        <v>9143</v>
      </c>
      <c r="D1675">
        <f t="shared" si="199"/>
        <v>9143</v>
      </c>
      <c r="H1675">
        <f t="shared" si="195"/>
        <v>2</v>
      </c>
      <c r="R1675">
        <v>75</v>
      </c>
      <c r="S1675">
        <v>1</v>
      </c>
      <c r="T1675" t="str">
        <f t="shared" si="193"/>
        <v>e</v>
      </c>
      <c r="AM1675" t="str">
        <f t="shared" si="196"/>
        <v>Pass</v>
      </c>
      <c r="AN1675" t="str">
        <f t="shared" si="197"/>
        <v>Pass_Completed</v>
      </c>
      <c r="AP1675" t="str">
        <f t="shared" si="198"/>
        <v>Offensive</v>
      </c>
      <c r="BB1675" s="23"/>
      <c r="BD1675" s="21"/>
      <c r="BE1675" s="21"/>
      <c r="BF1675" s="21"/>
      <c r="BG1675" s="21"/>
      <c r="BH1675" s="21"/>
      <c r="BI1675" s="21"/>
    </row>
    <row r="1676" spans="1:61" x14ac:dyDescent="0.2">
      <c r="A1676">
        <v>868</v>
      </c>
      <c r="B1676">
        <v>143</v>
      </c>
      <c r="C1676">
        <f t="shared" si="194"/>
        <v>9143</v>
      </c>
      <c r="D1676">
        <f t="shared" si="199"/>
        <v>9143</v>
      </c>
      <c r="H1676">
        <f t="shared" si="195"/>
        <v>2</v>
      </c>
      <c r="I1676" s="5" t="s">
        <v>888</v>
      </c>
      <c r="J1676" s="5" t="s">
        <v>812</v>
      </c>
      <c r="Q1676" t="s">
        <v>620</v>
      </c>
      <c r="R1676">
        <v>22</v>
      </c>
      <c r="S1676">
        <v>1</v>
      </c>
      <c r="T1676" t="str">
        <f t="shared" si="193"/>
        <v>e</v>
      </c>
      <c r="U1676" t="s">
        <v>257</v>
      </c>
      <c r="V1676" t="s">
        <v>201</v>
      </c>
      <c r="W1676" t="s">
        <v>91</v>
      </c>
      <c r="X1676" t="s">
        <v>706</v>
      </c>
      <c r="AF1676" t="s">
        <v>623</v>
      </c>
      <c r="AM1676" t="str">
        <f t="shared" si="196"/>
        <v>Zone_Entry_Exit</v>
      </c>
      <c r="AN1676" t="str">
        <f t="shared" si="197"/>
        <v>Zone_Exit</v>
      </c>
      <c r="AP1676" t="str">
        <f t="shared" si="198"/>
        <v>Offensive</v>
      </c>
      <c r="BB1676" s="23"/>
      <c r="BD1676" s="21"/>
      <c r="BE1676" s="21"/>
      <c r="BF1676" s="21"/>
      <c r="BG1676" s="21"/>
      <c r="BH1676" s="21"/>
      <c r="BI1676" s="21"/>
    </row>
    <row r="1677" spans="1:61" x14ac:dyDescent="0.2">
      <c r="A1677">
        <v>868</v>
      </c>
      <c r="B1677">
        <v>143</v>
      </c>
      <c r="C1677">
        <f t="shared" si="194"/>
        <v>9143</v>
      </c>
      <c r="D1677">
        <f t="shared" si="199"/>
        <v>9143</v>
      </c>
      <c r="H1677">
        <f t="shared" si="195"/>
        <v>2</v>
      </c>
      <c r="R1677">
        <v>75</v>
      </c>
      <c r="S1677">
        <v>1</v>
      </c>
      <c r="T1677" t="str">
        <f t="shared" si="193"/>
        <v>e</v>
      </c>
      <c r="AM1677" t="str">
        <f t="shared" si="196"/>
        <v>Zone_Entry_Exit</v>
      </c>
      <c r="AN1677" t="str">
        <f t="shared" si="197"/>
        <v>Zone_Exit</v>
      </c>
      <c r="AP1677" t="str">
        <f t="shared" si="198"/>
        <v>Offensive</v>
      </c>
      <c r="BB1677" s="23"/>
      <c r="BD1677" s="21"/>
      <c r="BE1677" s="21"/>
      <c r="BF1677" s="21"/>
      <c r="BG1677" s="21"/>
      <c r="BH1677" s="21"/>
      <c r="BI1677" s="21"/>
    </row>
    <row r="1678" spans="1:61" x14ac:dyDescent="0.2">
      <c r="A1678">
        <v>869</v>
      </c>
      <c r="B1678">
        <v>144</v>
      </c>
      <c r="C1678">
        <f t="shared" si="194"/>
        <v>9144</v>
      </c>
      <c r="D1678">
        <f t="shared" si="199"/>
        <v>9144</v>
      </c>
      <c r="H1678">
        <f t="shared" si="195"/>
        <v>2</v>
      </c>
      <c r="I1678" s="5" t="s">
        <v>888</v>
      </c>
      <c r="J1678" s="5" t="s">
        <v>760</v>
      </c>
      <c r="Q1678" t="s">
        <v>620</v>
      </c>
      <c r="R1678">
        <v>75</v>
      </c>
      <c r="S1678">
        <v>1</v>
      </c>
      <c r="T1678" t="str">
        <f t="shared" si="193"/>
        <v>e</v>
      </c>
      <c r="U1678" t="s">
        <v>8</v>
      </c>
      <c r="V1678" t="s">
        <v>216</v>
      </c>
      <c r="W1678" t="s">
        <v>70</v>
      </c>
      <c r="X1678" t="s">
        <v>705</v>
      </c>
      <c r="AF1678" t="s">
        <v>635</v>
      </c>
      <c r="AM1678" t="str">
        <f t="shared" si="196"/>
        <v>Pass</v>
      </c>
      <c r="AN1678" t="str">
        <f t="shared" si="197"/>
        <v>Pass_Intercepted</v>
      </c>
      <c r="AP1678" t="str">
        <f t="shared" si="198"/>
        <v>Offensive</v>
      </c>
      <c r="BB1678" s="23"/>
      <c r="BD1678" s="21"/>
      <c r="BE1678" s="21"/>
      <c r="BF1678" s="21"/>
      <c r="BG1678" s="21"/>
      <c r="BH1678" s="21"/>
      <c r="BI1678" s="21"/>
    </row>
    <row r="1679" spans="1:61" x14ac:dyDescent="0.2">
      <c r="A1679">
        <v>869</v>
      </c>
      <c r="B1679">
        <v>144</v>
      </c>
      <c r="C1679">
        <f t="shared" si="194"/>
        <v>9144</v>
      </c>
      <c r="D1679">
        <f t="shared" si="199"/>
        <v>9144</v>
      </c>
      <c r="H1679">
        <f t="shared" si="195"/>
        <v>2</v>
      </c>
      <c r="R1679">
        <v>24</v>
      </c>
      <c r="S1679">
        <v>1</v>
      </c>
      <c r="T1679" t="str">
        <f t="shared" si="193"/>
        <v>e</v>
      </c>
      <c r="AM1679" t="str">
        <f t="shared" si="196"/>
        <v>Pass</v>
      </c>
      <c r="AN1679" t="str">
        <f t="shared" si="197"/>
        <v>Pass_Intercepted</v>
      </c>
      <c r="AP1679" t="str">
        <f t="shared" si="198"/>
        <v>Offensive</v>
      </c>
      <c r="BB1679" s="23"/>
      <c r="BD1679" s="21"/>
      <c r="BE1679" s="21"/>
      <c r="BF1679" s="21"/>
      <c r="BG1679" s="21"/>
      <c r="BH1679" s="21"/>
      <c r="BI1679" s="21"/>
    </row>
    <row r="1680" spans="1:61" x14ac:dyDescent="0.2">
      <c r="A1680">
        <v>869</v>
      </c>
      <c r="B1680">
        <v>144</v>
      </c>
      <c r="C1680">
        <f t="shared" si="194"/>
        <v>9144</v>
      </c>
      <c r="D1680">
        <f t="shared" si="199"/>
        <v>9144</v>
      </c>
      <c r="H1680">
        <f t="shared" si="195"/>
        <v>2</v>
      </c>
      <c r="R1680">
        <v>91</v>
      </c>
      <c r="T1680" t="str">
        <f t="shared" si="193"/>
        <v>o</v>
      </c>
      <c r="AM1680" t="str">
        <f t="shared" si="196"/>
        <v>Pass</v>
      </c>
      <c r="AN1680" t="str">
        <f t="shared" si="197"/>
        <v>Pass_Intercepted</v>
      </c>
      <c r="AP1680" t="str">
        <f t="shared" si="198"/>
        <v>Defensive</v>
      </c>
      <c r="BB1680" s="23"/>
      <c r="BD1680" s="21"/>
      <c r="BE1680" s="21"/>
      <c r="BF1680" s="21"/>
      <c r="BG1680" s="21"/>
      <c r="BH1680" s="21"/>
      <c r="BI1680" s="21"/>
    </row>
    <row r="1681" spans="1:61" x14ac:dyDescent="0.2">
      <c r="A1681">
        <v>870</v>
      </c>
      <c r="B1681">
        <v>144</v>
      </c>
      <c r="C1681">
        <f t="shared" si="194"/>
        <v>9144</v>
      </c>
      <c r="D1681">
        <f t="shared" si="199"/>
        <v>9144</v>
      </c>
      <c r="H1681">
        <f t="shared" si="195"/>
        <v>2</v>
      </c>
      <c r="I1681" s="5" t="s">
        <v>888</v>
      </c>
      <c r="J1681" s="5" t="s">
        <v>760</v>
      </c>
      <c r="Q1681" t="s">
        <v>620</v>
      </c>
      <c r="R1681">
        <v>75</v>
      </c>
      <c r="S1681">
        <v>1</v>
      </c>
      <c r="T1681" t="str">
        <f t="shared" si="193"/>
        <v>e</v>
      </c>
      <c r="U1681" t="s">
        <v>10</v>
      </c>
      <c r="V1681" t="s">
        <v>190</v>
      </c>
      <c r="W1681" t="s">
        <v>75</v>
      </c>
      <c r="AF1681" t="s">
        <v>635</v>
      </c>
      <c r="AM1681" t="str">
        <f t="shared" si="196"/>
        <v>Turnover</v>
      </c>
      <c r="AN1681" t="str">
        <f t="shared" si="197"/>
        <v>Turnover_Giveaway</v>
      </c>
      <c r="AP1681" t="str">
        <f t="shared" si="198"/>
        <v>Offensive</v>
      </c>
      <c r="BB1681" s="23"/>
      <c r="BD1681" s="21"/>
      <c r="BE1681" s="21"/>
      <c r="BF1681" s="21"/>
      <c r="BG1681" s="21"/>
      <c r="BH1681" s="21"/>
      <c r="BI1681" s="21"/>
    </row>
    <row r="1682" spans="1:61" x14ac:dyDescent="0.2">
      <c r="A1682">
        <v>870</v>
      </c>
      <c r="B1682">
        <v>144</v>
      </c>
      <c r="C1682">
        <f t="shared" si="194"/>
        <v>9144</v>
      </c>
      <c r="D1682">
        <f t="shared" si="199"/>
        <v>9144</v>
      </c>
      <c r="H1682">
        <f t="shared" si="195"/>
        <v>2</v>
      </c>
      <c r="R1682">
        <v>24</v>
      </c>
      <c r="S1682">
        <v>1</v>
      </c>
      <c r="T1682" t="str">
        <f t="shared" si="193"/>
        <v>e</v>
      </c>
      <c r="AM1682" t="str">
        <f t="shared" si="196"/>
        <v>Turnover</v>
      </c>
      <c r="AN1682" t="str">
        <f t="shared" si="197"/>
        <v>Turnover_Giveaway</v>
      </c>
      <c r="AP1682" t="str">
        <f t="shared" si="198"/>
        <v>Offensive</v>
      </c>
      <c r="BB1682" s="23"/>
      <c r="BD1682" s="21"/>
      <c r="BE1682" s="21"/>
      <c r="BF1682" s="21"/>
      <c r="BG1682" s="21"/>
      <c r="BH1682" s="21"/>
      <c r="BI1682" s="21"/>
    </row>
    <row r="1683" spans="1:61" x14ac:dyDescent="0.2">
      <c r="A1683">
        <v>870</v>
      </c>
      <c r="B1683">
        <v>144</v>
      </c>
      <c r="C1683">
        <f t="shared" si="194"/>
        <v>9144</v>
      </c>
      <c r="D1683">
        <f t="shared" si="199"/>
        <v>9144</v>
      </c>
      <c r="H1683">
        <f t="shared" si="195"/>
        <v>2</v>
      </c>
      <c r="R1683">
        <v>91</v>
      </c>
      <c r="T1683" t="str">
        <f t="shared" si="193"/>
        <v>o</v>
      </c>
      <c r="AM1683" t="str">
        <f t="shared" si="196"/>
        <v>Turnover</v>
      </c>
      <c r="AN1683" t="str">
        <f t="shared" si="197"/>
        <v>Turnover_Giveaway</v>
      </c>
      <c r="AP1683" t="str">
        <f t="shared" si="198"/>
        <v>Defensive</v>
      </c>
      <c r="BB1683" s="23"/>
      <c r="BD1683" s="21"/>
      <c r="BE1683" s="21"/>
      <c r="BF1683" s="21"/>
      <c r="BG1683" s="21"/>
      <c r="BH1683" s="21"/>
      <c r="BI1683" s="21"/>
    </row>
    <row r="1684" spans="1:61" x14ac:dyDescent="0.2">
      <c r="A1684">
        <v>871</v>
      </c>
      <c r="B1684" t="s">
        <v>887</v>
      </c>
      <c r="C1684" t="str">
        <f t="shared" si="194"/>
        <v/>
      </c>
      <c r="D1684" t="str">
        <f t="shared" si="199"/>
        <v/>
      </c>
      <c r="H1684">
        <f t="shared" si="195"/>
        <v>2</v>
      </c>
      <c r="I1684" s="5" t="s">
        <v>888</v>
      </c>
      <c r="J1684" s="5" t="s">
        <v>621</v>
      </c>
      <c r="K1684" s="5" t="s">
        <v>888</v>
      </c>
      <c r="L1684" s="7" t="s">
        <v>732</v>
      </c>
      <c r="Q1684" t="s">
        <v>619</v>
      </c>
      <c r="R1684">
        <v>4</v>
      </c>
      <c r="S1684">
        <v>1</v>
      </c>
      <c r="T1684" t="str">
        <f t="shared" si="193"/>
        <v>e</v>
      </c>
      <c r="U1684" t="s">
        <v>15</v>
      </c>
      <c r="V1684" t="s">
        <v>697</v>
      </c>
      <c r="X1684" t="s">
        <v>706</v>
      </c>
      <c r="Y1684" t="s">
        <v>712</v>
      </c>
      <c r="AA1684" t="s">
        <v>706</v>
      </c>
      <c r="AF1684" t="s">
        <v>635</v>
      </c>
      <c r="AM1684" t="str">
        <f t="shared" si="196"/>
        <v>Possession</v>
      </c>
      <c r="AN1684" t="str">
        <f t="shared" si="197"/>
        <v>PuckRetrieval</v>
      </c>
      <c r="AP1684" t="str">
        <f t="shared" si="198"/>
        <v>Offensive</v>
      </c>
      <c r="BB1684" s="23"/>
      <c r="BD1684" s="21"/>
      <c r="BE1684" s="21"/>
      <c r="BF1684" s="21"/>
      <c r="BG1684" s="21"/>
      <c r="BH1684" s="21"/>
      <c r="BI1684" s="21"/>
    </row>
    <row r="1685" spans="1:61" x14ac:dyDescent="0.2">
      <c r="A1685">
        <v>872</v>
      </c>
      <c r="B1685">
        <v>145</v>
      </c>
      <c r="C1685">
        <f t="shared" si="194"/>
        <v>9145</v>
      </c>
      <c r="D1685">
        <f t="shared" si="199"/>
        <v>9145</v>
      </c>
      <c r="H1685">
        <f t="shared" si="195"/>
        <v>2</v>
      </c>
      <c r="I1685" s="5" t="s">
        <v>888</v>
      </c>
      <c r="J1685" s="5" t="s">
        <v>732</v>
      </c>
      <c r="Q1685" t="s">
        <v>619</v>
      </c>
      <c r="R1685">
        <v>4</v>
      </c>
      <c r="S1685">
        <v>1</v>
      </c>
      <c r="T1685" t="str">
        <f t="shared" si="193"/>
        <v>e</v>
      </c>
      <c r="U1685" t="s">
        <v>8</v>
      </c>
      <c r="V1685" t="s">
        <v>199</v>
      </c>
      <c r="W1685" t="s">
        <v>480</v>
      </c>
      <c r="X1685" t="s">
        <v>705</v>
      </c>
      <c r="AF1685" t="s">
        <v>635</v>
      </c>
      <c r="AM1685" t="str">
        <f t="shared" si="196"/>
        <v>Pass</v>
      </c>
      <c r="AN1685" t="str">
        <f t="shared" si="197"/>
        <v>Pass_Missed</v>
      </c>
      <c r="AP1685" t="str">
        <f t="shared" si="198"/>
        <v>Offensive</v>
      </c>
      <c r="BB1685" s="23"/>
      <c r="BD1685" s="21"/>
      <c r="BE1685" s="21"/>
      <c r="BF1685" s="21"/>
      <c r="BG1685" s="21"/>
      <c r="BH1685" s="21"/>
      <c r="BI1685" s="21"/>
    </row>
    <row r="1686" spans="1:61" x14ac:dyDescent="0.2">
      <c r="A1686">
        <v>872</v>
      </c>
      <c r="B1686">
        <v>145</v>
      </c>
      <c r="C1686">
        <f t="shared" si="194"/>
        <v>9145</v>
      </c>
      <c r="D1686">
        <f t="shared" si="199"/>
        <v>9145</v>
      </c>
      <c r="H1686">
        <f t="shared" si="195"/>
        <v>2</v>
      </c>
      <c r="R1686">
        <v>89</v>
      </c>
      <c r="S1686">
        <v>1</v>
      </c>
      <c r="T1686" t="str">
        <f t="shared" si="193"/>
        <v>e</v>
      </c>
      <c r="Y1686" t="s">
        <v>754</v>
      </c>
      <c r="AA1686" t="s">
        <v>705</v>
      </c>
      <c r="AM1686" t="str">
        <f t="shared" si="196"/>
        <v>Pass</v>
      </c>
      <c r="AN1686" t="str">
        <f t="shared" si="197"/>
        <v>Pass_Missed</v>
      </c>
      <c r="AP1686" t="str">
        <f t="shared" si="198"/>
        <v>Offensive</v>
      </c>
      <c r="BB1686" s="23"/>
      <c r="BD1686" s="21"/>
      <c r="BE1686" s="21"/>
      <c r="BF1686" s="21"/>
      <c r="BG1686" s="21"/>
      <c r="BH1686" s="21"/>
      <c r="BI1686" s="21"/>
    </row>
    <row r="1687" spans="1:61" x14ac:dyDescent="0.2">
      <c r="A1687">
        <v>873</v>
      </c>
      <c r="B1687">
        <v>145</v>
      </c>
      <c r="C1687">
        <f t="shared" si="194"/>
        <v>9145</v>
      </c>
      <c r="D1687">
        <f t="shared" si="199"/>
        <v>9145</v>
      </c>
      <c r="H1687">
        <f t="shared" si="195"/>
        <v>2</v>
      </c>
      <c r="I1687" s="5" t="s">
        <v>888</v>
      </c>
      <c r="J1687" s="5" t="s">
        <v>732</v>
      </c>
      <c r="Q1687" t="s">
        <v>619</v>
      </c>
      <c r="R1687">
        <v>4</v>
      </c>
      <c r="S1687">
        <v>1</v>
      </c>
      <c r="T1687" t="str">
        <f t="shared" si="193"/>
        <v>e</v>
      </c>
      <c r="U1687" t="s">
        <v>257</v>
      </c>
      <c r="V1687" t="s">
        <v>191</v>
      </c>
      <c r="W1687" t="s">
        <v>423</v>
      </c>
      <c r="X1687" t="s">
        <v>705</v>
      </c>
      <c r="AF1687" t="s">
        <v>635</v>
      </c>
      <c r="AM1687" t="str">
        <f t="shared" si="196"/>
        <v>Zone_Entry_Exit</v>
      </c>
      <c r="AN1687" t="str">
        <f t="shared" si="197"/>
        <v>Zone_Entry</v>
      </c>
      <c r="AP1687" t="str">
        <f t="shared" si="198"/>
        <v>Offensive</v>
      </c>
      <c r="BB1687" s="23"/>
      <c r="BD1687" s="21"/>
      <c r="BE1687" s="21"/>
      <c r="BF1687" s="21"/>
      <c r="BG1687" s="21"/>
      <c r="BH1687" s="21"/>
      <c r="BI1687" s="21"/>
    </row>
    <row r="1688" spans="1:61" x14ac:dyDescent="0.2">
      <c r="A1688">
        <v>873</v>
      </c>
      <c r="B1688">
        <v>145</v>
      </c>
      <c r="C1688">
        <f t="shared" si="194"/>
        <v>9145</v>
      </c>
      <c r="D1688">
        <f t="shared" si="199"/>
        <v>9145</v>
      </c>
      <c r="H1688">
        <f t="shared" si="195"/>
        <v>2</v>
      </c>
      <c r="R1688">
        <v>89</v>
      </c>
      <c r="S1688">
        <v>1</v>
      </c>
      <c r="T1688" t="str">
        <f t="shared" si="193"/>
        <v>e</v>
      </c>
      <c r="AM1688" t="str">
        <f t="shared" si="196"/>
        <v>Zone_Entry_Exit</v>
      </c>
      <c r="AN1688" t="str">
        <f t="shared" si="197"/>
        <v>Zone_Entry</v>
      </c>
      <c r="AP1688" t="str">
        <f t="shared" si="198"/>
        <v>Offensive</v>
      </c>
      <c r="BB1688" s="23"/>
      <c r="BD1688" s="21"/>
      <c r="BE1688" s="21"/>
      <c r="BF1688" s="21"/>
      <c r="BG1688" s="21"/>
      <c r="BH1688" s="21"/>
      <c r="BI1688" s="21"/>
    </row>
    <row r="1689" spans="1:61" x14ac:dyDescent="0.2">
      <c r="A1689">
        <v>874</v>
      </c>
      <c r="B1689">
        <v>145</v>
      </c>
      <c r="C1689">
        <f t="shared" si="194"/>
        <v>9145</v>
      </c>
      <c r="D1689">
        <f t="shared" si="199"/>
        <v>9145</v>
      </c>
      <c r="H1689">
        <f t="shared" si="195"/>
        <v>2</v>
      </c>
      <c r="I1689" s="5" t="s">
        <v>888</v>
      </c>
      <c r="J1689" s="5" t="s">
        <v>732</v>
      </c>
      <c r="Q1689" t="s">
        <v>619</v>
      </c>
      <c r="R1689">
        <v>4</v>
      </c>
      <c r="S1689">
        <v>1</v>
      </c>
      <c r="T1689" t="str">
        <f t="shared" si="193"/>
        <v>e</v>
      </c>
      <c r="U1689" t="s">
        <v>10</v>
      </c>
      <c r="V1689" t="s">
        <v>190</v>
      </c>
      <c r="W1689" t="s">
        <v>416</v>
      </c>
      <c r="X1689" t="s">
        <v>705</v>
      </c>
      <c r="AF1689" t="s">
        <v>635</v>
      </c>
      <c r="AM1689" t="str">
        <f t="shared" si="196"/>
        <v>Turnover</v>
      </c>
      <c r="AN1689" t="str">
        <f t="shared" si="197"/>
        <v>Turnover_Giveaway</v>
      </c>
      <c r="AP1689" t="str">
        <f t="shared" si="198"/>
        <v>Offensive</v>
      </c>
      <c r="BB1689" s="23"/>
      <c r="BD1689" s="21"/>
      <c r="BE1689" s="21"/>
      <c r="BF1689" s="21"/>
      <c r="BG1689" s="21"/>
      <c r="BH1689" s="21"/>
      <c r="BI1689" s="21"/>
    </row>
    <row r="1690" spans="1:61" x14ac:dyDescent="0.2">
      <c r="A1690">
        <v>874</v>
      </c>
      <c r="B1690">
        <v>145</v>
      </c>
      <c r="C1690">
        <f t="shared" si="194"/>
        <v>9145</v>
      </c>
      <c r="D1690">
        <f t="shared" si="199"/>
        <v>9145</v>
      </c>
      <c r="H1690">
        <f t="shared" si="195"/>
        <v>2</v>
      </c>
      <c r="R1690">
        <v>89</v>
      </c>
      <c r="S1690">
        <v>1</v>
      </c>
      <c r="T1690" t="str">
        <f t="shared" si="193"/>
        <v>e</v>
      </c>
      <c r="AM1690" t="str">
        <f t="shared" si="196"/>
        <v>Turnover</v>
      </c>
      <c r="AN1690" t="str">
        <f t="shared" si="197"/>
        <v>Turnover_Giveaway</v>
      </c>
      <c r="AP1690" t="str">
        <f t="shared" si="198"/>
        <v>Offensive</v>
      </c>
      <c r="BB1690" s="23"/>
      <c r="BD1690" s="21"/>
      <c r="BE1690" s="21"/>
      <c r="BF1690" s="21"/>
      <c r="BG1690" s="21"/>
      <c r="BH1690" s="21"/>
      <c r="BI1690" s="21"/>
    </row>
    <row r="1691" spans="1:61" x14ac:dyDescent="0.2">
      <c r="A1691">
        <v>875</v>
      </c>
      <c r="B1691" t="s">
        <v>887</v>
      </c>
      <c r="C1691" t="str">
        <f t="shared" si="194"/>
        <v/>
      </c>
      <c r="D1691" t="str">
        <f t="shared" si="199"/>
        <v/>
      </c>
      <c r="H1691">
        <f t="shared" si="195"/>
        <v>2</v>
      </c>
      <c r="I1691" s="5" t="s">
        <v>888</v>
      </c>
      <c r="J1691" s="5" t="s">
        <v>742</v>
      </c>
      <c r="Q1691" t="s">
        <v>620</v>
      </c>
      <c r="R1691">
        <v>22</v>
      </c>
      <c r="S1691">
        <v>1</v>
      </c>
      <c r="T1691" t="str">
        <f t="shared" si="193"/>
        <v>e</v>
      </c>
      <c r="U1691" t="s">
        <v>15</v>
      </c>
      <c r="V1691" t="s">
        <v>697</v>
      </c>
      <c r="X1691" t="s">
        <v>705</v>
      </c>
      <c r="Y1691" t="s">
        <v>712</v>
      </c>
      <c r="AA1691" t="s">
        <v>705</v>
      </c>
      <c r="AF1691" t="s">
        <v>623</v>
      </c>
      <c r="AJ1691">
        <v>1</v>
      </c>
      <c r="AM1691" t="str">
        <f t="shared" si="196"/>
        <v>Possession</v>
      </c>
      <c r="AN1691" t="str">
        <f t="shared" si="197"/>
        <v>PuckRetrieval</v>
      </c>
      <c r="AP1691" t="str">
        <f t="shared" si="198"/>
        <v>Offensive</v>
      </c>
      <c r="BB1691" s="23"/>
      <c r="BD1691" s="21"/>
      <c r="BE1691" s="21"/>
      <c r="BF1691" s="21"/>
      <c r="BG1691" s="21"/>
      <c r="BH1691" s="21"/>
      <c r="BI1691" s="21"/>
    </row>
    <row r="1692" spans="1:61" x14ac:dyDescent="0.2">
      <c r="A1692">
        <v>875</v>
      </c>
      <c r="B1692" t="s">
        <v>887</v>
      </c>
      <c r="C1692" t="str">
        <f t="shared" si="194"/>
        <v/>
      </c>
      <c r="D1692" t="str">
        <f t="shared" si="199"/>
        <v/>
      </c>
      <c r="H1692">
        <f t="shared" si="195"/>
        <v>2</v>
      </c>
      <c r="R1692">
        <v>91</v>
      </c>
      <c r="T1692" t="str">
        <f t="shared" si="193"/>
        <v>o</v>
      </c>
      <c r="AJ1692">
        <v>1</v>
      </c>
      <c r="AM1692" t="str">
        <f t="shared" si="196"/>
        <v>Possession</v>
      </c>
      <c r="AN1692" t="str">
        <f t="shared" si="197"/>
        <v>PuckRetrieval</v>
      </c>
      <c r="AP1692" t="str">
        <f t="shared" si="198"/>
        <v>Defensive</v>
      </c>
      <c r="BB1692" s="23"/>
      <c r="BD1692" s="21"/>
      <c r="BE1692" s="21"/>
      <c r="BF1692" s="21"/>
      <c r="BG1692" s="21"/>
      <c r="BH1692" s="21"/>
      <c r="BI1692" s="21"/>
    </row>
    <row r="1693" spans="1:61" x14ac:dyDescent="0.2">
      <c r="A1693">
        <v>876</v>
      </c>
      <c r="B1693">
        <v>146</v>
      </c>
      <c r="C1693">
        <f t="shared" si="194"/>
        <v>9146</v>
      </c>
      <c r="D1693">
        <f t="shared" si="199"/>
        <v>9146</v>
      </c>
      <c r="H1693">
        <f t="shared" si="195"/>
        <v>2</v>
      </c>
      <c r="I1693" s="5" t="s">
        <v>888</v>
      </c>
      <c r="J1693" s="5" t="s">
        <v>742</v>
      </c>
      <c r="Q1693" t="s">
        <v>620</v>
      </c>
      <c r="R1693">
        <v>22</v>
      </c>
      <c r="S1693">
        <v>1</v>
      </c>
      <c r="T1693" t="str">
        <f t="shared" si="193"/>
        <v>e</v>
      </c>
      <c r="U1693" t="s">
        <v>8</v>
      </c>
      <c r="V1693" t="s">
        <v>199</v>
      </c>
      <c r="W1693" t="s">
        <v>71</v>
      </c>
      <c r="X1693" t="s">
        <v>705</v>
      </c>
      <c r="Y1693" t="s">
        <v>744</v>
      </c>
      <c r="AA1693" t="s">
        <v>705</v>
      </c>
      <c r="AF1693" t="s">
        <v>623</v>
      </c>
      <c r="AJ1693">
        <v>1</v>
      </c>
      <c r="AM1693" t="str">
        <f t="shared" si="196"/>
        <v>Pass</v>
      </c>
      <c r="AN1693" t="str">
        <f t="shared" si="197"/>
        <v>Pass_Missed</v>
      </c>
      <c r="AP1693" t="str">
        <f t="shared" si="198"/>
        <v>Offensive</v>
      </c>
      <c r="BB1693" s="23"/>
      <c r="BD1693" s="21"/>
      <c r="BE1693" s="21"/>
      <c r="BF1693" s="21"/>
      <c r="BG1693" s="21"/>
      <c r="BH1693" s="21"/>
      <c r="BI1693" s="21"/>
    </row>
    <row r="1694" spans="1:61" x14ac:dyDescent="0.2">
      <c r="A1694">
        <v>876</v>
      </c>
      <c r="B1694">
        <v>146</v>
      </c>
      <c r="C1694">
        <f t="shared" si="194"/>
        <v>9146</v>
      </c>
      <c r="D1694">
        <f t="shared" si="199"/>
        <v>9146</v>
      </c>
      <c r="H1694">
        <f t="shared" si="195"/>
        <v>2</v>
      </c>
      <c r="R1694">
        <v>75</v>
      </c>
      <c r="S1694">
        <v>1</v>
      </c>
      <c r="T1694" t="str">
        <f t="shared" si="193"/>
        <v>e</v>
      </c>
      <c r="AM1694" t="str">
        <f t="shared" si="196"/>
        <v>Pass</v>
      </c>
      <c r="AN1694" t="str">
        <f t="shared" si="197"/>
        <v>Pass_Missed</v>
      </c>
      <c r="AP1694" t="str">
        <f t="shared" si="198"/>
        <v>Offensive</v>
      </c>
      <c r="BB1694" s="23"/>
      <c r="BD1694" s="21"/>
      <c r="BE1694" s="21"/>
      <c r="BF1694" s="21"/>
      <c r="BG1694" s="21"/>
      <c r="BH1694" s="21"/>
      <c r="BI1694" s="21"/>
    </row>
    <row r="1695" spans="1:61" x14ac:dyDescent="0.2">
      <c r="A1695">
        <v>876</v>
      </c>
      <c r="B1695">
        <v>146</v>
      </c>
      <c r="C1695">
        <f t="shared" si="194"/>
        <v>9146</v>
      </c>
      <c r="D1695">
        <f t="shared" si="199"/>
        <v>9146</v>
      </c>
      <c r="H1695">
        <f t="shared" si="195"/>
        <v>2</v>
      </c>
      <c r="R1695">
        <v>91</v>
      </c>
      <c r="T1695" t="str">
        <f t="shared" si="193"/>
        <v>o</v>
      </c>
      <c r="AJ1695">
        <v>1</v>
      </c>
      <c r="AM1695" t="str">
        <f t="shared" si="196"/>
        <v>Pass</v>
      </c>
      <c r="AN1695" t="str">
        <f t="shared" si="197"/>
        <v>Pass_Missed</v>
      </c>
      <c r="AP1695" t="str">
        <f t="shared" si="198"/>
        <v>Defensive</v>
      </c>
      <c r="BB1695" s="23"/>
      <c r="BD1695" s="21"/>
      <c r="BE1695" s="21"/>
      <c r="BF1695" s="21"/>
      <c r="BG1695" s="21"/>
      <c r="BH1695" s="21"/>
      <c r="BI1695" s="21"/>
    </row>
    <row r="1696" spans="1:61" x14ac:dyDescent="0.2">
      <c r="A1696">
        <v>877</v>
      </c>
      <c r="B1696">
        <v>146</v>
      </c>
      <c r="C1696">
        <f t="shared" si="194"/>
        <v>9146</v>
      </c>
      <c r="D1696">
        <f t="shared" si="199"/>
        <v>9146</v>
      </c>
      <c r="H1696">
        <f t="shared" si="195"/>
        <v>2</v>
      </c>
      <c r="I1696" s="5" t="s">
        <v>888</v>
      </c>
      <c r="J1696" s="5" t="s">
        <v>742</v>
      </c>
      <c r="Q1696" t="s">
        <v>620</v>
      </c>
      <c r="R1696">
        <v>22</v>
      </c>
      <c r="S1696">
        <v>1</v>
      </c>
      <c r="T1696" t="str">
        <f t="shared" si="193"/>
        <v>e</v>
      </c>
      <c r="U1696" t="s">
        <v>257</v>
      </c>
      <c r="V1696" t="s">
        <v>201</v>
      </c>
      <c r="W1696" t="s">
        <v>409</v>
      </c>
      <c r="X1696" t="s">
        <v>705</v>
      </c>
      <c r="AF1696" t="s">
        <v>623</v>
      </c>
      <c r="AJ1696">
        <v>1</v>
      </c>
      <c r="AM1696" t="str">
        <f t="shared" si="196"/>
        <v>Zone_Entry_Exit</v>
      </c>
      <c r="AN1696" t="str">
        <f t="shared" si="197"/>
        <v>Zone_Exit</v>
      </c>
      <c r="AP1696" t="str">
        <f t="shared" si="198"/>
        <v>Offensive</v>
      </c>
      <c r="BB1696" s="23"/>
      <c r="BD1696" s="21"/>
      <c r="BE1696" s="21"/>
      <c r="BF1696" s="21"/>
      <c r="BG1696" s="21"/>
      <c r="BH1696" s="21"/>
      <c r="BI1696" s="21"/>
    </row>
    <row r="1697" spans="1:61" x14ac:dyDescent="0.2">
      <c r="A1697">
        <v>877</v>
      </c>
      <c r="B1697">
        <v>146</v>
      </c>
      <c r="C1697">
        <f t="shared" si="194"/>
        <v>9146</v>
      </c>
      <c r="D1697">
        <f t="shared" si="199"/>
        <v>9146</v>
      </c>
      <c r="H1697">
        <f t="shared" si="195"/>
        <v>2</v>
      </c>
      <c r="R1697">
        <v>75</v>
      </c>
      <c r="S1697">
        <v>1</v>
      </c>
      <c r="T1697" t="str">
        <f t="shared" si="193"/>
        <v>e</v>
      </c>
      <c r="AM1697" t="str">
        <f t="shared" si="196"/>
        <v>Zone_Entry_Exit</v>
      </c>
      <c r="AN1697" t="str">
        <f t="shared" si="197"/>
        <v>Zone_Exit</v>
      </c>
      <c r="AP1697" t="str">
        <f t="shared" si="198"/>
        <v>Offensive</v>
      </c>
      <c r="BB1697" s="23"/>
      <c r="BD1697" s="21"/>
      <c r="BE1697" s="21"/>
      <c r="BF1697" s="21"/>
      <c r="BG1697" s="21"/>
      <c r="BH1697" s="21"/>
      <c r="BI1697" s="21"/>
    </row>
    <row r="1698" spans="1:61" x14ac:dyDescent="0.2">
      <c r="A1698">
        <v>877</v>
      </c>
      <c r="B1698">
        <v>146</v>
      </c>
      <c r="C1698">
        <f t="shared" si="194"/>
        <v>9146</v>
      </c>
      <c r="D1698">
        <f t="shared" si="199"/>
        <v>9146</v>
      </c>
      <c r="H1698">
        <f t="shared" si="195"/>
        <v>2</v>
      </c>
      <c r="R1698">
        <v>91</v>
      </c>
      <c r="T1698" t="str">
        <f t="shared" si="193"/>
        <v>o</v>
      </c>
      <c r="AJ1698">
        <v>1</v>
      </c>
      <c r="AM1698" t="str">
        <f t="shared" si="196"/>
        <v>Zone_Entry_Exit</v>
      </c>
      <c r="AN1698" t="str">
        <f t="shared" si="197"/>
        <v>Zone_Exit</v>
      </c>
      <c r="AP1698" t="str">
        <f t="shared" si="198"/>
        <v>Defensive</v>
      </c>
      <c r="BB1698" s="23"/>
      <c r="BD1698" s="21"/>
      <c r="BE1698" s="21"/>
      <c r="BF1698" s="21"/>
      <c r="BG1698" s="21"/>
      <c r="BH1698" s="21"/>
      <c r="BI1698" s="21"/>
    </row>
    <row r="1699" spans="1:61" x14ac:dyDescent="0.2">
      <c r="A1699">
        <v>878</v>
      </c>
      <c r="B1699">
        <v>146</v>
      </c>
      <c r="C1699">
        <f t="shared" si="194"/>
        <v>9146</v>
      </c>
      <c r="D1699">
        <f t="shared" si="199"/>
        <v>9146</v>
      </c>
      <c r="H1699">
        <f t="shared" si="195"/>
        <v>2</v>
      </c>
      <c r="I1699" s="5" t="s">
        <v>888</v>
      </c>
      <c r="J1699" s="5" t="s">
        <v>742</v>
      </c>
      <c r="Q1699" t="s">
        <v>620</v>
      </c>
      <c r="R1699">
        <v>22</v>
      </c>
      <c r="S1699">
        <v>1</v>
      </c>
      <c r="T1699" t="str">
        <f t="shared" si="193"/>
        <v>e</v>
      </c>
      <c r="AF1699" t="s">
        <v>623</v>
      </c>
      <c r="AJ1699">
        <v>1</v>
      </c>
      <c r="AM1699" t="str">
        <f t="shared" si="196"/>
        <v/>
      </c>
      <c r="AN1699" t="str">
        <f t="shared" si="197"/>
        <v/>
      </c>
      <c r="AP1699" t="str">
        <f t="shared" si="198"/>
        <v>Offensive</v>
      </c>
      <c r="BB1699" s="23"/>
      <c r="BD1699" s="21"/>
      <c r="BE1699" s="21"/>
      <c r="BF1699" s="21"/>
      <c r="BG1699" s="21"/>
      <c r="BH1699" s="21"/>
      <c r="BI1699" s="21"/>
    </row>
    <row r="1700" spans="1:61" x14ac:dyDescent="0.2">
      <c r="A1700">
        <v>878</v>
      </c>
      <c r="B1700">
        <v>146</v>
      </c>
      <c r="C1700">
        <f t="shared" si="194"/>
        <v>9146</v>
      </c>
      <c r="D1700">
        <f t="shared" si="199"/>
        <v>9146</v>
      </c>
      <c r="H1700">
        <f t="shared" si="195"/>
        <v>2</v>
      </c>
      <c r="R1700">
        <v>75</v>
      </c>
      <c r="S1700">
        <v>1</v>
      </c>
      <c r="T1700" t="str">
        <f t="shared" si="193"/>
        <v>e</v>
      </c>
      <c r="AM1700" t="str">
        <f t="shared" si="196"/>
        <v/>
      </c>
      <c r="AN1700" t="str">
        <f t="shared" si="197"/>
        <v/>
      </c>
      <c r="AP1700" t="str">
        <f t="shared" si="198"/>
        <v>Offensive</v>
      </c>
      <c r="BB1700" s="23"/>
      <c r="BD1700" s="21"/>
      <c r="BE1700" s="21"/>
      <c r="BF1700" s="21"/>
      <c r="BG1700" s="21"/>
      <c r="BH1700" s="21"/>
      <c r="BI1700" s="21"/>
    </row>
    <row r="1701" spans="1:61" x14ac:dyDescent="0.2">
      <c r="A1701">
        <v>878</v>
      </c>
      <c r="B1701">
        <v>146</v>
      </c>
      <c r="C1701">
        <f t="shared" si="194"/>
        <v>9146</v>
      </c>
      <c r="D1701">
        <f t="shared" si="199"/>
        <v>9146</v>
      </c>
      <c r="H1701">
        <f t="shared" si="195"/>
        <v>2</v>
      </c>
      <c r="R1701">
        <v>91</v>
      </c>
      <c r="T1701" t="str">
        <f t="shared" si="193"/>
        <v>o</v>
      </c>
      <c r="AJ1701">
        <v>1</v>
      </c>
      <c r="AM1701" t="str">
        <f t="shared" si="196"/>
        <v/>
      </c>
      <c r="AN1701" t="str">
        <f t="shared" si="197"/>
        <v/>
      </c>
      <c r="AP1701" t="str">
        <f t="shared" si="198"/>
        <v>Defensive</v>
      </c>
      <c r="BB1701" s="23"/>
      <c r="BD1701" s="21"/>
      <c r="BE1701" s="21"/>
      <c r="BF1701" s="21"/>
      <c r="BG1701" s="21"/>
      <c r="BH1701" s="21"/>
      <c r="BI1701" s="21"/>
    </row>
    <row r="1702" spans="1:61" x14ac:dyDescent="0.2">
      <c r="A1702">
        <v>879</v>
      </c>
      <c r="B1702">
        <v>147</v>
      </c>
      <c r="C1702">
        <f t="shared" si="194"/>
        <v>9147</v>
      </c>
      <c r="D1702">
        <f t="shared" si="199"/>
        <v>9147</v>
      </c>
      <c r="H1702">
        <f t="shared" si="195"/>
        <v>2</v>
      </c>
      <c r="I1702" s="5" t="s">
        <v>888</v>
      </c>
      <c r="J1702" s="5" t="s">
        <v>735</v>
      </c>
      <c r="Q1702" t="s">
        <v>619</v>
      </c>
      <c r="R1702">
        <v>91</v>
      </c>
      <c r="S1702">
        <v>1</v>
      </c>
      <c r="T1702" t="str">
        <f t="shared" si="193"/>
        <v>e</v>
      </c>
      <c r="U1702" t="s">
        <v>15</v>
      </c>
      <c r="V1702" t="s">
        <v>697</v>
      </c>
      <c r="X1702" t="s">
        <v>705</v>
      </c>
      <c r="Y1702" t="s">
        <v>712</v>
      </c>
      <c r="AA1702" t="s">
        <v>705</v>
      </c>
      <c r="AF1702" t="s">
        <v>635</v>
      </c>
      <c r="AM1702" t="str">
        <f t="shared" si="196"/>
        <v>Possession</v>
      </c>
      <c r="AN1702" t="str">
        <f t="shared" si="197"/>
        <v>PuckRetrieval</v>
      </c>
      <c r="AP1702" t="str">
        <f t="shared" si="198"/>
        <v>Offensive</v>
      </c>
      <c r="BB1702" s="23"/>
      <c r="BD1702" s="21"/>
      <c r="BE1702" s="21"/>
      <c r="BF1702" s="21"/>
      <c r="BG1702" s="21"/>
      <c r="BH1702" s="21"/>
      <c r="BI1702" s="21"/>
    </row>
    <row r="1703" spans="1:61" x14ac:dyDescent="0.2">
      <c r="A1703">
        <v>880</v>
      </c>
      <c r="B1703">
        <v>147</v>
      </c>
      <c r="C1703">
        <f t="shared" si="194"/>
        <v>9147</v>
      </c>
      <c r="D1703">
        <f t="shared" si="199"/>
        <v>9147</v>
      </c>
      <c r="H1703">
        <f t="shared" si="195"/>
        <v>2</v>
      </c>
      <c r="I1703" s="5" t="s">
        <v>888</v>
      </c>
      <c r="J1703" s="5" t="s">
        <v>735</v>
      </c>
      <c r="Q1703" t="s">
        <v>619</v>
      </c>
      <c r="R1703">
        <v>91</v>
      </c>
      <c r="S1703">
        <v>1</v>
      </c>
      <c r="T1703" t="str">
        <f t="shared" si="193"/>
        <v>e</v>
      </c>
      <c r="U1703" t="s">
        <v>13</v>
      </c>
      <c r="V1703" t="s">
        <v>204</v>
      </c>
      <c r="W1703" t="s">
        <v>109</v>
      </c>
      <c r="AF1703" t="s">
        <v>635</v>
      </c>
      <c r="AM1703" t="str">
        <f t="shared" si="196"/>
        <v>Stoppage</v>
      </c>
      <c r="AN1703" t="str">
        <f t="shared" si="197"/>
        <v>Stoppage_Play</v>
      </c>
      <c r="AP1703" t="str">
        <f t="shared" si="198"/>
        <v/>
      </c>
      <c r="BB1703" s="23"/>
      <c r="BD1703" s="21"/>
      <c r="BE1703" s="21"/>
      <c r="BF1703" s="21"/>
      <c r="BG1703" s="21"/>
      <c r="BH1703" s="21"/>
      <c r="BI1703" s="21"/>
    </row>
    <row r="1704" spans="1:61" x14ac:dyDescent="0.2">
      <c r="A1704">
        <v>881</v>
      </c>
      <c r="B1704">
        <v>147</v>
      </c>
      <c r="C1704">
        <f t="shared" si="194"/>
        <v>9147</v>
      </c>
      <c r="D1704">
        <f t="shared" si="199"/>
        <v>9147</v>
      </c>
      <c r="H1704">
        <f t="shared" si="195"/>
        <v>2</v>
      </c>
      <c r="I1704" s="5" t="s">
        <v>888</v>
      </c>
      <c r="J1704" s="5" t="s">
        <v>735</v>
      </c>
      <c r="Q1704" t="s">
        <v>619</v>
      </c>
      <c r="R1704">
        <v>91</v>
      </c>
      <c r="S1704">
        <v>1</v>
      </c>
      <c r="T1704" t="str">
        <f t="shared" si="193"/>
        <v>e</v>
      </c>
      <c r="U1704" t="s">
        <v>262</v>
      </c>
      <c r="AF1704" t="s">
        <v>635</v>
      </c>
      <c r="AM1704" t="str">
        <f t="shared" si="196"/>
        <v>DeadIce</v>
      </c>
      <c r="AN1704" t="str">
        <f t="shared" si="197"/>
        <v/>
      </c>
      <c r="AP1704" t="str">
        <f t="shared" si="198"/>
        <v/>
      </c>
      <c r="BB1704" s="23"/>
      <c r="BD1704" s="21"/>
      <c r="BE1704" s="21"/>
      <c r="BF1704" s="21"/>
      <c r="BG1704" s="21"/>
      <c r="BH1704" s="21"/>
      <c r="BI1704" s="21"/>
    </row>
    <row r="1705" spans="1:61" x14ac:dyDescent="0.2">
      <c r="A1705">
        <v>882</v>
      </c>
      <c r="B1705" t="s">
        <v>887</v>
      </c>
      <c r="C1705" t="str">
        <f t="shared" si="194"/>
        <v/>
      </c>
      <c r="D1705" t="str">
        <f t="shared" si="199"/>
        <v/>
      </c>
      <c r="H1705">
        <f t="shared" si="195"/>
        <v>2</v>
      </c>
      <c r="I1705" s="5" t="s">
        <v>895</v>
      </c>
      <c r="J1705" s="5" t="s">
        <v>639</v>
      </c>
      <c r="Q1705" t="s">
        <v>619</v>
      </c>
      <c r="R1705">
        <v>91</v>
      </c>
      <c r="S1705">
        <v>1</v>
      </c>
      <c r="T1705" t="str">
        <f t="shared" si="193"/>
        <v>e</v>
      </c>
      <c r="U1705" t="s">
        <v>6</v>
      </c>
      <c r="V1705" t="s">
        <v>255</v>
      </c>
      <c r="AF1705" t="s">
        <v>635</v>
      </c>
      <c r="AM1705" t="str">
        <f t="shared" si="196"/>
        <v>Faceoff</v>
      </c>
      <c r="AN1705" t="str">
        <f t="shared" si="197"/>
        <v>Faceoff_AfterStoppage</v>
      </c>
      <c r="AP1705" t="str">
        <f t="shared" si="198"/>
        <v>Offensive</v>
      </c>
      <c r="BB1705" s="23"/>
      <c r="BD1705" s="21"/>
      <c r="BE1705" s="21"/>
      <c r="BF1705" s="21"/>
      <c r="BG1705" s="21"/>
      <c r="BH1705" s="21"/>
      <c r="BI1705" s="21"/>
    </row>
    <row r="1706" spans="1:61" x14ac:dyDescent="0.2">
      <c r="A1706">
        <v>882</v>
      </c>
      <c r="B1706" t="s">
        <v>887</v>
      </c>
      <c r="C1706" t="str">
        <f t="shared" si="194"/>
        <v/>
      </c>
      <c r="D1706" t="str">
        <f t="shared" si="199"/>
        <v/>
      </c>
      <c r="H1706">
        <f t="shared" si="195"/>
        <v>2</v>
      </c>
      <c r="R1706">
        <v>42</v>
      </c>
      <c r="T1706" t="str">
        <f t="shared" si="193"/>
        <v>o</v>
      </c>
      <c r="AM1706" t="str">
        <f t="shared" si="196"/>
        <v>Faceoff</v>
      </c>
      <c r="AN1706" t="str">
        <f t="shared" si="197"/>
        <v>Faceoff_AfterStoppage</v>
      </c>
      <c r="AP1706" t="str">
        <f t="shared" si="198"/>
        <v>Defensive</v>
      </c>
      <c r="BB1706" s="23"/>
      <c r="BD1706" s="21"/>
      <c r="BE1706" s="21"/>
      <c r="BF1706" s="21"/>
      <c r="BG1706" s="21"/>
      <c r="BH1706" s="21"/>
      <c r="BI1706" s="21"/>
    </row>
    <row r="1707" spans="1:61" x14ac:dyDescent="0.2">
      <c r="A1707">
        <v>883</v>
      </c>
      <c r="C1707" t="str">
        <f t="shared" si="194"/>
        <v/>
      </c>
      <c r="D1707">
        <f t="shared" si="199"/>
        <v>0</v>
      </c>
      <c r="H1707">
        <f t="shared" si="195"/>
        <v>2</v>
      </c>
      <c r="I1707" s="5" t="s">
        <v>895</v>
      </c>
      <c r="J1707" s="5" t="s">
        <v>753</v>
      </c>
      <c r="Q1707" t="s">
        <v>619</v>
      </c>
      <c r="R1707">
        <v>4</v>
      </c>
      <c r="S1707">
        <v>1</v>
      </c>
      <c r="T1707" t="str">
        <f t="shared" si="193"/>
        <v>e</v>
      </c>
      <c r="U1707" t="s">
        <v>8</v>
      </c>
      <c r="V1707" t="s">
        <v>189</v>
      </c>
      <c r="W1707" t="s">
        <v>69</v>
      </c>
      <c r="X1707" t="s">
        <v>706</v>
      </c>
      <c r="Y1707" t="s">
        <v>814</v>
      </c>
      <c r="AA1707" t="s">
        <v>706</v>
      </c>
      <c r="AF1707" t="s">
        <v>635</v>
      </c>
      <c r="AM1707" t="str">
        <f t="shared" si="196"/>
        <v>Pass</v>
      </c>
      <c r="AN1707" t="str">
        <f t="shared" si="197"/>
        <v>Pass_Completed</v>
      </c>
      <c r="AP1707" t="str">
        <f t="shared" si="198"/>
        <v>Offensive</v>
      </c>
      <c r="BB1707" s="23"/>
      <c r="BD1707" s="21"/>
      <c r="BE1707" s="21"/>
      <c r="BF1707" s="21"/>
      <c r="BG1707" s="21"/>
      <c r="BH1707" s="21"/>
      <c r="BI1707" s="21"/>
    </row>
    <row r="1708" spans="1:61" x14ac:dyDescent="0.2">
      <c r="A1708">
        <v>883</v>
      </c>
      <c r="C1708" t="str">
        <f t="shared" si="194"/>
        <v/>
      </c>
      <c r="D1708">
        <f t="shared" si="199"/>
        <v>0</v>
      </c>
      <c r="H1708">
        <f t="shared" si="195"/>
        <v>2</v>
      </c>
      <c r="R1708">
        <v>80</v>
      </c>
      <c r="S1708">
        <v>1</v>
      </c>
      <c r="T1708" t="str">
        <f t="shared" si="193"/>
        <v>e</v>
      </c>
      <c r="AM1708" t="str">
        <f t="shared" si="196"/>
        <v>Pass</v>
      </c>
      <c r="AN1708" t="str">
        <f t="shared" si="197"/>
        <v>Pass_Completed</v>
      </c>
      <c r="AP1708" t="str">
        <f t="shared" si="198"/>
        <v>Offensive</v>
      </c>
      <c r="BB1708" s="23"/>
      <c r="BD1708" s="21"/>
      <c r="BE1708" s="21"/>
      <c r="BF1708" s="21"/>
      <c r="BG1708" s="21"/>
      <c r="BH1708" s="21"/>
      <c r="BI1708" s="21"/>
    </row>
    <row r="1709" spans="1:61" x14ac:dyDescent="0.2">
      <c r="A1709">
        <v>884</v>
      </c>
      <c r="C1709" t="str">
        <f t="shared" si="194"/>
        <v/>
      </c>
      <c r="D1709">
        <f t="shared" si="199"/>
        <v>0</v>
      </c>
      <c r="H1709">
        <f t="shared" si="195"/>
        <v>2</v>
      </c>
      <c r="I1709" s="5" t="s">
        <v>895</v>
      </c>
      <c r="J1709" s="5" t="s">
        <v>672</v>
      </c>
      <c r="K1709" s="5" t="s">
        <v>895</v>
      </c>
      <c r="L1709" s="7" t="s">
        <v>810</v>
      </c>
      <c r="Q1709" t="s">
        <v>619</v>
      </c>
      <c r="R1709">
        <v>80</v>
      </c>
      <c r="S1709">
        <v>1</v>
      </c>
      <c r="T1709" t="str">
        <f t="shared" si="193"/>
        <v>e</v>
      </c>
      <c r="U1709" t="s">
        <v>257</v>
      </c>
      <c r="V1709" t="s">
        <v>191</v>
      </c>
      <c r="W1709" t="s">
        <v>87</v>
      </c>
      <c r="X1709" t="s">
        <v>705</v>
      </c>
      <c r="AF1709" t="s">
        <v>635</v>
      </c>
      <c r="AJ1709">
        <v>1</v>
      </c>
      <c r="AM1709" t="str">
        <f t="shared" si="196"/>
        <v>Zone_Entry_Exit</v>
      </c>
      <c r="AN1709" t="str">
        <f t="shared" si="197"/>
        <v>Zone_Entry</v>
      </c>
      <c r="AP1709" t="str">
        <f t="shared" si="198"/>
        <v>Offensive</v>
      </c>
      <c r="BB1709" s="23"/>
      <c r="BD1709" s="21"/>
      <c r="BE1709" s="21"/>
      <c r="BF1709" s="21"/>
      <c r="BG1709" s="21"/>
      <c r="BH1709" s="21"/>
      <c r="BI1709" s="21"/>
    </row>
    <row r="1710" spans="1:61" x14ac:dyDescent="0.2">
      <c r="A1710">
        <v>884</v>
      </c>
      <c r="C1710" t="str">
        <f t="shared" si="194"/>
        <v/>
      </c>
      <c r="D1710">
        <f t="shared" si="199"/>
        <v>0</v>
      </c>
      <c r="H1710">
        <f t="shared" si="195"/>
        <v>2</v>
      </c>
      <c r="R1710">
        <v>14</v>
      </c>
      <c r="T1710" t="str">
        <f t="shared" si="193"/>
        <v>o</v>
      </c>
      <c r="AJ1710">
        <v>1</v>
      </c>
      <c r="AM1710" t="str">
        <f t="shared" si="196"/>
        <v>Zone_Entry_Exit</v>
      </c>
      <c r="AN1710" t="str">
        <f t="shared" si="197"/>
        <v>Zone_Entry</v>
      </c>
      <c r="AP1710" t="str">
        <f t="shared" si="198"/>
        <v>Defensive</v>
      </c>
      <c r="BB1710" s="23"/>
      <c r="BD1710" s="21"/>
      <c r="BE1710" s="21"/>
      <c r="BF1710" s="21"/>
      <c r="BG1710" s="21"/>
      <c r="BH1710" s="21"/>
      <c r="BI1710" s="21"/>
    </row>
    <row r="1711" spans="1:61" x14ac:dyDescent="0.2">
      <c r="A1711">
        <v>885</v>
      </c>
      <c r="B1711">
        <v>148</v>
      </c>
      <c r="C1711">
        <f t="shared" si="194"/>
        <v>9148</v>
      </c>
      <c r="D1711">
        <f t="shared" si="199"/>
        <v>9148</v>
      </c>
      <c r="H1711">
        <f t="shared" si="195"/>
        <v>2</v>
      </c>
      <c r="I1711" s="5" t="s">
        <v>895</v>
      </c>
      <c r="J1711" s="5" t="s">
        <v>810</v>
      </c>
      <c r="Q1711" t="s">
        <v>619</v>
      </c>
      <c r="R1711">
        <v>80</v>
      </c>
      <c r="S1711">
        <v>1</v>
      </c>
      <c r="T1711" t="str">
        <f t="shared" si="193"/>
        <v>e</v>
      </c>
      <c r="U1711" t="s">
        <v>7</v>
      </c>
      <c r="V1711" t="s">
        <v>198</v>
      </c>
      <c r="W1711" t="s">
        <v>53</v>
      </c>
      <c r="X1711" t="s">
        <v>705</v>
      </c>
      <c r="AF1711" t="s">
        <v>401</v>
      </c>
      <c r="AJ1711">
        <v>1</v>
      </c>
      <c r="AM1711" t="str">
        <f t="shared" si="196"/>
        <v>Shot</v>
      </c>
      <c r="AN1711" t="str">
        <f t="shared" si="197"/>
        <v>Shot_Missed</v>
      </c>
      <c r="AP1711" t="str">
        <f t="shared" si="198"/>
        <v>Offensive</v>
      </c>
      <c r="BB1711" s="23"/>
      <c r="BD1711" s="21"/>
      <c r="BE1711" s="21"/>
      <c r="BF1711" s="21"/>
      <c r="BG1711" s="21"/>
      <c r="BH1711" s="21"/>
      <c r="BI1711" s="21"/>
    </row>
    <row r="1712" spans="1:61" x14ac:dyDescent="0.2">
      <c r="A1712">
        <v>885</v>
      </c>
      <c r="B1712">
        <v>148</v>
      </c>
      <c r="C1712">
        <f t="shared" si="194"/>
        <v>9148</v>
      </c>
      <c r="D1712">
        <f t="shared" si="199"/>
        <v>9148</v>
      </c>
      <c r="H1712">
        <f t="shared" si="195"/>
        <v>2</v>
      </c>
      <c r="R1712">
        <v>14</v>
      </c>
      <c r="T1712" t="str">
        <f t="shared" si="193"/>
        <v>o</v>
      </c>
      <c r="AJ1712">
        <v>1</v>
      </c>
      <c r="AM1712" t="str">
        <f t="shared" si="196"/>
        <v>Shot</v>
      </c>
      <c r="AN1712" t="str">
        <f t="shared" si="197"/>
        <v>Shot_Missed</v>
      </c>
      <c r="AP1712" t="str">
        <f t="shared" si="198"/>
        <v>Defensive</v>
      </c>
      <c r="BB1712" s="23"/>
      <c r="BD1712" s="21"/>
      <c r="BE1712" s="21"/>
      <c r="BF1712" s="21"/>
      <c r="BG1712" s="21"/>
      <c r="BH1712" s="21"/>
      <c r="BI1712" s="21"/>
    </row>
    <row r="1713" spans="1:61" x14ac:dyDescent="0.2">
      <c r="A1713">
        <v>886</v>
      </c>
      <c r="B1713">
        <v>148</v>
      </c>
      <c r="C1713">
        <f t="shared" si="194"/>
        <v>9148</v>
      </c>
      <c r="D1713">
        <f t="shared" si="199"/>
        <v>9148</v>
      </c>
      <c r="H1713">
        <f t="shared" si="195"/>
        <v>2</v>
      </c>
      <c r="I1713" s="5" t="s">
        <v>895</v>
      </c>
      <c r="J1713" s="5" t="s">
        <v>810</v>
      </c>
      <c r="Q1713" t="s">
        <v>619</v>
      </c>
      <c r="R1713">
        <v>80</v>
      </c>
      <c r="S1713">
        <v>1</v>
      </c>
      <c r="T1713" t="str">
        <f t="shared" si="193"/>
        <v>e</v>
      </c>
      <c r="U1713" t="s">
        <v>10</v>
      </c>
      <c r="V1713" t="s">
        <v>190</v>
      </c>
      <c r="W1713" t="s">
        <v>79</v>
      </c>
      <c r="X1713" t="s">
        <v>705</v>
      </c>
      <c r="AF1713" t="s">
        <v>401</v>
      </c>
      <c r="AJ1713">
        <v>1</v>
      </c>
      <c r="AM1713" t="str">
        <f t="shared" si="196"/>
        <v>Turnover</v>
      </c>
      <c r="AN1713" t="str">
        <f t="shared" si="197"/>
        <v>Turnover_Giveaway</v>
      </c>
      <c r="AP1713" t="str">
        <f t="shared" si="198"/>
        <v>Offensive</v>
      </c>
      <c r="BB1713" s="23"/>
      <c r="BD1713" s="21"/>
      <c r="BE1713" s="21"/>
      <c r="BF1713" s="21"/>
      <c r="BG1713" s="21"/>
      <c r="BH1713" s="21"/>
      <c r="BI1713" s="21"/>
    </row>
    <row r="1714" spans="1:61" x14ac:dyDescent="0.2">
      <c r="A1714">
        <v>886</v>
      </c>
      <c r="B1714">
        <v>148</v>
      </c>
      <c r="C1714">
        <f t="shared" si="194"/>
        <v>9148</v>
      </c>
      <c r="D1714">
        <f t="shared" si="199"/>
        <v>9148</v>
      </c>
      <c r="H1714">
        <f t="shared" si="195"/>
        <v>2</v>
      </c>
      <c r="R1714">
        <v>14</v>
      </c>
      <c r="T1714" t="str">
        <f t="shared" si="193"/>
        <v>o</v>
      </c>
      <c r="AJ1714">
        <v>1</v>
      </c>
      <c r="AM1714" t="str">
        <f t="shared" si="196"/>
        <v>Turnover</v>
      </c>
      <c r="AN1714" t="str">
        <f t="shared" si="197"/>
        <v>Turnover_Giveaway</v>
      </c>
      <c r="AP1714" t="str">
        <f t="shared" si="198"/>
        <v>Defensive</v>
      </c>
      <c r="BB1714" s="23"/>
      <c r="BD1714" s="21"/>
      <c r="BE1714" s="21"/>
      <c r="BF1714" s="21"/>
      <c r="BG1714" s="21"/>
      <c r="BH1714" s="21"/>
      <c r="BI1714" s="21"/>
    </row>
    <row r="1715" spans="1:61" x14ac:dyDescent="0.2">
      <c r="A1715">
        <v>887</v>
      </c>
      <c r="B1715" t="s">
        <v>887</v>
      </c>
      <c r="C1715" t="str">
        <f t="shared" si="194"/>
        <v/>
      </c>
      <c r="D1715" t="str">
        <f t="shared" si="199"/>
        <v/>
      </c>
      <c r="H1715">
        <f t="shared" si="195"/>
        <v>2</v>
      </c>
      <c r="I1715" s="5" t="s">
        <v>895</v>
      </c>
      <c r="J1715" s="5" t="s">
        <v>755</v>
      </c>
      <c r="K1715" s="5" t="s">
        <v>895</v>
      </c>
      <c r="L1715" s="7" t="s">
        <v>711</v>
      </c>
      <c r="Q1715" t="s">
        <v>620</v>
      </c>
      <c r="R1715">
        <v>9</v>
      </c>
      <c r="S1715">
        <v>1</v>
      </c>
      <c r="T1715" t="str">
        <f t="shared" si="193"/>
        <v>e</v>
      </c>
      <c r="U1715" t="s">
        <v>15</v>
      </c>
      <c r="V1715" t="s">
        <v>697</v>
      </c>
      <c r="X1715" t="s">
        <v>706</v>
      </c>
      <c r="Y1715" t="s">
        <v>683</v>
      </c>
      <c r="AA1715" t="s">
        <v>706</v>
      </c>
      <c r="AF1715" t="s">
        <v>623</v>
      </c>
      <c r="AM1715" t="str">
        <f t="shared" si="196"/>
        <v>Possession</v>
      </c>
      <c r="AN1715" t="str">
        <f t="shared" si="197"/>
        <v>PuckRetrieval</v>
      </c>
      <c r="AP1715" t="str">
        <f t="shared" si="198"/>
        <v>Offensive</v>
      </c>
      <c r="BB1715" s="23"/>
      <c r="BD1715" s="21"/>
      <c r="BE1715" s="21"/>
      <c r="BF1715" s="21"/>
      <c r="BG1715" s="21"/>
      <c r="BH1715" s="21"/>
      <c r="BI1715" s="21"/>
    </row>
    <row r="1716" spans="1:61" x14ac:dyDescent="0.2">
      <c r="A1716">
        <v>888</v>
      </c>
      <c r="B1716" t="s">
        <v>887</v>
      </c>
      <c r="C1716" t="str">
        <f t="shared" si="194"/>
        <v/>
      </c>
      <c r="D1716" t="str">
        <f t="shared" si="199"/>
        <v/>
      </c>
      <c r="H1716">
        <f t="shared" si="195"/>
        <v>2</v>
      </c>
      <c r="I1716" s="5" t="s">
        <v>895</v>
      </c>
      <c r="J1716" s="5" t="s">
        <v>711</v>
      </c>
      <c r="K1716" s="5" t="s">
        <v>895</v>
      </c>
      <c r="L1716" s="7" t="s">
        <v>790</v>
      </c>
      <c r="Q1716" t="s">
        <v>620</v>
      </c>
      <c r="R1716">
        <v>9</v>
      </c>
      <c r="S1716">
        <v>1</v>
      </c>
      <c r="T1716" t="str">
        <f t="shared" si="193"/>
        <v>e</v>
      </c>
      <c r="U1716" t="s">
        <v>15</v>
      </c>
      <c r="Y1716" t="s">
        <v>767</v>
      </c>
      <c r="Z1716" t="s">
        <v>679</v>
      </c>
      <c r="AA1716" t="s">
        <v>706</v>
      </c>
      <c r="AF1716" t="s">
        <v>623</v>
      </c>
      <c r="AJ1716">
        <v>1</v>
      </c>
      <c r="AM1716" t="str">
        <f t="shared" si="196"/>
        <v>Possession</v>
      </c>
      <c r="AN1716" t="str">
        <f t="shared" si="197"/>
        <v/>
      </c>
      <c r="AP1716" t="str">
        <f t="shared" si="198"/>
        <v>Offensive</v>
      </c>
      <c r="BB1716" s="23"/>
      <c r="BD1716" s="21"/>
      <c r="BE1716" s="21"/>
      <c r="BF1716" s="21"/>
      <c r="BG1716" s="21"/>
      <c r="BH1716" s="21"/>
      <c r="BI1716" s="21"/>
    </row>
    <row r="1717" spans="1:61" x14ac:dyDescent="0.2">
      <c r="A1717">
        <v>888</v>
      </c>
      <c r="B1717" t="s">
        <v>887</v>
      </c>
      <c r="C1717" t="str">
        <f t="shared" si="194"/>
        <v/>
      </c>
      <c r="D1717" t="str">
        <f t="shared" si="199"/>
        <v/>
      </c>
      <c r="H1717">
        <f t="shared" si="195"/>
        <v>2</v>
      </c>
      <c r="R1717">
        <v>91</v>
      </c>
      <c r="T1717" t="str">
        <f t="shared" si="193"/>
        <v>o</v>
      </c>
      <c r="Y1717" t="s">
        <v>764</v>
      </c>
      <c r="AA1717" t="s">
        <v>705</v>
      </c>
      <c r="AJ1717">
        <v>1</v>
      </c>
      <c r="AM1717" t="str">
        <f t="shared" si="196"/>
        <v>Possession</v>
      </c>
      <c r="AN1717" t="str">
        <f t="shared" si="197"/>
        <v/>
      </c>
      <c r="AP1717" t="str">
        <f t="shared" si="198"/>
        <v>Defensive</v>
      </c>
      <c r="BB1717" s="23"/>
      <c r="BD1717" s="21"/>
      <c r="BE1717" s="21"/>
      <c r="BF1717" s="21"/>
      <c r="BG1717" s="21"/>
      <c r="BH1717" s="21"/>
      <c r="BI1717" s="21"/>
    </row>
    <row r="1718" spans="1:61" x14ac:dyDescent="0.2">
      <c r="A1718">
        <v>889</v>
      </c>
      <c r="B1718" t="s">
        <v>887</v>
      </c>
      <c r="C1718" t="str">
        <f t="shared" si="194"/>
        <v/>
      </c>
      <c r="D1718" t="str">
        <f t="shared" si="199"/>
        <v/>
      </c>
      <c r="H1718">
        <f t="shared" si="195"/>
        <v>2</v>
      </c>
      <c r="I1718" s="5" t="s">
        <v>895</v>
      </c>
      <c r="J1718" s="5" t="s">
        <v>790</v>
      </c>
      <c r="K1718" s="5" t="s">
        <v>895</v>
      </c>
      <c r="L1718" s="7" t="s">
        <v>776</v>
      </c>
      <c r="Q1718" t="s">
        <v>620</v>
      </c>
      <c r="R1718">
        <v>9</v>
      </c>
      <c r="S1718">
        <v>1</v>
      </c>
      <c r="T1718" t="str">
        <f t="shared" si="193"/>
        <v>e</v>
      </c>
      <c r="U1718" t="s">
        <v>257</v>
      </c>
      <c r="V1718" t="s">
        <v>191</v>
      </c>
      <c r="W1718" t="s">
        <v>87</v>
      </c>
      <c r="X1718" t="s">
        <v>706</v>
      </c>
      <c r="Y1718" t="s">
        <v>679</v>
      </c>
      <c r="Z1718" t="s">
        <v>767</v>
      </c>
      <c r="AA1718" t="s">
        <v>706</v>
      </c>
      <c r="AF1718" t="s">
        <v>623</v>
      </c>
      <c r="AJ1718">
        <v>1</v>
      </c>
      <c r="AM1718" t="str">
        <f t="shared" si="196"/>
        <v>Zone_Entry_Exit</v>
      </c>
      <c r="AN1718" t="str">
        <f t="shared" si="197"/>
        <v>Zone_Entry</v>
      </c>
      <c r="AP1718" t="str">
        <f t="shared" si="198"/>
        <v>Offensive</v>
      </c>
      <c r="BB1718" s="23"/>
      <c r="BD1718" s="21"/>
      <c r="BE1718" s="21"/>
      <c r="BF1718" s="21"/>
      <c r="BG1718" s="21"/>
      <c r="BH1718" s="21"/>
      <c r="BI1718" s="21"/>
    </row>
    <row r="1719" spans="1:61" x14ac:dyDescent="0.2">
      <c r="A1719">
        <v>889</v>
      </c>
      <c r="B1719" t="s">
        <v>887</v>
      </c>
      <c r="C1719" t="str">
        <f t="shared" si="194"/>
        <v/>
      </c>
      <c r="D1719" t="str">
        <f t="shared" si="199"/>
        <v/>
      </c>
      <c r="H1719">
        <f t="shared" si="195"/>
        <v>2</v>
      </c>
      <c r="R1719">
        <v>91</v>
      </c>
      <c r="T1719" t="str">
        <f t="shared" si="193"/>
        <v>o</v>
      </c>
      <c r="Y1719" t="s">
        <v>764</v>
      </c>
      <c r="AA1719" t="s">
        <v>705</v>
      </c>
      <c r="AJ1719">
        <v>1</v>
      </c>
      <c r="AM1719" t="str">
        <f t="shared" si="196"/>
        <v>Zone_Entry_Exit</v>
      </c>
      <c r="AN1719" t="str">
        <f t="shared" si="197"/>
        <v>Zone_Entry</v>
      </c>
      <c r="AP1719" t="str">
        <f t="shared" si="198"/>
        <v>Defensive</v>
      </c>
      <c r="BB1719" s="23"/>
      <c r="BD1719" s="21"/>
      <c r="BE1719" s="21"/>
      <c r="BF1719" s="21"/>
      <c r="BG1719" s="21"/>
      <c r="BH1719" s="21"/>
      <c r="BI1719" s="21"/>
    </row>
    <row r="1720" spans="1:61" x14ac:dyDescent="0.2">
      <c r="A1720">
        <v>889</v>
      </c>
      <c r="B1720" t="s">
        <v>887</v>
      </c>
      <c r="C1720" t="str">
        <f t="shared" si="194"/>
        <v/>
      </c>
      <c r="D1720" t="str">
        <f t="shared" si="199"/>
        <v/>
      </c>
      <c r="H1720">
        <f t="shared" si="195"/>
        <v>2</v>
      </c>
      <c r="R1720">
        <v>89</v>
      </c>
      <c r="T1720" t="str">
        <f t="shared" si="193"/>
        <v>o</v>
      </c>
      <c r="AJ1720">
        <v>1</v>
      </c>
      <c r="AM1720" t="str">
        <f t="shared" si="196"/>
        <v>Zone_Entry_Exit</v>
      </c>
      <c r="AN1720" t="str">
        <f t="shared" si="197"/>
        <v>Zone_Entry</v>
      </c>
      <c r="AP1720" t="str">
        <f t="shared" si="198"/>
        <v>Defensive</v>
      </c>
      <c r="BB1720" s="23"/>
      <c r="BD1720" s="21"/>
      <c r="BE1720" s="21"/>
      <c r="BF1720" s="21"/>
      <c r="BG1720" s="21"/>
      <c r="BH1720" s="21"/>
      <c r="BI1720" s="21"/>
    </row>
    <row r="1721" spans="1:61" x14ac:dyDescent="0.2">
      <c r="A1721">
        <v>890</v>
      </c>
      <c r="B1721" t="s">
        <v>887</v>
      </c>
      <c r="C1721" t="str">
        <f t="shared" si="194"/>
        <v/>
      </c>
      <c r="D1721" t="str">
        <f t="shared" si="199"/>
        <v/>
      </c>
      <c r="H1721">
        <f t="shared" si="195"/>
        <v>2</v>
      </c>
      <c r="I1721" s="5" t="s">
        <v>895</v>
      </c>
      <c r="J1721" s="5" t="s">
        <v>776</v>
      </c>
      <c r="K1721" s="5" t="s">
        <v>895</v>
      </c>
      <c r="L1721" s="7" t="s">
        <v>778</v>
      </c>
      <c r="Q1721" t="s">
        <v>620</v>
      </c>
      <c r="R1721">
        <v>9</v>
      </c>
      <c r="S1721">
        <v>1</v>
      </c>
      <c r="T1721" t="str">
        <f t="shared" si="193"/>
        <v>e</v>
      </c>
      <c r="U1721" t="s">
        <v>15</v>
      </c>
      <c r="X1721" t="s">
        <v>706</v>
      </c>
      <c r="Y1721" t="s">
        <v>767</v>
      </c>
      <c r="AA1721" t="s">
        <v>706</v>
      </c>
      <c r="AF1721" t="s">
        <v>635</v>
      </c>
      <c r="AJ1721">
        <v>1</v>
      </c>
      <c r="AM1721" t="str">
        <f t="shared" si="196"/>
        <v>Possession</v>
      </c>
      <c r="AN1721" t="str">
        <f t="shared" si="197"/>
        <v/>
      </c>
      <c r="AP1721" t="str">
        <f t="shared" si="198"/>
        <v>Offensive</v>
      </c>
      <c r="BB1721" s="23"/>
      <c r="BD1721" s="21"/>
      <c r="BE1721" s="21"/>
      <c r="BF1721" s="21"/>
      <c r="BG1721" s="21"/>
      <c r="BH1721" s="21"/>
      <c r="BI1721" s="21"/>
    </row>
    <row r="1722" spans="1:61" x14ac:dyDescent="0.2">
      <c r="A1722">
        <v>890</v>
      </c>
      <c r="B1722" t="s">
        <v>887</v>
      </c>
      <c r="C1722" t="str">
        <f t="shared" si="194"/>
        <v/>
      </c>
      <c r="D1722" t="str">
        <f t="shared" si="199"/>
        <v/>
      </c>
      <c r="H1722">
        <f t="shared" si="195"/>
        <v>2</v>
      </c>
      <c r="R1722">
        <v>4</v>
      </c>
      <c r="T1722" t="str">
        <f t="shared" si="193"/>
        <v>o</v>
      </c>
      <c r="Y1722" t="s">
        <v>714</v>
      </c>
      <c r="AA1722" t="s">
        <v>705</v>
      </c>
      <c r="AJ1722">
        <v>1</v>
      </c>
      <c r="AM1722" t="str">
        <f t="shared" si="196"/>
        <v>Possession</v>
      </c>
      <c r="AN1722" t="str">
        <f t="shared" si="197"/>
        <v/>
      </c>
      <c r="AP1722" t="str">
        <f t="shared" si="198"/>
        <v>Defensive</v>
      </c>
      <c r="BB1722" s="23"/>
      <c r="BD1722" s="21"/>
      <c r="BE1722" s="21"/>
      <c r="BF1722" s="21"/>
      <c r="BG1722" s="21"/>
      <c r="BH1722" s="21"/>
      <c r="BI1722" s="21"/>
    </row>
    <row r="1723" spans="1:61" x14ac:dyDescent="0.2">
      <c r="A1723">
        <v>891</v>
      </c>
      <c r="B1723" t="s">
        <v>887</v>
      </c>
      <c r="C1723" t="str">
        <f t="shared" si="194"/>
        <v/>
      </c>
      <c r="D1723" t="str">
        <f t="shared" si="199"/>
        <v/>
      </c>
      <c r="H1723">
        <f t="shared" si="195"/>
        <v>2</v>
      </c>
      <c r="I1723" s="5" t="s">
        <v>895</v>
      </c>
      <c r="J1723" s="5" t="s">
        <v>778</v>
      </c>
      <c r="K1723" s="5" t="s">
        <v>895</v>
      </c>
      <c r="L1723" s="7" t="s">
        <v>779</v>
      </c>
      <c r="Q1723" t="s">
        <v>620</v>
      </c>
      <c r="R1723">
        <v>9</v>
      </c>
      <c r="S1723">
        <v>1</v>
      </c>
      <c r="T1723" t="str">
        <f t="shared" si="193"/>
        <v>e</v>
      </c>
      <c r="U1723" t="s">
        <v>257</v>
      </c>
      <c r="V1723" t="s">
        <v>191</v>
      </c>
      <c r="W1723" t="s">
        <v>87</v>
      </c>
      <c r="X1723" t="s">
        <v>706</v>
      </c>
      <c r="Y1723" t="s">
        <v>825</v>
      </c>
      <c r="AA1723" t="s">
        <v>706</v>
      </c>
      <c r="AF1723" t="s">
        <v>401</v>
      </c>
      <c r="AJ1723">
        <v>1</v>
      </c>
      <c r="AM1723" t="str">
        <f t="shared" si="196"/>
        <v>Zone_Entry_Exit</v>
      </c>
      <c r="AN1723" t="str">
        <f t="shared" si="197"/>
        <v>Zone_Entry</v>
      </c>
      <c r="AP1723" t="str">
        <f t="shared" si="198"/>
        <v>Offensive</v>
      </c>
      <c r="BB1723" s="23"/>
      <c r="BD1723" s="21"/>
      <c r="BE1723" s="21"/>
      <c r="BF1723" s="21"/>
      <c r="BG1723" s="21"/>
      <c r="BH1723" s="21"/>
      <c r="BI1723" s="21"/>
    </row>
    <row r="1724" spans="1:61" x14ac:dyDescent="0.2">
      <c r="A1724">
        <v>891</v>
      </c>
      <c r="B1724" t="s">
        <v>887</v>
      </c>
      <c r="C1724" t="str">
        <f t="shared" si="194"/>
        <v/>
      </c>
      <c r="D1724" t="str">
        <f t="shared" si="199"/>
        <v/>
      </c>
      <c r="H1724">
        <f t="shared" si="195"/>
        <v>2</v>
      </c>
      <c r="R1724">
        <v>4</v>
      </c>
      <c r="T1724" t="str">
        <f t="shared" si="193"/>
        <v>o</v>
      </c>
      <c r="Y1724" t="s">
        <v>824</v>
      </c>
      <c r="Z1724" t="s">
        <v>715</v>
      </c>
      <c r="AJ1724">
        <v>1</v>
      </c>
      <c r="AM1724" t="str">
        <f t="shared" si="196"/>
        <v>Zone_Entry_Exit</v>
      </c>
      <c r="AN1724" t="str">
        <f t="shared" si="197"/>
        <v>Zone_Entry</v>
      </c>
      <c r="AP1724" t="str">
        <f t="shared" si="198"/>
        <v>Defensive</v>
      </c>
      <c r="BB1724" s="23"/>
      <c r="BD1724" s="21"/>
      <c r="BE1724" s="21"/>
      <c r="BF1724" s="21"/>
      <c r="BG1724" s="21"/>
      <c r="BH1724" s="21"/>
      <c r="BI1724" s="21"/>
    </row>
    <row r="1725" spans="1:61" x14ac:dyDescent="0.2">
      <c r="A1725">
        <v>892</v>
      </c>
      <c r="B1725" t="s">
        <v>887</v>
      </c>
      <c r="C1725" t="str">
        <f t="shared" si="194"/>
        <v/>
      </c>
      <c r="D1725" t="str">
        <f t="shared" si="199"/>
        <v/>
      </c>
      <c r="H1725">
        <f t="shared" si="195"/>
        <v>2</v>
      </c>
      <c r="I1725" s="5" t="s">
        <v>895</v>
      </c>
      <c r="J1725" s="5" t="s">
        <v>779</v>
      </c>
      <c r="Q1725" t="s">
        <v>619</v>
      </c>
      <c r="R1725">
        <v>4</v>
      </c>
      <c r="S1725">
        <v>1</v>
      </c>
      <c r="T1725" t="str">
        <f t="shared" si="193"/>
        <v>e</v>
      </c>
      <c r="U1725" t="s">
        <v>247</v>
      </c>
      <c r="V1725" t="s">
        <v>422</v>
      </c>
      <c r="W1725" t="s">
        <v>467</v>
      </c>
      <c r="X1725" t="s">
        <v>706</v>
      </c>
      <c r="Y1725" t="s">
        <v>714</v>
      </c>
      <c r="AA1725" t="s">
        <v>706</v>
      </c>
      <c r="AF1725" t="s">
        <v>623</v>
      </c>
      <c r="AJ1725">
        <v>1</v>
      </c>
      <c r="AM1725" t="str">
        <f t="shared" si="196"/>
        <v>Play</v>
      </c>
      <c r="AN1725" t="str">
        <f t="shared" si="197"/>
        <v>Play_Defensive</v>
      </c>
      <c r="AP1725" t="str">
        <f t="shared" si="198"/>
        <v>Defensive</v>
      </c>
      <c r="BB1725" s="23"/>
      <c r="BD1725" s="21"/>
      <c r="BE1725" s="21"/>
      <c r="BF1725" s="21"/>
      <c r="BG1725" s="21"/>
      <c r="BH1725" s="21"/>
      <c r="BI1725" s="21"/>
    </row>
    <row r="1726" spans="1:61" x14ac:dyDescent="0.2">
      <c r="A1726">
        <v>892</v>
      </c>
      <c r="B1726" t="s">
        <v>887</v>
      </c>
      <c r="C1726" t="str">
        <f t="shared" si="194"/>
        <v/>
      </c>
      <c r="D1726" t="str">
        <f t="shared" si="199"/>
        <v/>
      </c>
      <c r="H1726">
        <f t="shared" si="195"/>
        <v>2</v>
      </c>
      <c r="R1726">
        <v>9</v>
      </c>
      <c r="T1726" t="str">
        <f t="shared" si="193"/>
        <v>o</v>
      </c>
      <c r="AJ1726">
        <v>1</v>
      </c>
      <c r="AM1726" t="str">
        <f t="shared" si="196"/>
        <v>Play</v>
      </c>
      <c r="AN1726" t="str">
        <f t="shared" si="197"/>
        <v>Play_Defensive</v>
      </c>
      <c r="AP1726" t="str">
        <f t="shared" si="198"/>
        <v>Offensive</v>
      </c>
      <c r="BB1726" s="23"/>
      <c r="BD1726" s="21"/>
      <c r="BE1726" s="21"/>
      <c r="BF1726" s="21"/>
      <c r="BG1726" s="21"/>
      <c r="BH1726" s="21"/>
      <c r="BI1726" s="21"/>
    </row>
    <row r="1727" spans="1:61" x14ac:dyDescent="0.2">
      <c r="A1727">
        <v>893</v>
      </c>
      <c r="B1727" t="s">
        <v>887</v>
      </c>
      <c r="C1727" t="str">
        <f t="shared" si="194"/>
        <v/>
      </c>
      <c r="D1727" t="str">
        <f t="shared" si="199"/>
        <v/>
      </c>
      <c r="H1727">
        <f t="shared" si="195"/>
        <v>2</v>
      </c>
      <c r="I1727" s="5" t="s">
        <v>895</v>
      </c>
      <c r="J1727" s="5" t="s">
        <v>721</v>
      </c>
      <c r="Q1727" t="s">
        <v>620</v>
      </c>
      <c r="R1727">
        <v>14</v>
      </c>
      <c r="S1727">
        <v>1</v>
      </c>
      <c r="T1727" t="str">
        <f t="shared" si="193"/>
        <v>e</v>
      </c>
      <c r="U1727" t="s">
        <v>15</v>
      </c>
      <c r="V1727" t="s">
        <v>698</v>
      </c>
      <c r="X1727" t="s">
        <v>706</v>
      </c>
      <c r="Y1727" t="s">
        <v>739</v>
      </c>
      <c r="AA1727" t="s">
        <v>706</v>
      </c>
      <c r="AF1727" t="s">
        <v>401</v>
      </c>
      <c r="AM1727" t="str">
        <f t="shared" si="196"/>
        <v>Possession</v>
      </c>
      <c r="AN1727" t="str">
        <f t="shared" si="197"/>
        <v>PuckRecovery</v>
      </c>
      <c r="AP1727" t="str">
        <f t="shared" si="198"/>
        <v>Offensive</v>
      </c>
      <c r="BB1727" s="23"/>
      <c r="BD1727" s="21"/>
      <c r="BE1727" s="21"/>
      <c r="BF1727" s="21"/>
      <c r="BG1727" s="21"/>
      <c r="BH1727" s="21"/>
      <c r="BI1727" s="21"/>
    </row>
    <row r="1728" spans="1:61" x14ac:dyDescent="0.2">
      <c r="A1728">
        <v>894</v>
      </c>
      <c r="B1728">
        <v>149</v>
      </c>
      <c r="C1728">
        <f t="shared" si="194"/>
        <v>9149</v>
      </c>
      <c r="D1728">
        <f t="shared" si="199"/>
        <v>9149</v>
      </c>
      <c r="H1728">
        <f t="shared" si="195"/>
        <v>2</v>
      </c>
      <c r="I1728" s="5" t="s">
        <v>895</v>
      </c>
      <c r="J1728" s="5" t="s">
        <v>724</v>
      </c>
      <c r="Q1728" t="s">
        <v>620</v>
      </c>
      <c r="R1728">
        <v>14</v>
      </c>
      <c r="S1728">
        <v>1</v>
      </c>
      <c r="T1728" t="str">
        <f t="shared" si="193"/>
        <v>e</v>
      </c>
      <c r="U1728" t="s">
        <v>7</v>
      </c>
      <c r="V1728" t="s">
        <v>222</v>
      </c>
      <c r="W1728" t="s">
        <v>53</v>
      </c>
      <c r="X1728" t="s">
        <v>706</v>
      </c>
      <c r="AF1728" t="s">
        <v>401</v>
      </c>
      <c r="AM1728" t="str">
        <f t="shared" si="196"/>
        <v>Shot</v>
      </c>
      <c r="AN1728" t="str">
        <f t="shared" si="197"/>
        <v>Shot_OnNetSaved</v>
      </c>
      <c r="AP1728" t="str">
        <f t="shared" si="198"/>
        <v>Offensive</v>
      </c>
      <c r="BB1728" s="23"/>
      <c r="BD1728" s="21"/>
      <c r="BE1728" s="21"/>
      <c r="BF1728" s="21"/>
      <c r="BG1728" s="21"/>
      <c r="BH1728" s="21"/>
      <c r="BI1728" s="21"/>
    </row>
    <row r="1729" spans="1:61" x14ac:dyDescent="0.2">
      <c r="A1729">
        <v>894</v>
      </c>
      <c r="B1729">
        <v>149</v>
      </c>
      <c r="C1729">
        <f t="shared" si="194"/>
        <v>9149</v>
      </c>
      <c r="D1729">
        <f t="shared" si="199"/>
        <v>9149</v>
      </c>
      <c r="H1729">
        <f t="shared" si="195"/>
        <v>2</v>
      </c>
      <c r="R1729">
        <v>9</v>
      </c>
      <c r="S1729">
        <v>1</v>
      </c>
      <c r="T1729" t="str">
        <f t="shared" si="193"/>
        <v>e</v>
      </c>
      <c r="Y1729" t="s">
        <v>770</v>
      </c>
      <c r="AM1729" t="str">
        <f t="shared" si="196"/>
        <v>Shot</v>
      </c>
      <c r="AN1729" t="str">
        <f t="shared" si="197"/>
        <v>Shot_OnNetSaved</v>
      </c>
      <c r="AP1729" t="str">
        <f t="shared" si="198"/>
        <v>Offensive</v>
      </c>
      <c r="BB1729" s="23"/>
      <c r="BD1729" s="21"/>
      <c r="BE1729" s="21"/>
      <c r="BF1729" s="21"/>
      <c r="BG1729" s="21"/>
      <c r="BH1729" s="21"/>
      <c r="BI1729" s="21"/>
    </row>
    <row r="1730" spans="1:61" x14ac:dyDescent="0.2">
      <c r="A1730">
        <v>894</v>
      </c>
      <c r="B1730">
        <v>149</v>
      </c>
      <c r="C1730">
        <f t="shared" si="194"/>
        <v>9149</v>
      </c>
      <c r="D1730">
        <f t="shared" si="199"/>
        <v>9149</v>
      </c>
      <c r="H1730">
        <f t="shared" si="195"/>
        <v>2</v>
      </c>
      <c r="R1730">
        <v>30</v>
      </c>
      <c r="T1730" t="str">
        <f t="shared" si="193"/>
        <v>o</v>
      </c>
      <c r="AM1730" t="str">
        <f t="shared" si="196"/>
        <v>Shot</v>
      </c>
      <c r="AN1730" t="str">
        <f t="shared" si="197"/>
        <v>Shot_OnNetSaved</v>
      </c>
      <c r="AP1730" t="str">
        <f t="shared" si="198"/>
        <v>Defensive</v>
      </c>
      <c r="BB1730" s="23"/>
      <c r="BD1730" s="21"/>
      <c r="BE1730" s="21"/>
      <c r="BF1730" s="21"/>
      <c r="BG1730" s="21"/>
      <c r="BH1730" s="21"/>
      <c r="BI1730" s="21"/>
    </row>
    <row r="1731" spans="1:61" x14ac:dyDescent="0.2">
      <c r="A1731">
        <v>895</v>
      </c>
      <c r="B1731">
        <v>149</v>
      </c>
      <c r="C1731">
        <f t="shared" si="194"/>
        <v>9149</v>
      </c>
      <c r="D1731">
        <f t="shared" si="199"/>
        <v>9149</v>
      </c>
      <c r="H1731">
        <f t="shared" si="195"/>
        <v>2</v>
      </c>
      <c r="I1731" s="5" t="s">
        <v>895</v>
      </c>
      <c r="J1731" s="5" t="s">
        <v>724</v>
      </c>
      <c r="Q1731" t="s">
        <v>619</v>
      </c>
      <c r="R1731">
        <v>30</v>
      </c>
      <c r="S1731">
        <v>1</v>
      </c>
      <c r="T1731" t="str">
        <f t="shared" ref="T1731:T1794" si="200">IF(S1731="x","",IF(S1731=1,"e","o"))</f>
        <v>e</v>
      </c>
      <c r="U1731" t="s">
        <v>17</v>
      </c>
      <c r="V1731" t="s">
        <v>196</v>
      </c>
      <c r="W1731" t="s">
        <v>100</v>
      </c>
      <c r="AF1731" t="s">
        <v>623</v>
      </c>
      <c r="AM1731" t="str">
        <f t="shared" si="196"/>
        <v>Save</v>
      </c>
      <c r="AN1731" t="str">
        <f t="shared" si="197"/>
        <v>Save_Rebound</v>
      </c>
      <c r="AP1731" t="str">
        <f t="shared" si="198"/>
        <v>Defensive</v>
      </c>
      <c r="BB1731" s="23"/>
      <c r="BD1731" s="21"/>
      <c r="BE1731" s="21"/>
      <c r="BF1731" s="21"/>
      <c r="BG1731" s="21"/>
      <c r="BH1731" s="21"/>
      <c r="BI1731" s="21"/>
    </row>
    <row r="1732" spans="1:61" x14ac:dyDescent="0.2">
      <c r="A1732">
        <v>895</v>
      </c>
      <c r="B1732">
        <v>149</v>
      </c>
      <c r="C1732">
        <f t="shared" ref="C1732:C1795" si="201">IF(B1732&lt;&gt;"",9000+B1732,"")</f>
        <v>9149</v>
      </c>
      <c r="D1732">
        <f t="shared" si="199"/>
        <v>9149</v>
      </c>
      <c r="H1732">
        <f t="shared" si="195"/>
        <v>2</v>
      </c>
      <c r="R1732">
        <v>14</v>
      </c>
      <c r="T1732" t="str">
        <f t="shared" si="200"/>
        <v>o</v>
      </c>
      <c r="AM1732" t="str">
        <f t="shared" si="196"/>
        <v>Save</v>
      </c>
      <c r="AN1732" t="str">
        <f t="shared" si="197"/>
        <v>Save_Rebound</v>
      </c>
      <c r="AP1732" t="str">
        <f t="shared" si="198"/>
        <v>Offensive</v>
      </c>
      <c r="BB1732" s="23"/>
      <c r="BD1732" s="21"/>
      <c r="BE1732" s="21"/>
      <c r="BF1732" s="21"/>
      <c r="BG1732" s="21"/>
      <c r="BH1732" s="21"/>
      <c r="BI1732" s="21"/>
    </row>
    <row r="1733" spans="1:61" x14ac:dyDescent="0.2">
      <c r="A1733">
        <v>895</v>
      </c>
      <c r="B1733">
        <v>149</v>
      </c>
      <c r="C1733">
        <f t="shared" si="201"/>
        <v>9149</v>
      </c>
      <c r="D1733">
        <f t="shared" si="199"/>
        <v>9149</v>
      </c>
      <c r="H1733">
        <f t="shared" ref="H1733:H1796" si="202">IF(U1733="Intermission",H1732+1,H1732)</f>
        <v>2</v>
      </c>
      <c r="R1733">
        <v>9</v>
      </c>
      <c r="T1733" t="str">
        <f t="shared" si="200"/>
        <v>o</v>
      </c>
      <c r="Y1733" t="s">
        <v>770</v>
      </c>
      <c r="AM1733" t="str">
        <f t="shared" ref="AM1733:AM1796" si="203">IF(U1733&lt;&gt;"",U1733,IF($A1733=$A1732,AM1732,""))</f>
        <v>Save</v>
      </c>
      <c r="AN1733" t="str">
        <f t="shared" ref="AN1733:AN1796" si="204">IF(V1733&lt;&gt;"",V1733,IF($A1733=$A1732,AN1732,""))</f>
        <v>Save_Rebound</v>
      </c>
      <c r="AP1733" t="str">
        <f t="shared" si="198"/>
        <v>Offensive</v>
      </c>
      <c r="BB1733" s="23"/>
      <c r="BD1733" s="21"/>
      <c r="BE1733" s="21"/>
      <c r="BF1733" s="21"/>
      <c r="BG1733" s="21"/>
      <c r="BH1733" s="21"/>
      <c r="BI1733" s="21"/>
    </row>
    <row r="1734" spans="1:61" x14ac:dyDescent="0.2">
      <c r="A1734">
        <v>896</v>
      </c>
      <c r="B1734">
        <v>149</v>
      </c>
      <c r="C1734">
        <f t="shared" si="201"/>
        <v>9149</v>
      </c>
      <c r="D1734">
        <f t="shared" si="199"/>
        <v>9149</v>
      </c>
      <c r="H1734">
        <f t="shared" si="202"/>
        <v>2</v>
      </c>
      <c r="I1734" s="5" t="s">
        <v>895</v>
      </c>
      <c r="J1734" s="5" t="s">
        <v>724</v>
      </c>
      <c r="Q1734" t="s">
        <v>619</v>
      </c>
      <c r="R1734">
        <v>30</v>
      </c>
      <c r="S1734">
        <v>1</v>
      </c>
      <c r="T1734" t="str">
        <f t="shared" si="200"/>
        <v>e</v>
      </c>
      <c r="U1734" t="s">
        <v>250</v>
      </c>
      <c r="V1734" t="s">
        <v>253</v>
      </c>
      <c r="AF1734" t="s">
        <v>623</v>
      </c>
      <c r="AM1734" t="str">
        <f t="shared" si="203"/>
        <v>Rebound</v>
      </c>
      <c r="AN1734" t="str">
        <f t="shared" si="204"/>
        <v>Rebound_ShotGenerated</v>
      </c>
      <c r="AP1734" t="str">
        <f t="shared" ref="AP1734:AP1797" si="205">IF(AND(T1734="e",OR(AM1734="Save",AN1734="Turnover_Takeaway",AN1734="Play_Defensive")),"Defensive",IF(AND(T1734="o",OR(AM1734="Save",AN1734="Turnover_Takeaway",AN1734="Play_Defensive")),"Offensive",IF(OR(AM1734="Deadice",AM1734="Stoppage",AM1734="Intermission"),"",IF(T1734="e","Offensive",IF(T1734="o","Defensive","")))))</f>
        <v>Offensive</v>
      </c>
      <c r="BB1734" s="23"/>
      <c r="BD1734" s="21"/>
      <c r="BE1734" s="21"/>
      <c r="BF1734" s="21"/>
      <c r="BG1734" s="21"/>
      <c r="BH1734" s="21"/>
      <c r="BI1734" s="21"/>
    </row>
    <row r="1735" spans="1:61" x14ac:dyDescent="0.2">
      <c r="A1735">
        <v>897</v>
      </c>
      <c r="B1735" t="s">
        <v>887</v>
      </c>
      <c r="C1735" t="str">
        <f t="shared" si="201"/>
        <v/>
      </c>
      <c r="D1735" t="str">
        <f t="shared" si="199"/>
        <v/>
      </c>
      <c r="H1735">
        <f t="shared" si="202"/>
        <v>2</v>
      </c>
      <c r="I1735" s="5" t="s">
        <v>895</v>
      </c>
      <c r="J1735" s="5" t="s">
        <v>759</v>
      </c>
      <c r="Q1735" t="s">
        <v>620</v>
      </c>
      <c r="R1735">
        <v>61</v>
      </c>
      <c r="S1735">
        <v>1</v>
      </c>
      <c r="T1735" t="str">
        <f t="shared" si="200"/>
        <v>e</v>
      </c>
      <c r="U1735" t="s">
        <v>15</v>
      </c>
      <c r="V1735" t="s">
        <v>697</v>
      </c>
      <c r="X1735" t="s">
        <v>706</v>
      </c>
      <c r="Y1735" t="s">
        <v>856</v>
      </c>
      <c r="AA1735" t="s">
        <v>706</v>
      </c>
      <c r="AF1735" t="s">
        <v>401</v>
      </c>
      <c r="AJ1735">
        <v>1</v>
      </c>
      <c r="AM1735" t="str">
        <f t="shared" si="203"/>
        <v>Possession</v>
      </c>
      <c r="AN1735" t="str">
        <f t="shared" si="204"/>
        <v>PuckRetrieval</v>
      </c>
      <c r="AP1735" t="str">
        <f t="shared" si="205"/>
        <v>Offensive</v>
      </c>
      <c r="BB1735" s="23"/>
      <c r="BD1735" s="21"/>
      <c r="BE1735" s="21"/>
      <c r="BF1735" s="21"/>
      <c r="BG1735" s="21"/>
      <c r="BH1735" s="21"/>
      <c r="BI1735" s="21"/>
    </row>
    <row r="1736" spans="1:61" x14ac:dyDescent="0.2">
      <c r="A1736">
        <v>897</v>
      </c>
      <c r="B1736" t="s">
        <v>887</v>
      </c>
      <c r="C1736" t="str">
        <f t="shared" si="201"/>
        <v/>
      </c>
      <c r="D1736" t="str">
        <f t="shared" si="199"/>
        <v/>
      </c>
      <c r="H1736">
        <f t="shared" si="202"/>
        <v>2</v>
      </c>
      <c r="R1736">
        <v>91</v>
      </c>
      <c r="T1736" t="str">
        <f t="shared" si="200"/>
        <v>o</v>
      </c>
      <c r="Y1736" t="s">
        <v>854</v>
      </c>
      <c r="AA1736" t="s">
        <v>705</v>
      </c>
      <c r="AJ1736">
        <v>1</v>
      </c>
      <c r="AM1736" t="str">
        <f t="shared" si="203"/>
        <v>Possession</v>
      </c>
      <c r="AN1736" t="str">
        <f t="shared" si="204"/>
        <v>PuckRetrieval</v>
      </c>
      <c r="AP1736" t="str">
        <f t="shared" si="205"/>
        <v>Defensive</v>
      </c>
      <c r="BB1736" s="23"/>
      <c r="BD1736" s="21"/>
      <c r="BE1736" s="21"/>
      <c r="BF1736" s="21"/>
      <c r="BG1736" s="21"/>
      <c r="BH1736" s="21"/>
      <c r="BI1736" s="21"/>
    </row>
    <row r="1737" spans="1:61" x14ac:dyDescent="0.2">
      <c r="A1737">
        <v>898</v>
      </c>
      <c r="B1737" t="s">
        <v>887</v>
      </c>
      <c r="C1737" t="str">
        <f t="shared" si="201"/>
        <v/>
      </c>
      <c r="D1737" t="str">
        <f t="shared" ref="D1737:D1800" si="206">IF(C1737&lt;&gt;"",C1737,B1737)</f>
        <v/>
      </c>
      <c r="H1737">
        <f t="shared" si="202"/>
        <v>2</v>
      </c>
      <c r="I1737" s="5" t="s">
        <v>895</v>
      </c>
      <c r="J1737" s="5" t="s">
        <v>759</v>
      </c>
      <c r="Q1737" t="s">
        <v>620</v>
      </c>
      <c r="R1737">
        <v>61</v>
      </c>
      <c r="S1737">
        <v>1</v>
      </c>
      <c r="T1737" t="str">
        <f t="shared" si="200"/>
        <v>e</v>
      </c>
      <c r="U1737" t="s">
        <v>7</v>
      </c>
      <c r="V1737" t="s">
        <v>208</v>
      </c>
      <c r="W1737" t="s">
        <v>53</v>
      </c>
      <c r="X1737" t="s">
        <v>705</v>
      </c>
      <c r="AF1737" t="s">
        <v>401</v>
      </c>
      <c r="AJ1737">
        <v>1</v>
      </c>
      <c r="AM1737" t="str">
        <f t="shared" si="203"/>
        <v>Shot</v>
      </c>
      <c r="AN1737" t="str">
        <f t="shared" si="204"/>
        <v>Shot_Blocked</v>
      </c>
      <c r="AP1737" t="str">
        <f t="shared" si="205"/>
        <v>Offensive</v>
      </c>
      <c r="BB1737" s="23"/>
      <c r="BD1737" s="21"/>
      <c r="BE1737" s="21"/>
      <c r="BF1737" s="21"/>
      <c r="BG1737" s="21"/>
      <c r="BH1737" s="21"/>
      <c r="BI1737" s="21"/>
    </row>
    <row r="1738" spans="1:61" x14ac:dyDescent="0.2">
      <c r="A1738">
        <v>898</v>
      </c>
      <c r="B1738" t="s">
        <v>887</v>
      </c>
      <c r="C1738" t="str">
        <f t="shared" si="201"/>
        <v/>
      </c>
      <c r="D1738" t="str">
        <f t="shared" si="206"/>
        <v/>
      </c>
      <c r="H1738">
        <f t="shared" si="202"/>
        <v>2</v>
      </c>
      <c r="R1738">
        <v>91</v>
      </c>
      <c r="T1738" t="str">
        <f t="shared" si="200"/>
        <v>o</v>
      </c>
      <c r="Y1738" t="s">
        <v>681</v>
      </c>
      <c r="AA1738" t="s">
        <v>706</v>
      </c>
      <c r="AJ1738">
        <v>1</v>
      </c>
      <c r="AM1738" t="str">
        <f t="shared" si="203"/>
        <v>Shot</v>
      </c>
      <c r="AN1738" t="str">
        <f t="shared" si="204"/>
        <v>Shot_Blocked</v>
      </c>
      <c r="AP1738" t="str">
        <f t="shared" si="205"/>
        <v>Defensive</v>
      </c>
      <c r="BB1738" s="23"/>
      <c r="BD1738" s="21"/>
      <c r="BE1738" s="21"/>
      <c r="BF1738" s="21"/>
      <c r="BG1738" s="21"/>
      <c r="BH1738" s="21"/>
      <c r="BI1738" s="21"/>
    </row>
    <row r="1739" spans="1:61" x14ac:dyDescent="0.2">
      <c r="A1739">
        <v>899</v>
      </c>
      <c r="B1739" t="s">
        <v>887</v>
      </c>
      <c r="C1739" t="str">
        <f t="shared" si="201"/>
        <v/>
      </c>
      <c r="D1739" t="str">
        <f t="shared" si="206"/>
        <v/>
      </c>
      <c r="H1739">
        <f t="shared" si="202"/>
        <v>2</v>
      </c>
      <c r="I1739" s="5" t="s">
        <v>895</v>
      </c>
      <c r="J1739" s="5" t="s">
        <v>727</v>
      </c>
      <c r="K1739" s="5" t="s">
        <v>895</v>
      </c>
      <c r="L1739" s="7" t="s">
        <v>730</v>
      </c>
      <c r="Q1739" t="s">
        <v>620</v>
      </c>
      <c r="R1739">
        <v>9</v>
      </c>
      <c r="S1739">
        <v>1</v>
      </c>
      <c r="T1739" t="str">
        <f t="shared" si="200"/>
        <v>e</v>
      </c>
      <c r="U1739" t="s">
        <v>15</v>
      </c>
      <c r="V1739" t="s">
        <v>697</v>
      </c>
      <c r="X1739" t="s">
        <v>705</v>
      </c>
      <c r="Y1739" t="s">
        <v>739</v>
      </c>
      <c r="AA1739" t="s">
        <v>705</v>
      </c>
      <c r="AF1739" t="s">
        <v>401</v>
      </c>
      <c r="AM1739" t="str">
        <f t="shared" si="203"/>
        <v>Possession</v>
      </c>
      <c r="AN1739" t="str">
        <f t="shared" si="204"/>
        <v>PuckRetrieval</v>
      </c>
      <c r="AP1739" t="str">
        <f t="shared" si="205"/>
        <v>Offensive</v>
      </c>
      <c r="BB1739" s="23"/>
      <c r="BD1739" s="21"/>
      <c r="BE1739" s="21"/>
      <c r="BF1739" s="21"/>
      <c r="BG1739" s="21"/>
      <c r="BH1739" s="21"/>
      <c r="BI1739" s="21"/>
    </row>
    <row r="1740" spans="1:61" x14ac:dyDescent="0.2">
      <c r="A1740">
        <v>900</v>
      </c>
      <c r="B1740" t="s">
        <v>887</v>
      </c>
      <c r="C1740" t="str">
        <f t="shared" si="201"/>
        <v/>
      </c>
      <c r="D1740" t="str">
        <f t="shared" si="206"/>
        <v/>
      </c>
      <c r="H1740">
        <f t="shared" si="202"/>
        <v>2</v>
      </c>
      <c r="I1740" s="5" t="s">
        <v>895</v>
      </c>
      <c r="J1740" s="5" t="s">
        <v>730</v>
      </c>
      <c r="Q1740" t="s">
        <v>620</v>
      </c>
      <c r="R1740">
        <v>9</v>
      </c>
      <c r="S1740">
        <v>1</v>
      </c>
      <c r="T1740" t="str">
        <f t="shared" si="200"/>
        <v>e</v>
      </c>
      <c r="U1740" t="s">
        <v>10</v>
      </c>
      <c r="V1740" t="s">
        <v>190</v>
      </c>
      <c r="W1740" t="s">
        <v>424</v>
      </c>
      <c r="X1740" t="s">
        <v>705</v>
      </c>
      <c r="Y1740" t="s">
        <v>680</v>
      </c>
      <c r="AA1740" t="s">
        <v>705</v>
      </c>
      <c r="AF1740" t="s">
        <v>401</v>
      </c>
      <c r="AM1740" t="str">
        <f t="shared" si="203"/>
        <v>Turnover</v>
      </c>
      <c r="AN1740" t="str">
        <f t="shared" si="204"/>
        <v>Turnover_Giveaway</v>
      </c>
      <c r="AP1740" t="str">
        <f t="shared" si="205"/>
        <v>Offensive</v>
      </c>
      <c r="BB1740" s="23"/>
      <c r="BD1740" s="21"/>
      <c r="BE1740" s="21"/>
      <c r="BF1740" s="21"/>
      <c r="BG1740" s="21"/>
      <c r="BH1740" s="21"/>
      <c r="BI1740" s="21"/>
    </row>
    <row r="1741" spans="1:61" x14ac:dyDescent="0.2">
      <c r="A1741">
        <v>901</v>
      </c>
      <c r="B1741" t="s">
        <v>887</v>
      </c>
      <c r="C1741" t="str">
        <f t="shared" si="201"/>
        <v/>
      </c>
      <c r="D1741" t="str">
        <f t="shared" si="206"/>
        <v/>
      </c>
      <c r="H1741">
        <f t="shared" si="202"/>
        <v>2</v>
      </c>
      <c r="I1741" s="5" t="s">
        <v>895</v>
      </c>
      <c r="J1741" s="5" t="s">
        <v>813</v>
      </c>
      <c r="Q1741" t="s">
        <v>619</v>
      </c>
      <c r="R1741">
        <v>4</v>
      </c>
      <c r="S1741">
        <v>1</v>
      </c>
      <c r="T1741" t="str">
        <f t="shared" si="200"/>
        <v>e</v>
      </c>
      <c r="U1741" t="s">
        <v>15</v>
      </c>
      <c r="V1741" t="s">
        <v>697</v>
      </c>
      <c r="X1741" t="s">
        <v>706</v>
      </c>
      <c r="Y1741" t="s">
        <v>712</v>
      </c>
      <c r="AA1741" t="s">
        <v>706</v>
      </c>
      <c r="AF1741" t="s">
        <v>623</v>
      </c>
      <c r="AJ1741">
        <v>1</v>
      </c>
      <c r="AM1741" t="str">
        <f t="shared" si="203"/>
        <v>Possession</v>
      </c>
      <c r="AN1741" t="str">
        <f t="shared" si="204"/>
        <v>PuckRetrieval</v>
      </c>
      <c r="AP1741" t="str">
        <f t="shared" si="205"/>
        <v>Offensive</v>
      </c>
      <c r="BB1741" s="23"/>
      <c r="BD1741" s="21"/>
      <c r="BE1741" s="21"/>
      <c r="BF1741" s="21"/>
      <c r="BG1741" s="21"/>
      <c r="BH1741" s="21"/>
      <c r="BI1741" s="21"/>
    </row>
    <row r="1742" spans="1:61" x14ac:dyDescent="0.2">
      <c r="A1742">
        <v>901</v>
      </c>
      <c r="B1742" t="s">
        <v>887</v>
      </c>
      <c r="C1742" t="str">
        <f t="shared" si="201"/>
        <v/>
      </c>
      <c r="D1742" t="str">
        <f t="shared" si="206"/>
        <v/>
      </c>
      <c r="H1742">
        <f t="shared" si="202"/>
        <v>2</v>
      </c>
      <c r="R1742">
        <v>14</v>
      </c>
      <c r="T1742" t="str">
        <f t="shared" si="200"/>
        <v>o</v>
      </c>
      <c r="Y1742" t="s">
        <v>775</v>
      </c>
      <c r="AA1742" t="s">
        <v>705</v>
      </c>
      <c r="AJ1742">
        <v>1</v>
      </c>
      <c r="AM1742" t="str">
        <f t="shared" si="203"/>
        <v>Possession</v>
      </c>
      <c r="AN1742" t="str">
        <f t="shared" si="204"/>
        <v>PuckRetrieval</v>
      </c>
      <c r="AP1742" t="str">
        <f t="shared" si="205"/>
        <v>Defensive</v>
      </c>
      <c r="BB1742" s="23"/>
      <c r="BD1742" s="21"/>
      <c r="BE1742" s="21"/>
      <c r="BF1742" s="21"/>
      <c r="BG1742" s="21"/>
      <c r="BH1742" s="21"/>
      <c r="BI1742" s="21"/>
    </row>
    <row r="1743" spans="1:61" x14ac:dyDescent="0.2">
      <c r="A1743">
        <v>902</v>
      </c>
      <c r="B1743" t="s">
        <v>887</v>
      </c>
      <c r="C1743" t="str">
        <f t="shared" si="201"/>
        <v/>
      </c>
      <c r="D1743" t="str">
        <f t="shared" si="206"/>
        <v/>
      </c>
      <c r="H1743">
        <f t="shared" si="202"/>
        <v>2</v>
      </c>
      <c r="I1743" s="5" t="s">
        <v>895</v>
      </c>
      <c r="J1743" s="5" t="s">
        <v>760</v>
      </c>
      <c r="Q1743" t="s">
        <v>619</v>
      </c>
      <c r="R1743">
        <v>4</v>
      </c>
      <c r="S1743">
        <v>1</v>
      </c>
      <c r="T1743" t="str">
        <f t="shared" si="200"/>
        <v>e</v>
      </c>
      <c r="U1743" t="s">
        <v>8</v>
      </c>
      <c r="V1743" t="s">
        <v>189</v>
      </c>
      <c r="W1743" t="s">
        <v>69</v>
      </c>
      <c r="X1743" t="s">
        <v>706</v>
      </c>
      <c r="Y1743" t="s">
        <v>814</v>
      </c>
      <c r="AA1743" t="s">
        <v>706</v>
      </c>
      <c r="AF1743" t="s">
        <v>623</v>
      </c>
      <c r="AJ1743">
        <v>1</v>
      </c>
      <c r="AM1743" t="str">
        <f t="shared" si="203"/>
        <v>Pass</v>
      </c>
      <c r="AN1743" t="str">
        <f t="shared" si="204"/>
        <v>Pass_Completed</v>
      </c>
      <c r="AP1743" t="str">
        <f t="shared" si="205"/>
        <v>Offensive</v>
      </c>
      <c r="BB1743" s="23"/>
      <c r="BD1743" s="21"/>
      <c r="BE1743" s="21"/>
      <c r="BF1743" s="21"/>
      <c r="BG1743" s="21"/>
      <c r="BH1743" s="21"/>
      <c r="BI1743" s="21"/>
    </row>
    <row r="1744" spans="1:61" x14ac:dyDescent="0.2">
      <c r="A1744">
        <v>902</v>
      </c>
      <c r="B1744" t="s">
        <v>887</v>
      </c>
      <c r="C1744" t="str">
        <f t="shared" si="201"/>
        <v/>
      </c>
      <c r="D1744" t="str">
        <f t="shared" si="206"/>
        <v/>
      </c>
      <c r="H1744">
        <f t="shared" si="202"/>
        <v>2</v>
      </c>
      <c r="R1744">
        <v>25</v>
      </c>
      <c r="S1744">
        <v>1</v>
      </c>
      <c r="T1744" t="str">
        <f t="shared" si="200"/>
        <v>e</v>
      </c>
      <c r="AM1744" t="str">
        <f t="shared" si="203"/>
        <v>Pass</v>
      </c>
      <c r="AN1744" t="str">
        <f t="shared" si="204"/>
        <v>Pass_Completed</v>
      </c>
      <c r="AP1744" t="str">
        <f t="shared" si="205"/>
        <v>Offensive</v>
      </c>
      <c r="BB1744" s="23"/>
      <c r="BD1744" s="21"/>
      <c r="BE1744" s="21"/>
      <c r="BF1744" s="21"/>
      <c r="BG1744" s="21"/>
      <c r="BH1744" s="21"/>
      <c r="BI1744" s="21"/>
    </row>
    <row r="1745" spans="1:61" x14ac:dyDescent="0.2">
      <c r="A1745">
        <v>902</v>
      </c>
      <c r="B1745" t="s">
        <v>887</v>
      </c>
      <c r="C1745" t="str">
        <f t="shared" si="201"/>
        <v/>
      </c>
      <c r="D1745" t="str">
        <f t="shared" si="206"/>
        <v/>
      </c>
      <c r="H1745">
        <f t="shared" si="202"/>
        <v>2</v>
      </c>
      <c r="R1745">
        <v>14</v>
      </c>
      <c r="T1745" t="str">
        <f t="shared" si="200"/>
        <v>o</v>
      </c>
      <c r="Y1745" t="s">
        <v>715</v>
      </c>
      <c r="AJ1745">
        <v>1</v>
      </c>
      <c r="AM1745" t="str">
        <f t="shared" si="203"/>
        <v>Pass</v>
      </c>
      <c r="AN1745" t="str">
        <f t="shared" si="204"/>
        <v>Pass_Completed</v>
      </c>
      <c r="AP1745" t="str">
        <f t="shared" si="205"/>
        <v>Defensive</v>
      </c>
      <c r="BB1745" s="23"/>
      <c r="BD1745" s="21"/>
      <c r="BE1745" s="21"/>
      <c r="BF1745" s="21"/>
      <c r="BG1745" s="21"/>
      <c r="BH1745" s="21"/>
      <c r="BI1745" s="21"/>
    </row>
    <row r="1746" spans="1:61" x14ac:dyDescent="0.2">
      <c r="A1746">
        <v>903</v>
      </c>
      <c r="B1746" t="s">
        <v>887</v>
      </c>
      <c r="C1746" t="str">
        <f t="shared" si="201"/>
        <v/>
      </c>
      <c r="D1746" t="str">
        <f t="shared" si="206"/>
        <v/>
      </c>
      <c r="H1746">
        <f t="shared" si="202"/>
        <v>2</v>
      </c>
      <c r="I1746" s="5" t="s">
        <v>895</v>
      </c>
      <c r="J1746" s="5" t="s">
        <v>760</v>
      </c>
      <c r="K1746" s="5" t="s">
        <v>895</v>
      </c>
      <c r="L1746" s="7" t="s">
        <v>621</v>
      </c>
      <c r="Q1746" t="s">
        <v>619</v>
      </c>
      <c r="R1746">
        <v>25</v>
      </c>
      <c r="S1746">
        <v>1</v>
      </c>
      <c r="T1746" t="str">
        <f t="shared" si="200"/>
        <v>e</v>
      </c>
      <c r="U1746" t="s">
        <v>15</v>
      </c>
      <c r="AF1746" t="s">
        <v>623</v>
      </c>
      <c r="AM1746" t="str">
        <f t="shared" si="203"/>
        <v>Possession</v>
      </c>
      <c r="AN1746" t="str">
        <f t="shared" si="204"/>
        <v/>
      </c>
      <c r="AP1746" t="str">
        <f t="shared" si="205"/>
        <v>Offensive</v>
      </c>
      <c r="BB1746" s="23"/>
      <c r="BD1746" s="21"/>
      <c r="BE1746" s="21"/>
      <c r="BF1746" s="21"/>
      <c r="BG1746" s="21"/>
      <c r="BH1746" s="21"/>
      <c r="BI1746" s="21"/>
    </row>
    <row r="1747" spans="1:61" x14ac:dyDescent="0.2">
      <c r="A1747">
        <v>904</v>
      </c>
      <c r="B1747">
        <v>150</v>
      </c>
      <c r="C1747">
        <f t="shared" si="201"/>
        <v>9150</v>
      </c>
      <c r="D1747">
        <f t="shared" si="206"/>
        <v>9150</v>
      </c>
      <c r="H1747">
        <f t="shared" si="202"/>
        <v>2</v>
      </c>
      <c r="I1747" s="5" t="s">
        <v>895</v>
      </c>
      <c r="J1747" s="5" t="s">
        <v>621</v>
      </c>
      <c r="Q1747" t="s">
        <v>619</v>
      </c>
      <c r="R1747">
        <v>25</v>
      </c>
      <c r="S1747">
        <v>1</v>
      </c>
      <c r="T1747" t="str">
        <f t="shared" si="200"/>
        <v>e</v>
      </c>
      <c r="U1747" t="s">
        <v>8</v>
      </c>
      <c r="V1747" t="s">
        <v>189</v>
      </c>
      <c r="W1747" t="s">
        <v>67</v>
      </c>
      <c r="X1747" t="s">
        <v>706</v>
      </c>
      <c r="Y1747" t="s">
        <v>678</v>
      </c>
      <c r="AA1747" t="s">
        <v>706</v>
      </c>
      <c r="AF1747" t="s">
        <v>623</v>
      </c>
      <c r="AJ1747">
        <v>1</v>
      </c>
      <c r="AM1747" t="str">
        <f t="shared" si="203"/>
        <v>Pass</v>
      </c>
      <c r="AN1747" t="str">
        <f t="shared" si="204"/>
        <v>Pass_Completed</v>
      </c>
      <c r="AP1747" t="str">
        <f t="shared" si="205"/>
        <v>Offensive</v>
      </c>
      <c r="BB1747" s="23"/>
      <c r="BD1747" s="21"/>
      <c r="BE1747" s="21"/>
      <c r="BF1747" s="21"/>
      <c r="BG1747" s="21"/>
      <c r="BH1747" s="21"/>
      <c r="BI1747" s="21"/>
    </row>
    <row r="1748" spans="1:61" x14ac:dyDescent="0.2">
      <c r="A1748">
        <v>904</v>
      </c>
      <c r="B1748">
        <v>150</v>
      </c>
      <c r="C1748">
        <f t="shared" si="201"/>
        <v>9150</v>
      </c>
      <c r="D1748">
        <f t="shared" si="206"/>
        <v>9150</v>
      </c>
      <c r="H1748">
        <f t="shared" si="202"/>
        <v>2</v>
      </c>
      <c r="R1748">
        <v>80</v>
      </c>
      <c r="S1748">
        <v>1</v>
      </c>
      <c r="T1748" t="str">
        <f t="shared" si="200"/>
        <v>e</v>
      </c>
      <c r="AM1748" t="str">
        <f t="shared" si="203"/>
        <v>Pass</v>
      </c>
      <c r="AN1748" t="str">
        <f t="shared" si="204"/>
        <v>Pass_Completed</v>
      </c>
      <c r="AP1748" t="str">
        <f t="shared" si="205"/>
        <v>Offensive</v>
      </c>
      <c r="BB1748" s="23"/>
      <c r="BD1748" s="21"/>
      <c r="BE1748" s="21"/>
      <c r="BF1748" s="21"/>
      <c r="BG1748" s="21"/>
      <c r="BH1748" s="21"/>
      <c r="BI1748" s="21"/>
    </row>
    <row r="1749" spans="1:61" x14ac:dyDescent="0.2">
      <c r="A1749">
        <v>904</v>
      </c>
      <c r="B1749">
        <v>150</v>
      </c>
      <c r="C1749">
        <f t="shared" si="201"/>
        <v>9150</v>
      </c>
      <c r="D1749">
        <f t="shared" si="206"/>
        <v>9150</v>
      </c>
      <c r="H1749">
        <f t="shared" si="202"/>
        <v>2</v>
      </c>
      <c r="R1749">
        <v>22</v>
      </c>
      <c r="T1749" t="str">
        <f t="shared" si="200"/>
        <v>o</v>
      </c>
      <c r="Y1749" t="s">
        <v>765</v>
      </c>
      <c r="AA1749" t="s">
        <v>706</v>
      </c>
      <c r="AJ1749">
        <v>1</v>
      </c>
      <c r="AM1749" t="str">
        <f t="shared" si="203"/>
        <v>Pass</v>
      </c>
      <c r="AN1749" t="str">
        <f t="shared" si="204"/>
        <v>Pass_Completed</v>
      </c>
      <c r="AP1749" t="str">
        <f t="shared" si="205"/>
        <v>Defensive</v>
      </c>
      <c r="BB1749" s="23"/>
      <c r="BD1749" s="21"/>
      <c r="BE1749" s="21"/>
      <c r="BF1749" s="21"/>
      <c r="BG1749" s="21"/>
      <c r="BH1749" s="21"/>
      <c r="BI1749" s="21"/>
    </row>
    <row r="1750" spans="1:61" x14ac:dyDescent="0.2">
      <c r="A1750">
        <v>905</v>
      </c>
      <c r="B1750">
        <v>150</v>
      </c>
      <c r="C1750">
        <f t="shared" si="201"/>
        <v>9150</v>
      </c>
      <c r="D1750">
        <f t="shared" si="206"/>
        <v>9150</v>
      </c>
      <c r="H1750">
        <f t="shared" si="202"/>
        <v>2</v>
      </c>
      <c r="I1750" s="5" t="s">
        <v>895</v>
      </c>
      <c r="J1750" s="5" t="s">
        <v>621</v>
      </c>
      <c r="Q1750" t="s">
        <v>619</v>
      </c>
      <c r="R1750">
        <v>25</v>
      </c>
      <c r="S1750">
        <v>1</v>
      </c>
      <c r="T1750" t="str">
        <f t="shared" si="200"/>
        <v>e</v>
      </c>
      <c r="U1750" t="s">
        <v>257</v>
      </c>
      <c r="V1750" t="s">
        <v>201</v>
      </c>
      <c r="W1750" t="s">
        <v>91</v>
      </c>
      <c r="X1750" t="s">
        <v>705</v>
      </c>
      <c r="AF1750" t="s">
        <v>623</v>
      </c>
      <c r="AJ1750">
        <v>1</v>
      </c>
      <c r="AM1750" t="str">
        <f t="shared" si="203"/>
        <v>Zone_Entry_Exit</v>
      </c>
      <c r="AN1750" t="str">
        <f t="shared" si="204"/>
        <v>Zone_Exit</v>
      </c>
      <c r="AP1750" t="str">
        <f t="shared" si="205"/>
        <v>Offensive</v>
      </c>
      <c r="BB1750" s="23"/>
      <c r="BD1750" s="21"/>
      <c r="BE1750" s="21"/>
      <c r="BF1750" s="21"/>
      <c r="BG1750" s="21"/>
      <c r="BH1750" s="21"/>
      <c r="BI1750" s="21"/>
    </row>
    <row r="1751" spans="1:61" x14ac:dyDescent="0.2">
      <c r="A1751">
        <v>905</v>
      </c>
      <c r="B1751">
        <v>150</v>
      </c>
      <c r="C1751">
        <f t="shared" si="201"/>
        <v>9150</v>
      </c>
      <c r="D1751">
        <f t="shared" si="206"/>
        <v>9150</v>
      </c>
      <c r="H1751">
        <f t="shared" si="202"/>
        <v>2</v>
      </c>
      <c r="R1751">
        <v>80</v>
      </c>
      <c r="S1751">
        <v>1</v>
      </c>
      <c r="T1751" t="str">
        <f t="shared" si="200"/>
        <v>e</v>
      </c>
      <c r="AM1751" t="str">
        <f t="shared" si="203"/>
        <v>Zone_Entry_Exit</v>
      </c>
      <c r="AN1751" t="str">
        <f t="shared" si="204"/>
        <v>Zone_Exit</v>
      </c>
      <c r="AP1751" t="str">
        <f t="shared" si="205"/>
        <v>Offensive</v>
      </c>
      <c r="BB1751" s="23"/>
      <c r="BD1751" s="21"/>
      <c r="BE1751" s="21"/>
      <c r="BF1751" s="21"/>
      <c r="BG1751" s="21"/>
      <c r="BH1751" s="21"/>
      <c r="BI1751" s="21"/>
    </row>
    <row r="1752" spans="1:61" x14ac:dyDescent="0.2">
      <c r="A1752">
        <v>905</v>
      </c>
      <c r="B1752">
        <v>150</v>
      </c>
      <c r="C1752">
        <f t="shared" si="201"/>
        <v>9150</v>
      </c>
      <c r="D1752">
        <f t="shared" si="206"/>
        <v>9150</v>
      </c>
      <c r="H1752">
        <f t="shared" si="202"/>
        <v>2</v>
      </c>
      <c r="R1752">
        <v>22</v>
      </c>
      <c r="T1752" t="str">
        <f t="shared" si="200"/>
        <v>o</v>
      </c>
      <c r="Y1752" t="s">
        <v>765</v>
      </c>
      <c r="AA1752" t="s">
        <v>706</v>
      </c>
      <c r="AJ1752">
        <v>1</v>
      </c>
      <c r="AM1752" t="str">
        <f t="shared" si="203"/>
        <v>Zone_Entry_Exit</v>
      </c>
      <c r="AN1752" t="str">
        <f t="shared" si="204"/>
        <v>Zone_Exit</v>
      </c>
      <c r="AP1752" t="str">
        <f t="shared" si="205"/>
        <v>Defensive</v>
      </c>
      <c r="BB1752" s="23"/>
      <c r="BD1752" s="21"/>
      <c r="BE1752" s="21"/>
      <c r="BF1752" s="21"/>
      <c r="BG1752" s="21"/>
      <c r="BH1752" s="21"/>
      <c r="BI1752" s="21"/>
    </row>
    <row r="1753" spans="1:61" x14ac:dyDescent="0.2">
      <c r="A1753">
        <v>906</v>
      </c>
      <c r="C1753" t="str">
        <f t="shared" si="201"/>
        <v/>
      </c>
      <c r="D1753">
        <f t="shared" si="206"/>
        <v>0</v>
      </c>
      <c r="H1753">
        <f t="shared" si="202"/>
        <v>2</v>
      </c>
      <c r="I1753" s="5" t="s">
        <v>895</v>
      </c>
      <c r="J1753" s="5" t="s">
        <v>732</v>
      </c>
      <c r="Q1753" t="s">
        <v>619</v>
      </c>
      <c r="R1753">
        <v>80</v>
      </c>
      <c r="S1753">
        <v>1</v>
      </c>
      <c r="T1753" t="str">
        <f t="shared" si="200"/>
        <v>e</v>
      </c>
      <c r="U1753" t="s">
        <v>10</v>
      </c>
      <c r="V1753" t="s">
        <v>190</v>
      </c>
      <c r="W1753" t="s">
        <v>73</v>
      </c>
      <c r="AF1753" t="s">
        <v>635</v>
      </c>
      <c r="AM1753" t="str">
        <f t="shared" si="203"/>
        <v>Turnover</v>
      </c>
      <c r="AN1753" t="str">
        <f t="shared" si="204"/>
        <v>Turnover_Giveaway</v>
      </c>
      <c r="AP1753" t="str">
        <f t="shared" si="205"/>
        <v>Offensive</v>
      </c>
      <c r="BB1753" s="23"/>
      <c r="BD1753" s="21"/>
      <c r="BE1753" s="21"/>
      <c r="BF1753" s="21"/>
      <c r="BG1753" s="21"/>
      <c r="BH1753" s="21"/>
      <c r="BI1753" s="21"/>
    </row>
    <row r="1754" spans="1:61" x14ac:dyDescent="0.2">
      <c r="A1754">
        <v>906</v>
      </c>
      <c r="C1754" t="str">
        <f t="shared" si="201"/>
        <v/>
      </c>
      <c r="D1754">
        <f t="shared" si="206"/>
        <v>0</v>
      </c>
      <c r="H1754">
        <f t="shared" si="202"/>
        <v>2</v>
      </c>
      <c r="R1754">
        <v>22</v>
      </c>
      <c r="T1754" t="str">
        <f t="shared" si="200"/>
        <v>o</v>
      </c>
      <c r="Y1754" t="s">
        <v>765</v>
      </c>
      <c r="AA1754" t="s">
        <v>706</v>
      </c>
      <c r="AM1754" t="str">
        <f t="shared" si="203"/>
        <v>Turnover</v>
      </c>
      <c r="AN1754" t="str">
        <f t="shared" si="204"/>
        <v>Turnover_Giveaway</v>
      </c>
      <c r="AP1754" t="str">
        <f t="shared" si="205"/>
        <v>Defensive</v>
      </c>
      <c r="BB1754" s="23"/>
      <c r="BD1754" s="21"/>
      <c r="BE1754" s="21"/>
      <c r="BF1754" s="21"/>
      <c r="BG1754" s="21"/>
      <c r="BH1754" s="21"/>
      <c r="BI1754" s="21"/>
    </row>
    <row r="1755" spans="1:61" x14ac:dyDescent="0.2">
      <c r="A1755">
        <v>907</v>
      </c>
      <c r="C1755" t="str">
        <f t="shared" si="201"/>
        <v/>
      </c>
      <c r="D1755">
        <f t="shared" si="206"/>
        <v>0</v>
      </c>
      <c r="H1755">
        <f t="shared" si="202"/>
        <v>2</v>
      </c>
      <c r="I1755" s="5" t="s">
        <v>895</v>
      </c>
      <c r="J1755" s="5" t="s">
        <v>448</v>
      </c>
      <c r="K1755" s="5" t="s">
        <v>895</v>
      </c>
      <c r="L1755" s="7" t="s">
        <v>734</v>
      </c>
      <c r="Q1755" t="s">
        <v>620</v>
      </c>
      <c r="R1755">
        <v>9</v>
      </c>
      <c r="S1755">
        <v>1</v>
      </c>
      <c r="T1755" t="str">
        <f t="shared" si="200"/>
        <v>e</v>
      </c>
      <c r="U1755" t="s">
        <v>15</v>
      </c>
      <c r="V1755" t="s">
        <v>697</v>
      </c>
      <c r="X1755" t="s">
        <v>706</v>
      </c>
      <c r="Y1755" t="s">
        <v>712</v>
      </c>
      <c r="AA1755" t="s">
        <v>706</v>
      </c>
      <c r="AF1755" t="s">
        <v>635</v>
      </c>
      <c r="AM1755" t="str">
        <f t="shared" si="203"/>
        <v>Possession</v>
      </c>
      <c r="AN1755" t="str">
        <f t="shared" si="204"/>
        <v>PuckRetrieval</v>
      </c>
      <c r="AP1755" t="str">
        <f t="shared" si="205"/>
        <v>Offensive</v>
      </c>
      <c r="BB1755" s="23"/>
      <c r="BD1755" s="21"/>
      <c r="BE1755" s="21"/>
      <c r="BF1755" s="21"/>
      <c r="BG1755" s="21"/>
      <c r="BH1755" s="21"/>
      <c r="BI1755" s="21"/>
    </row>
    <row r="1756" spans="1:61" x14ac:dyDescent="0.2">
      <c r="A1756">
        <v>908</v>
      </c>
      <c r="B1756" t="s">
        <v>887</v>
      </c>
      <c r="C1756" t="str">
        <f t="shared" si="201"/>
        <v/>
      </c>
      <c r="D1756" t="str">
        <f t="shared" si="206"/>
        <v/>
      </c>
      <c r="H1756">
        <f t="shared" si="202"/>
        <v>2</v>
      </c>
      <c r="I1756" s="5" t="s">
        <v>895</v>
      </c>
      <c r="J1756" s="5" t="s">
        <v>734</v>
      </c>
      <c r="Q1756" t="s">
        <v>620</v>
      </c>
      <c r="R1756">
        <v>9</v>
      </c>
      <c r="S1756">
        <v>1</v>
      </c>
      <c r="T1756" t="str">
        <f t="shared" si="200"/>
        <v>e</v>
      </c>
      <c r="U1756" t="s">
        <v>8</v>
      </c>
      <c r="V1756" t="s">
        <v>189</v>
      </c>
      <c r="W1756" t="s">
        <v>71</v>
      </c>
      <c r="X1756" t="s">
        <v>706</v>
      </c>
      <c r="AF1756" t="s">
        <v>635</v>
      </c>
      <c r="AM1756" t="str">
        <f t="shared" si="203"/>
        <v>Pass</v>
      </c>
      <c r="AN1756" t="str">
        <f t="shared" si="204"/>
        <v>Pass_Completed</v>
      </c>
      <c r="AP1756" t="str">
        <f t="shared" si="205"/>
        <v>Offensive</v>
      </c>
      <c r="BB1756" s="23"/>
      <c r="BD1756" s="21"/>
      <c r="BE1756" s="21"/>
      <c r="BF1756" s="21"/>
      <c r="BG1756" s="21"/>
      <c r="BH1756" s="21"/>
      <c r="BI1756" s="21"/>
    </row>
    <row r="1757" spans="1:61" x14ac:dyDescent="0.2">
      <c r="A1757">
        <v>908</v>
      </c>
      <c r="B1757" t="s">
        <v>887</v>
      </c>
      <c r="C1757" t="str">
        <f t="shared" si="201"/>
        <v/>
      </c>
      <c r="D1757" t="str">
        <f t="shared" si="206"/>
        <v/>
      </c>
      <c r="H1757">
        <f t="shared" si="202"/>
        <v>2</v>
      </c>
      <c r="R1757">
        <v>42</v>
      </c>
      <c r="S1757">
        <v>1</v>
      </c>
      <c r="T1757" t="str">
        <f t="shared" si="200"/>
        <v>e</v>
      </c>
      <c r="AM1757" t="str">
        <f t="shared" si="203"/>
        <v>Pass</v>
      </c>
      <c r="AN1757" t="str">
        <f t="shared" si="204"/>
        <v>Pass_Completed</v>
      </c>
      <c r="AP1757" t="str">
        <f t="shared" si="205"/>
        <v>Offensive</v>
      </c>
      <c r="BB1757" s="23"/>
      <c r="BD1757" s="21"/>
      <c r="BE1757" s="21"/>
      <c r="BF1757" s="21"/>
      <c r="BG1757" s="21"/>
      <c r="BH1757" s="21"/>
      <c r="BI1757" s="21"/>
    </row>
    <row r="1758" spans="1:61" x14ac:dyDescent="0.2">
      <c r="A1758">
        <v>909</v>
      </c>
      <c r="B1758" t="s">
        <v>887</v>
      </c>
      <c r="C1758" t="str">
        <f t="shared" si="201"/>
        <v/>
      </c>
      <c r="D1758" t="str">
        <f t="shared" si="206"/>
        <v/>
      </c>
      <c r="H1758">
        <f t="shared" si="202"/>
        <v>2</v>
      </c>
      <c r="I1758" s="5" t="s">
        <v>895</v>
      </c>
      <c r="J1758" s="5" t="s">
        <v>734</v>
      </c>
      <c r="K1758" s="5" t="s">
        <v>895</v>
      </c>
      <c r="L1758" s="7" t="s">
        <v>447</v>
      </c>
      <c r="Q1758" t="s">
        <v>620</v>
      </c>
      <c r="R1758">
        <v>42</v>
      </c>
      <c r="S1758">
        <v>1</v>
      </c>
      <c r="T1758" t="str">
        <f t="shared" si="200"/>
        <v>e</v>
      </c>
      <c r="U1758" t="s">
        <v>15</v>
      </c>
      <c r="AF1758" t="s">
        <v>635</v>
      </c>
      <c r="AJ1758">
        <v>1</v>
      </c>
      <c r="AM1758" t="str">
        <f t="shared" si="203"/>
        <v>Possession</v>
      </c>
      <c r="AN1758" t="str">
        <f t="shared" si="204"/>
        <v/>
      </c>
      <c r="AP1758" t="str">
        <f t="shared" si="205"/>
        <v>Offensive</v>
      </c>
      <c r="BB1758" s="23"/>
      <c r="BD1758" s="21"/>
      <c r="BE1758" s="21"/>
      <c r="BF1758" s="21"/>
      <c r="BG1758" s="21"/>
      <c r="BH1758" s="21"/>
      <c r="BI1758" s="21"/>
    </row>
    <row r="1759" spans="1:61" x14ac:dyDescent="0.2">
      <c r="A1759">
        <v>909</v>
      </c>
      <c r="B1759" t="s">
        <v>887</v>
      </c>
      <c r="C1759" t="str">
        <f t="shared" si="201"/>
        <v/>
      </c>
      <c r="D1759" t="str">
        <f t="shared" si="206"/>
        <v/>
      </c>
      <c r="H1759">
        <f t="shared" si="202"/>
        <v>2</v>
      </c>
      <c r="R1759">
        <v>25</v>
      </c>
      <c r="T1759" t="str">
        <f t="shared" si="200"/>
        <v>o</v>
      </c>
      <c r="Y1759" t="s">
        <v>715</v>
      </c>
      <c r="AJ1759">
        <v>1</v>
      </c>
      <c r="AM1759" t="str">
        <f t="shared" si="203"/>
        <v>Possession</v>
      </c>
      <c r="AN1759" t="str">
        <f t="shared" si="204"/>
        <v/>
      </c>
      <c r="AP1759" t="str">
        <f t="shared" si="205"/>
        <v>Defensive</v>
      </c>
      <c r="BB1759" s="23"/>
      <c r="BD1759" s="21"/>
      <c r="BE1759" s="21"/>
      <c r="BF1759" s="21"/>
      <c r="BG1759" s="21"/>
      <c r="BH1759" s="21"/>
      <c r="BI1759" s="21"/>
    </row>
    <row r="1760" spans="1:61" x14ac:dyDescent="0.2">
      <c r="A1760">
        <v>909</v>
      </c>
      <c r="B1760" t="s">
        <v>887</v>
      </c>
      <c r="C1760" t="str">
        <f t="shared" si="201"/>
        <v/>
      </c>
      <c r="D1760" t="str">
        <f t="shared" si="206"/>
        <v/>
      </c>
      <c r="H1760">
        <f t="shared" si="202"/>
        <v>2</v>
      </c>
      <c r="R1760">
        <v>89</v>
      </c>
      <c r="T1760" t="str">
        <f t="shared" si="200"/>
        <v>o</v>
      </c>
      <c r="Y1760" t="s">
        <v>715</v>
      </c>
      <c r="AJ1760">
        <v>1</v>
      </c>
      <c r="AM1760" t="str">
        <f t="shared" si="203"/>
        <v>Possession</v>
      </c>
      <c r="AN1760" t="str">
        <f t="shared" si="204"/>
        <v/>
      </c>
      <c r="AP1760" t="str">
        <f t="shared" si="205"/>
        <v>Defensive</v>
      </c>
      <c r="BB1760" s="23"/>
      <c r="BD1760" s="21"/>
      <c r="BE1760" s="21"/>
      <c r="BF1760" s="21"/>
      <c r="BG1760" s="21"/>
      <c r="BH1760" s="21"/>
      <c r="BI1760" s="21"/>
    </row>
    <row r="1761" spans="1:61" x14ac:dyDescent="0.2">
      <c r="A1761">
        <v>910</v>
      </c>
      <c r="B1761" t="s">
        <v>887</v>
      </c>
      <c r="C1761" t="str">
        <f t="shared" si="201"/>
        <v/>
      </c>
      <c r="D1761" t="str">
        <f t="shared" si="206"/>
        <v/>
      </c>
      <c r="H1761">
        <f t="shared" si="202"/>
        <v>2</v>
      </c>
      <c r="I1761" s="5" t="s">
        <v>895</v>
      </c>
      <c r="J1761" s="5" t="s">
        <v>447</v>
      </c>
      <c r="Q1761" t="s">
        <v>620</v>
      </c>
      <c r="R1761">
        <v>42</v>
      </c>
      <c r="S1761">
        <v>1</v>
      </c>
      <c r="T1761" t="str">
        <f t="shared" si="200"/>
        <v>e</v>
      </c>
      <c r="U1761" t="s">
        <v>8</v>
      </c>
      <c r="V1761" t="s">
        <v>199</v>
      </c>
      <c r="W1761" t="s">
        <v>480</v>
      </c>
      <c r="X1761" t="s">
        <v>705</v>
      </c>
      <c r="AF1761" t="s">
        <v>635</v>
      </c>
      <c r="AJ1761">
        <v>1</v>
      </c>
      <c r="AM1761" t="str">
        <f t="shared" si="203"/>
        <v>Pass</v>
      </c>
      <c r="AN1761" t="str">
        <f t="shared" si="204"/>
        <v>Pass_Missed</v>
      </c>
      <c r="AP1761" t="str">
        <f t="shared" si="205"/>
        <v>Offensive</v>
      </c>
      <c r="BB1761" s="23"/>
      <c r="BD1761" s="21"/>
      <c r="BE1761" s="21"/>
      <c r="BF1761" s="21"/>
      <c r="BG1761" s="21"/>
      <c r="BH1761" s="21"/>
      <c r="BI1761" s="21"/>
    </row>
    <row r="1762" spans="1:61" x14ac:dyDescent="0.2">
      <c r="A1762">
        <v>910</v>
      </c>
      <c r="B1762" t="s">
        <v>887</v>
      </c>
      <c r="C1762" t="str">
        <f t="shared" si="201"/>
        <v/>
      </c>
      <c r="D1762" t="str">
        <f t="shared" si="206"/>
        <v/>
      </c>
      <c r="H1762">
        <f t="shared" si="202"/>
        <v>2</v>
      </c>
      <c r="R1762">
        <v>61</v>
      </c>
      <c r="S1762">
        <v>1</v>
      </c>
      <c r="T1762" t="str">
        <f t="shared" si="200"/>
        <v>e</v>
      </c>
      <c r="Y1762" t="s">
        <v>754</v>
      </c>
      <c r="AM1762" t="str">
        <f t="shared" si="203"/>
        <v>Pass</v>
      </c>
      <c r="AN1762" t="str">
        <f t="shared" si="204"/>
        <v>Pass_Missed</v>
      </c>
      <c r="AP1762" t="str">
        <f t="shared" si="205"/>
        <v>Offensive</v>
      </c>
      <c r="BB1762" s="23"/>
      <c r="BD1762" s="21"/>
      <c r="BE1762" s="21"/>
      <c r="BF1762" s="21"/>
      <c r="BG1762" s="21"/>
      <c r="BH1762" s="21"/>
      <c r="BI1762" s="21"/>
    </row>
    <row r="1763" spans="1:61" x14ac:dyDescent="0.2">
      <c r="A1763">
        <v>910</v>
      </c>
      <c r="B1763" t="s">
        <v>887</v>
      </c>
      <c r="C1763" t="str">
        <f t="shared" si="201"/>
        <v/>
      </c>
      <c r="D1763" t="str">
        <f t="shared" si="206"/>
        <v/>
      </c>
      <c r="H1763">
        <f t="shared" si="202"/>
        <v>2</v>
      </c>
      <c r="R1763">
        <v>25</v>
      </c>
      <c r="T1763" t="str">
        <f t="shared" si="200"/>
        <v>o</v>
      </c>
      <c r="Y1763" t="s">
        <v>715</v>
      </c>
      <c r="AJ1763">
        <v>1</v>
      </c>
      <c r="AM1763" t="str">
        <f t="shared" si="203"/>
        <v>Pass</v>
      </c>
      <c r="AN1763" t="str">
        <f t="shared" si="204"/>
        <v>Pass_Missed</v>
      </c>
      <c r="AP1763" t="str">
        <f t="shared" si="205"/>
        <v>Defensive</v>
      </c>
      <c r="BB1763" s="23"/>
      <c r="BD1763" s="21"/>
      <c r="BE1763" s="21"/>
      <c r="BF1763" s="21"/>
      <c r="BG1763" s="21"/>
      <c r="BH1763" s="21"/>
      <c r="BI1763" s="21"/>
    </row>
    <row r="1764" spans="1:61" x14ac:dyDescent="0.2">
      <c r="A1764">
        <v>910</v>
      </c>
      <c r="B1764" t="s">
        <v>887</v>
      </c>
      <c r="C1764" t="str">
        <f t="shared" si="201"/>
        <v/>
      </c>
      <c r="D1764" t="str">
        <f t="shared" si="206"/>
        <v/>
      </c>
      <c r="H1764">
        <f t="shared" si="202"/>
        <v>2</v>
      </c>
      <c r="R1764">
        <v>91</v>
      </c>
      <c r="T1764" t="str">
        <f t="shared" si="200"/>
        <v>o</v>
      </c>
      <c r="AM1764" t="str">
        <f t="shared" si="203"/>
        <v>Pass</v>
      </c>
      <c r="AN1764" t="str">
        <f t="shared" si="204"/>
        <v>Pass_Missed</v>
      </c>
      <c r="AP1764" t="str">
        <f t="shared" si="205"/>
        <v>Defensive</v>
      </c>
      <c r="BB1764" s="23"/>
      <c r="BD1764" s="21"/>
      <c r="BE1764" s="21"/>
      <c r="BF1764" s="21"/>
      <c r="BG1764" s="21"/>
      <c r="BH1764" s="21"/>
      <c r="BI1764" s="21"/>
    </row>
    <row r="1765" spans="1:61" x14ac:dyDescent="0.2">
      <c r="A1765">
        <v>911</v>
      </c>
      <c r="B1765" t="s">
        <v>887</v>
      </c>
      <c r="C1765" t="str">
        <f t="shared" si="201"/>
        <v/>
      </c>
      <c r="D1765" t="str">
        <f t="shared" si="206"/>
        <v/>
      </c>
      <c r="H1765">
        <f t="shared" si="202"/>
        <v>2</v>
      </c>
      <c r="I1765" s="5" t="s">
        <v>897</v>
      </c>
      <c r="J1765" s="5" t="s">
        <v>622</v>
      </c>
      <c r="Q1765" t="s">
        <v>620</v>
      </c>
      <c r="R1765">
        <v>42</v>
      </c>
      <c r="S1765">
        <v>1</v>
      </c>
      <c r="T1765" t="str">
        <f t="shared" si="200"/>
        <v>e</v>
      </c>
      <c r="U1765" t="s">
        <v>15</v>
      </c>
      <c r="V1765" t="s">
        <v>698</v>
      </c>
      <c r="X1765" t="s">
        <v>705</v>
      </c>
      <c r="Y1765" t="s">
        <v>752</v>
      </c>
      <c r="AA1765" t="s">
        <v>705</v>
      </c>
      <c r="AF1765" t="s">
        <v>635</v>
      </c>
      <c r="AJ1765">
        <v>1</v>
      </c>
      <c r="AM1765" t="str">
        <f t="shared" si="203"/>
        <v>Possession</v>
      </c>
      <c r="AN1765" t="str">
        <f t="shared" si="204"/>
        <v>PuckRecovery</v>
      </c>
      <c r="AP1765" t="str">
        <f t="shared" si="205"/>
        <v>Offensive</v>
      </c>
      <c r="BB1765" s="23"/>
      <c r="BD1765" s="21"/>
      <c r="BE1765" s="21"/>
      <c r="BF1765" s="21"/>
      <c r="BG1765" s="21"/>
      <c r="BH1765" s="21"/>
      <c r="BI1765" s="21"/>
    </row>
    <row r="1766" spans="1:61" x14ac:dyDescent="0.2">
      <c r="A1766">
        <v>911</v>
      </c>
      <c r="B1766" t="s">
        <v>887</v>
      </c>
      <c r="C1766" t="str">
        <f t="shared" si="201"/>
        <v/>
      </c>
      <c r="D1766" t="str">
        <f t="shared" si="206"/>
        <v/>
      </c>
      <c r="H1766">
        <f t="shared" si="202"/>
        <v>2</v>
      </c>
      <c r="R1766">
        <v>4</v>
      </c>
      <c r="T1766" t="str">
        <f t="shared" si="200"/>
        <v>o</v>
      </c>
      <c r="AJ1766">
        <v>1</v>
      </c>
      <c r="AM1766" t="str">
        <f t="shared" si="203"/>
        <v>Possession</v>
      </c>
      <c r="AN1766" t="str">
        <f t="shared" si="204"/>
        <v>PuckRecovery</v>
      </c>
      <c r="AP1766" t="str">
        <f t="shared" si="205"/>
        <v>Defensive</v>
      </c>
      <c r="BB1766" s="23"/>
      <c r="BD1766" s="21"/>
      <c r="BE1766" s="21"/>
      <c r="BF1766" s="21"/>
      <c r="BG1766" s="21"/>
      <c r="BH1766" s="21"/>
      <c r="BI1766" s="21"/>
    </row>
    <row r="1767" spans="1:61" x14ac:dyDescent="0.2">
      <c r="A1767">
        <v>912</v>
      </c>
      <c r="B1767">
        <v>151</v>
      </c>
      <c r="C1767">
        <f t="shared" si="201"/>
        <v>9151</v>
      </c>
      <c r="D1767">
        <f t="shared" si="206"/>
        <v>9151</v>
      </c>
      <c r="H1767">
        <f t="shared" si="202"/>
        <v>2</v>
      </c>
      <c r="I1767" s="5" t="s">
        <v>897</v>
      </c>
      <c r="J1767" s="5" t="s">
        <v>896</v>
      </c>
      <c r="Q1767" t="s">
        <v>620</v>
      </c>
      <c r="R1767">
        <v>42</v>
      </c>
      <c r="S1767">
        <v>1</v>
      </c>
      <c r="T1767" t="str">
        <f t="shared" si="200"/>
        <v>e</v>
      </c>
      <c r="U1767" t="s">
        <v>257</v>
      </c>
      <c r="V1767" t="s">
        <v>818</v>
      </c>
      <c r="W1767" t="s">
        <v>87</v>
      </c>
      <c r="X1767" t="s">
        <v>705</v>
      </c>
      <c r="Y1767" t="s">
        <v>749</v>
      </c>
      <c r="AA1767" t="s">
        <v>705</v>
      </c>
      <c r="AF1767" t="s">
        <v>635</v>
      </c>
      <c r="AJ1767">
        <v>1</v>
      </c>
      <c r="AM1767" t="str">
        <f t="shared" si="203"/>
        <v>Zone_Entry_Exit</v>
      </c>
      <c r="AN1767" t="str">
        <f t="shared" si="204"/>
        <v>Zone_Entryfailed</v>
      </c>
      <c r="AP1767" t="str">
        <f t="shared" si="205"/>
        <v>Offensive</v>
      </c>
      <c r="BB1767" s="23"/>
      <c r="BD1767" s="21"/>
      <c r="BE1767" s="21"/>
      <c r="BF1767" s="21"/>
      <c r="BG1767" s="21"/>
      <c r="BH1767" s="21"/>
      <c r="BI1767" s="21"/>
    </row>
    <row r="1768" spans="1:61" x14ac:dyDescent="0.2">
      <c r="A1768">
        <v>912</v>
      </c>
      <c r="B1768">
        <v>151</v>
      </c>
      <c r="C1768">
        <f t="shared" si="201"/>
        <v>9151</v>
      </c>
      <c r="D1768">
        <f t="shared" si="206"/>
        <v>9151</v>
      </c>
      <c r="H1768">
        <f t="shared" si="202"/>
        <v>2</v>
      </c>
      <c r="R1768">
        <v>4</v>
      </c>
      <c r="T1768" t="str">
        <f t="shared" si="200"/>
        <v>o</v>
      </c>
      <c r="Y1768" t="s">
        <v>774</v>
      </c>
      <c r="AA1768" t="s">
        <v>706</v>
      </c>
      <c r="AJ1768">
        <v>1</v>
      </c>
      <c r="AM1768" t="str">
        <f t="shared" si="203"/>
        <v>Zone_Entry_Exit</v>
      </c>
      <c r="AN1768" t="str">
        <f t="shared" si="204"/>
        <v>Zone_Entryfailed</v>
      </c>
      <c r="AP1768" t="str">
        <f t="shared" si="205"/>
        <v>Defensive</v>
      </c>
      <c r="BB1768" s="23"/>
      <c r="BD1768" s="21"/>
      <c r="BE1768" s="21"/>
      <c r="BF1768" s="21"/>
      <c r="BG1768" s="21"/>
      <c r="BH1768" s="21"/>
      <c r="BI1768" s="21"/>
    </row>
    <row r="1769" spans="1:61" x14ac:dyDescent="0.2">
      <c r="A1769">
        <v>913</v>
      </c>
      <c r="B1769">
        <v>151</v>
      </c>
      <c r="C1769">
        <f t="shared" si="201"/>
        <v>9151</v>
      </c>
      <c r="D1769">
        <f t="shared" si="206"/>
        <v>9151</v>
      </c>
      <c r="H1769">
        <f t="shared" si="202"/>
        <v>2</v>
      </c>
      <c r="I1769" s="5" t="s">
        <v>897</v>
      </c>
      <c r="J1769" s="5" t="s">
        <v>896</v>
      </c>
      <c r="Q1769" t="s">
        <v>619</v>
      </c>
      <c r="R1769">
        <v>4</v>
      </c>
      <c r="S1769">
        <v>1</v>
      </c>
      <c r="T1769" t="str">
        <f t="shared" si="200"/>
        <v>e</v>
      </c>
      <c r="U1769" t="s">
        <v>10</v>
      </c>
      <c r="V1769" t="s">
        <v>200</v>
      </c>
      <c r="W1769" t="s">
        <v>81</v>
      </c>
      <c r="X1769" t="s">
        <v>706</v>
      </c>
      <c r="Y1769" t="s">
        <v>774</v>
      </c>
      <c r="AA1769" t="s">
        <v>706</v>
      </c>
      <c r="AF1769" t="s">
        <v>635</v>
      </c>
      <c r="AJ1769">
        <v>1</v>
      </c>
      <c r="AM1769" t="str">
        <f t="shared" si="203"/>
        <v>Turnover</v>
      </c>
      <c r="AN1769" t="str">
        <f t="shared" si="204"/>
        <v>Turnover_Takeaway</v>
      </c>
      <c r="AP1769" t="str">
        <f t="shared" si="205"/>
        <v>Defensive</v>
      </c>
      <c r="BB1769" s="23"/>
      <c r="BD1769" s="21"/>
      <c r="BE1769" s="21"/>
      <c r="BF1769" s="21"/>
      <c r="BG1769" s="21"/>
      <c r="BH1769" s="21"/>
      <c r="BI1769" s="21"/>
    </row>
    <row r="1770" spans="1:61" x14ac:dyDescent="0.2">
      <c r="A1770">
        <v>913</v>
      </c>
      <c r="B1770">
        <v>151</v>
      </c>
      <c r="C1770">
        <f t="shared" si="201"/>
        <v>9151</v>
      </c>
      <c r="D1770">
        <f t="shared" si="206"/>
        <v>9151</v>
      </c>
      <c r="H1770">
        <f t="shared" si="202"/>
        <v>2</v>
      </c>
      <c r="R1770">
        <v>42</v>
      </c>
      <c r="T1770" t="str">
        <f t="shared" si="200"/>
        <v>o</v>
      </c>
      <c r="Y1770" t="s">
        <v>749</v>
      </c>
      <c r="AJ1770">
        <v>1</v>
      </c>
      <c r="AM1770" t="str">
        <f t="shared" si="203"/>
        <v>Turnover</v>
      </c>
      <c r="AN1770" t="str">
        <f t="shared" si="204"/>
        <v>Turnover_Takeaway</v>
      </c>
      <c r="AP1770" t="str">
        <f t="shared" si="205"/>
        <v>Offensive</v>
      </c>
      <c r="BB1770" s="23"/>
      <c r="BD1770" s="21"/>
      <c r="BE1770" s="21"/>
      <c r="BF1770" s="21"/>
      <c r="BG1770" s="21"/>
      <c r="BH1770" s="21"/>
      <c r="BI1770" s="21"/>
    </row>
    <row r="1771" spans="1:61" x14ac:dyDescent="0.2">
      <c r="A1771">
        <v>914</v>
      </c>
      <c r="B1771" t="s">
        <v>887</v>
      </c>
      <c r="C1771" t="str">
        <f t="shared" si="201"/>
        <v/>
      </c>
      <c r="D1771" t="str">
        <f t="shared" si="206"/>
        <v/>
      </c>
      <c r="H1771">
        <f t="shared" si="202"/>
        <v>2</v>
      </c>
      <c r="I1771" s="5" t="s">
        <v>897</v>
      </c>
      <c r="J1771" s="5" t="s">
        <v>638</v>
      </c>
      <c r="Q1771" t="s">
        <v>619</v>
      </c>
      <c r="R1771">
        <v>4</v>
      </c>
      <c r="S1771">
        <v>1</v>
      </c>
      <c r="T1771" t="str">
        <f t="shared" si="200"/>
        <v>e</v>
      </c>
      <c r="U1771" t="s">
        <v>8</v>
      </c>
      <c r="V1771" t="s">
        <v>199</v>
      </c>
      <c r="W1771" t="s">
        <v>69</v>
      </c>
      <c r="X1771" t="s">
        <v>706</v>
      </c>
      <c r="AF1771" t="s">
        <v>635</v>
      </c>
      <c r="AM1771" t="str">
        <f t="shared" si="203"/>
        <v>Pass</v>
      </c>
      <c r="AN1771" t="str">
        <f t="shared" si="204"/>
        <v>Pass_Missed</v>
      </c>
      <c r="AP1771" t="str">
        <f t="shared" si="205"/>
        <v>Offensive</v>
      </c>
      <c r="BB1771" s="23"/>
      <c r="BD1771" s="21"/>
      <c r="BE1771" s="21"/>
      <c r="BF1771" s="21"/>
      <c r="BG1771" s="21"/>
      <c r="BH1771" s="21"/>
      <c r="BI1771" s="21"/>
    </row>
    <row r="1772" spans="1:61" x14ac:dyDescent="0.2">
      <c r="A1772">
        <v>914</v>
      </c>
      <c r="B1772" t="s">
        <v>887</v>
      </c>
      <c r="C1772" t="str">
        <f t="shared" si="201"/>
        <v/>
      </c>
      <c r="D1772" t="str">
        <f t="shared" si="206"/>
        <v/>
      </c>
      <c r="H1772">
        <f t="shared" si="202"/>
        <v>2</v>
      </c>
      <c r="R1772">
        <v>89</v>
      </c>
      <c r="S1772">
        <v>1</v>
      </c>
      <c r="T1772" t="str">
        <f t="shared" si="200"/>
        <v>e</v>
      </c>
      <c r="AM1772" t="str">
        <f t="shared" si="203"/>
        <v>Pass</v>
      </c>
      <c r="AN1772" t="str">
        <f t="shared" si="204"/>
        <v>Pass_Missed</v>
      </c>
      <c r="AP1772" t="str">
        <f t="shared" si="205"/>
        <v>Offensive</v>
      </c>
      <c r="BB1772" s="23"/>
      <c r="BD1772" s="21"/>
      <c r="BE1772" s="21"/>
      <c r="BF1772" s="21"/>
      <c r="BG1772" s="21"/>
      <c r="BH1772" s="21"/>
      <c r="BI1772" s="21"/>
    </row>
    <row r="1773" spans="1:61" x14ac:dyDescent="0.2">
      <c r="A1773">
        <v>915</v>
      </c>
      <c r="B1773" t="s">
        <v>887</v>
      </c>
      <c r="C1773" t="str">
        <f t="shared" si="201"/>
        <v/>
      </c>
      <c r="D1773" t="str">
        <f t="shared" si="206"/>
        <v/>
      </c>
      <c r="H1773">
        <f t="shared" si="202"/>
        <v>2</v>
      </c>
      <c r="I1773" s="5" t="s">
        <v>897</v>
      </c>
      <c r="J1773" s="5" t="s">
        <v>637</v>
      </c>
      <c r="K1773" s="5" t="s">
        <v>897</v>
      </c>
      <c r="L1773" s="7" t="s">
        <v>751</v>
      </c>
      <c r="Q1773" t="s">
        <v>619</v>
      </c>
      <c r="R1773">
        <v>25</v>
      </c>
      <c r="S1773">
        <v>1</v>
      </c>
      <c r="T1773" t="str">
        <f t="shared" si="200"/>
        <v>e</v>
      </c>
      <c r="U1773" t="s">
        <v>15</v>
      </c>
      <c r="V1773" t="s">
        <v>698</v>
      </c>
      <c r="X1773" t="s">
        <v>706</v>
      </c>
      <c r="Y1773" t="s">
        <v>756</v>
      </c>
      <c r="AA1773" t="s">
        <v>706</v>
      </c>
      <c r="AF1773" t="s">
        <v>635</v>
      </c>
      <c r="AM1773" t="str">
        <f t="shared" si="203"/>
        <v>Possession</v>
      </c>
      <c r="AN1773" t="str">
        <f t="shared" si="204"/>
        <v>PuckRecovery</v>
      </c>
      <c r="AP1773" t="str">
        <f t="shared" si="205"/>
        <v>Offensive</v>
      </c>
      <c r="BB1773" s="23"/>
      <c r="BD1773" s="21"/>
      <c r="BE1773" s="21"/>
      <c r="BF1773" s="21"/>
      <c r="BG1773" s="21"/>
      <c r="BH1773" s="21"/>
      <c r="BI1773" s="21"/>
    </row>
    <row r="1774" spans="1:61" x14ac:dyDescent="0.2">
      <c r="A1774">
        <v>916</v>
      </c>
      <c r="B1774" t="s">
        <v>887</v>
      </c>
      <c r="C1774" t="str">
        <f t="shared" si="201"/>
        <v/>
      </c>
      <c r="D1774" t="str">
        <f t="shared" si="206"/>
        <v/>
      </c>
      <c r="H1774">
        <f t="shared" si="202"/>
        <v>2</v>
      </c>
      <c r="I1774" s="5" t="s">
        <v>897</v>
      </c>
      <c r="J1774" s="5" t="s">
        <v>751</v>
      </c>
      <c r="K1774" s="5" t="s">
        <v>897</v>
      </c>
      <c r="L1774" s="7" t="s">
        <v>773</v>
      </c>
      <c r="Q1774" t="s">
        <v>619</v>
      </c>
      <c r="R1774">
        <v>25</v>
      </c>
      <c r="S1774">
        <v>1</v>
      </c>
      <c r="T1774" t="str">
        <f t="shared" si="200"/>
        <v>e</v>
      </c>
      <c r="U1774" t="s">
        <v>257</v>
      </c>
      <c r="V1774" t="s">
        <v>191</v>
      </c>
      <c r="W1774" t="s">
        <v>87</v>
      </c>
      <c r="X1774" t="s">
        <v>705</v>
      </c>
      <c r="AF1774" t="s">
        <v>401</v>
      </c>
      <c r="AJ1774">
        <v>1</v>
      </c>
      <c r="AM1774" t="str">
        <f t="shared" si="203"/>
        <v>Zone_Entry_Exit</v>
      </c>
      <c r="AN1774" t="str">
        <f t="shared" si="204"/>
        <v>Zone_Entry</v>
      </c>
      <c r="AP1774" t="str">
        <f t="shared" si="205"/>
        <v>Offensive</v>
      </c>
      <c r="BB1774" s="23"/>
      <c r="BD1774" s="21"/>
      <c r="BE1774" s="21"/>
      <c r="BF1774" s="21"/>
      <c r="BG1774" s="21"/>
      <c r="BH1774" s="21"/>
      <c r="BI1774" s="21"/>
    </row>
    <row r="1775" spans="1:61" x14ac:dyDescent="0.2">
      <c r="A1775">
        <v>916</v>
      </c>
      <c r="B1775" t="s">
        <v>887</v>
      </c>
      <c r="C1775" t="str">
        <f t="shared" si="201"/>
        <v/>
      </c>
      <c r="D1775" t="str">
        <f t="shared" si="206"/>
        <v/>
      </c>
      <c r="H1775">
        <f t="shared" si="202"/>
        <v>2</v>
      </c>
      <c r="R1775">
        <v>9</v>
      </c>
      <c r="T1775" t="str">
        <f t="shared" si="200"/>
        <v>o</v>
      </c>
      <c r="AJ1775">
        <v>1</v>
      </c>
      <c r="AM1775" t="str">
        <f t="shared" si="203"/>
        <v>Zone_Entry_Exit</v>
      </c>
      <c r="AN1775" t="str">
        <f t="shared" si="204"/>
        <v>Zone_Entry</v>
      </c>
      <c r="AP1775" t="str">
        <f t="shared" si="205"/>
        <v>Defensive</v>
      </c>
      <c r="BB1775" s="23"/>
      <c r="BD1775" s="21"/>
      <c r="BE1775" s="21"/>
      <c r="BF1775" s="21"/>
      <c r="BG1775" s="21"/>
      <c r="BH1775" s="21"/>
      <c r="BI1775" s="21"/>
    </row>
    <row r="1776" spans="1:61" x14ac:dyDescent="0.2">
      <c r="A1776">
        <v>917</v>
      </c>
      <c r="B1776" t="s">
        <v>887</v>
      </c>
      <c r="C1776" t="str">
        <f t="shared" si="201"/>
        <v/>
      </c>
      <c r="D1776" t="str">
        <f t="shared" si="206"/>
        <v/>
      </c>
      <c r="H1776">
        <f t="shared" si="202"/>
        <v>2</v>
      </c>
      <c r="I1776" s="5" t="s">
        <v>897</v>
      </c>
      <c r="J1776" s="5" t="s">
        <v>773</v>
      </c>
      <c r="Q1776" t="s">
        <v>619</v>
      </c>
      <c r="R1776">
        <v>25</v>
      </c>
      <c r="S1776">
        <v>1</v>
      </c>
      <c r="T1776" t="str">
        <f t="shared" si="200"/>
        <v>e</v>
      </c>
      <c r="U1776" t="s">
        <v>7</v>
      </c>
      <c r="V1776" t="s">
        <v>208</v>
      </c>
      <c r="W1776" t="s">
        <v>53</v>
      </c>
      <c r="X1776" t="s">
        <v>705</v>
      </c>
      <c r="AF1776" t="s">
        <v>401</v>
      </c>
      <c r="AJ1776">
        <v>1</v>
      </c>
      <c r="AM1776" t="str">
        <f t="shared" si="203"/>
        <v>Shot</v>
      </c>
      <c r="AN1776" t="str">
        <f t="shared" si="204"/>
        <v>Shot_Blocked</v>
      </c>
      <c r="AP1776" t="str">
        <f t="shared" si="205"/>
        <v>Offensive</v>
      </c>
      <c r="BB1776" s="23"/>
      <c r="BD1776" s="21"/>
      <c r="BE1776" s="21"/>
      <c r="BF1776" s="21"/>
      <c r="BG1776" s="21"/>
      <c r="BH1776" s="21"/>
      <c r="BI1776" s="21"/>
    </row>
    <row r="1777" spans="1:61" x14ac:dyDescent="0.2">
      <c r="A1777">
        <v>917</v>
      </c>
      <c r="B1777" t="s">
        <v>887</v>
      </c>
      <c r="C1777" t="str">
        <f t="shared" si="201"/>
        <v/>
      </c>
      <c r="D1777" t="str">
        <f t="shared" si="206"/>
        <v/>
      </c>
      <c r="H1777">
        <f t="shared" si="202"/>
        <v>2</v>
      </c>
      <c r="R1777">
        <v>9</v>
      </c>
      <c r="T1777" t="str">
        <f t="shared" si="200"/>
        <v>o</v>
      </c>
      <c r="Y1777" t="s">
        <v>681</v>
      </c>
      <c r="AA1777" t="s">
        <v>706</v>
      </c>
      <c r="AJ1777">
        <v>1</v>
      </c>
      <c r="AM1777" t="str">
        <f t="shared" si="203"/>
        <v>Shot</v>
      </c>
      <c r="AN1777" t="str">
        <f t="shared" si="204"/>
        <v>Shot_Blocked</v>
      </c>
      <c r="AP1777" t="str">
        <f t="shared" si="205"/>
        <v>Defensive</v>
      </c>
      <c r="BB1777" s="23"/>
      <c r="BD1777" s="21"/>
      <c r="BE1777" s="21"/>
      <c r="BF1777" s="21"/>
      <c r="BG1777" s="21"/>
      <c r="BH1777" s="21"/>
      <c r="BI1777" s="21"/>
    </row>
    <row r="1778" spans="1:61" x14ac:dyDescent="0.2">
      <c r="A1778">
        <v>918</v>
      </c>
      <c r="B1778">
        <v>152</v>
      </c>
      <c r="C1778">
        <f t="shared" si="201"/>
        <v>9152</v>
      </c>
      <c r="D1778">
        <f t="shared" si="206"/>
        <v>9152</v>
      </c>
      <c r="H1778">
        <f t="shared" si="202"/>
        <v>2</v>
      </c>
      <c r="I1778" s="5" t="s">
        <v>897</v>
      </c>
      <c r="J1778" s="5" t="s">
        <v>639</v>
      </c>
      <c r="Q1778" t="s">
        <v>620</v>
      </c>
      <c r="R1778">
        <v>14</v>
      </c>
      <c r="S1778">
        <v>1</v>
      </c>
      <c r="T1778" t="str">
        <f t="shared" si="200"/>
        <v>e</v>
      </c>
      <c r="U1778" t="s">
        <v>15</v>
      </c>
      <c r="V1778" t="s">
        <v>697</v>
      </c>
      <c r="X1778" t="s">
        <v>706</v>
      </c>
      <c r="Y1778" t="s">
        <v>683</v>
      </c>
      <c r="AA1778" t="s">
        <v>706</v>
      </c>
      <c r="AF1778" t="s">
        <v>623</v>
      </c>
      <c r="AM1778" t="str">
        <f t="shared" si="203"/>
        <v>Possession</v>
      </c>
      <c r="AN1778" t="str">
        <f t="shared" si="204"/>
        <v>PuckRetrieval</v>
      </c>
      <c r="AP1778" t="str">
        <f t="shared" si="205"/>
        <v>Offensive</v>
      </c>
      <c r="BB1778" s="23"/>
      <c r="BD1778" s="21"/>
      <c r="BE1778" s="21"/>
      <c r="BF1778" s="21"/>
      <c r="BG1778" s="21"/>
      <c r="BH1778" s="21"/>
      <c r="BI1778" s="21"/>
    </row>
    <row r="1779" spans="1:61" x14ac:dyDescent="0.2">
      <c r="A1779">
        <v>919</v>
      </c>
      <c r="B1779">
        <v>152</v>
      </c>
      <c r="C1779">
        <f t="shared" si="201"/>
        <v>9152</v>
      </c>
      <c r="D1779">
        <f t="shared" si="206"/>
        <v>9152</v>
      </c>
      <c r="H1779">
        <f t="shared" si="202"/>
        <v>2</v>
      </c>
      <c r="I1779" s="5" t="s">
        <v>897</v>
      </c>
      <c r="J1779" s="5" t="s">
        <v>639</v>
      </c>
      <c r="Q1779" t="s">
        <v>620</v>
      </c>
      <c r="R1779">
        <v>14</v>
      </c>
      <c r="S1779">
        <v>1</v>
      </c>
      <c r="T1779" t="str">
        <f t="shared" si="200"/>
        <v>e</v>
      </c>
      <c r="U1779" t="s">
        <v>257</v>
      </c>
      <c r="V1779" t="s">
        <v>201</v>
      </c>
      <c r="W1779" t="s">
        <v>92</v>
      </c>
      <c r="X1779" t="s">
        <v>706</v>
      </c>
      <c r="AF1779" t="s">
        <v>623</v>
      </c>
      <c r="AM1779" t="str">
        <f t="shared" si="203"/>
        <v>Zone_Entry_Exit</v>
      </c>
      <c r="AN1779" t="str">
        <f t="shared" si="204"/>
        <v>Zone_Exit</v>
      </c>
      <c r="AP1779" t="str">
        <f t="shared" si="205"/>
        <v>Offensive</v>
      </c>
      <c r="BB1779" s="23"/>
      <c r="BD1779" s="21"/>
      <c r="BE1779" s="21"/>
      <c r="BF1779" s="21"/>
      <c r="BG1779" s="21"/>
      <c r="BH1779" s="21"/>
      <c r="BI1779" s="21"/>
    </row>
    <row r="1780" spans="1:61" x14ac:dyDescent="0.2">
      <c r="A1780">
        <v>920</v>
      </c>
      <c r="B1780" t="s">
        <v>887</v>
      </c>
      <c r="C1780" t="str">
        <f t="shared" si="201"/>
        <v/>
      </c>
      <c r="D1780" t="str">
        <f t="shared" si="206"/>
        <v/>
      </c>
      <c r="H1780">
        <f t="shared" si="202"/>
        <v>2</v>
      </c>
      <c r="I1780" s="5" t="s">
        <v>897</v>
      </c>
      <c r="J1780" s="5" t="s">
        <v>640</v>
      </c>
      <c r="K1780" s="5" t="s">
        <v>897</v>
      </c>
      <c r="L1780" s="7" t="s">
        <v>672</v>
      </c>
      <c r="Q1780" t="s">
        <v>620</v>
      </c>
      <c r="R1780">
        <v>42</v>
      </c>
      <c r="S1780">
        <v>1</v>
      </c>
      <c r="T1780" t="str">
        <f t="shared" si="200"/>
        <v>e</v>
      </c>
      <c r="U1780" t="s">
        <v>15</v>
      </c>
      <c r="V1780" t="s">
        <v>698</v>
      </c>
      <c r="X1780" t="s">
        <v>706</v>
      </c>
      <c r="Y1780" t="s">
        <v>858</v>
      </c>
      <c r="AA1780" t="s">
        <v>706</v>
      </c>
      <c r="AF1780" t="s">
        <v>635</v>
      </c>
      <c r="AJ1780">
        <v>1</v>
      </c>
      <c r="AM1780" t="str">
        <f t="shared" si="203"/>
        <v>Possession</v>
      </c>
      <c r="AN1780" t="str">
        <f t="shared" si="204"/>
        <v>PuckRecovery</v>
      </c>
      <c r="AP1780" t="str">
        <f t="shared" si="205"/>
        <v>Offensive</v>
      </c>
      <c r="BB1780" s="23"/>
      <c r="BD1780" s="21"/>
      <c r="BE1780" s="21"/>
      <c r="BF1780" s="21"/>
      <c r="BG1780" s="21"/>
      <c r="BH1780" s="21"/>
      <c r="BI1780" s="21"/>
    </row>
    <row r="1781" spans="1:61" x14ac:dyDescent="0.2">
      <c r="A1781">
        <v>920</v>
      </c>
      <c r="B1781" t="s">
        <v>887</v>
      </c>
      <c r="C1781" t="str">
        <f t="shared" si="201"/>
        <v/>
      </c>
      <c r="D1781" t="str">
        <f t="shared" si="206"/>
        <v/>
      </c>
      <c r="H1781">
        <f t="shared" si="202"/>
        <v>2</v>
      </c>
      <c r="R1781">
        <v>89</v>
      </c>
      <c r="T1781" t="str">
        <f t="shared" si="200"/>
        <v>o</v>
      </c>
      <c r="Y1781" t="s">
        <v>715</v>
      </c>
      <c r="AJ1781">
        <v>1</v>
      </c>
      <c r="AM1781" t="str">
        <f t="shared" si="203"/>
        <v>Possession</v>
      </c>
      <c r="AN1781" t="str">
        <f t="shared" si="204"/>
        <v>PuckRecovery</v>
      </c>
      <c r="AP1781" t="str">
        <f t="shared" si="205"/>
        <v>Defensive</v>
      </c>
      <c r="BB1781" s="23"/>
      <c r="BD1781" s="21"/>
      <c r="BE1781" s="21"/>
      <c r="BF1781" s="21"/>
      <c r="BG1781" s="21"/>
      <c r="BH1781" s="21"/>
      <c r="BI1781" s="21"/>
    </row>
    <row r="1782" spans="1:61" x14ac:dyDescent="0.2">
      <c r="A1782">
        <v>921</v>
      </c>
      <c r="B1782" t="s">
        <v>887</v>
      </c>
      <c r="C1782" t="str">
        <f t="shared" si="201"/>
        <v/>
      </c>
      <c r="D1782" t="str">
        <f t="shared" si="206"/>
        <v/>
      </c>
      <c r="H1782">
        <f t="shared" si="202"/>
        <v>2</v>
      </c>
      <c r="I1782" s="5" t="s">
        <v>897</v>
      </c>
      <c r="J1782" s="5" t="s">
        <v>672</v>
      </c>
      <c r="K1782" s="5" t="s">
        <v>897</v>
      </c>
      <c r="L1782" s="7" t="s">
        <v>713</v>
      </c>
      <c r="Q1782" t="s">
        <v>620</v>
      </c>
      <c r="R1782">
        <v>42</v>
      </c>
      <c r="S1782">
        <v>1</v>
      </c>
      <c r="T1782" t="str">
        <f t="shared" si="200"/>
        <v>e</v>
      </c>
      <c r="U1782" t="s">
        <v>257</v>
      </c>
      <c r="V1782" t="s">
        <v>191</v>
      </c>
      <c r="W1782" t="s">
        <v>87</v>
      </c>
      <c r="X1782" t="s">
        <v>706</v>
      </c>
      <c r="Y1782" t="s">
        <v>728</v>
      </c>
      <c r="AF1782" t="s">
        <v>401</v>
      </c>
      <c r="AJ1782">
        <v>1</v>
      </c>
      <c r="AM1782" t="str">
        <f t="shared" si="203"/>
        <v>Zone_Entry_Exit</v>
      </c>
      <c r="AN1782" t="str">
        <f t="shared" si="204"/>
        <v>Zone_Entry</v>
      </c>
      <c r="AP1782" t="str">
        <f t="shared" si="205"/>
        <v>Offensive</v>
      </c>
      <c r="BB1782" s="23"/>
      <c r="BD1782" s="21"/>
      <c r="BE1782" s="21"/>
      <c r="BF1782" s="21"/>
      <c r="BG1782" s="21"/>
      <c r="BH1782" s="21"/>
      <c r="BI1782" s="21"/>
    </row>
    <row r="1783" spans="1:61" x14ac:dyDescent="0.2">
      <c r="A1783">
        <v>921</v>
      </c>
      <c r="B1783" t="s">
        <v>887</v>
      </c>
      <c r="C1783" t="str">
        <f t="shared" si="201"/>
        <v/>
      </c>
      <c r="D1783" t="str">
        <f t="shared" si="206"/>
        <v/>
      </c>
      <c r="H1783">
        <f t="shared" si="202"/>
        <v>2</v>
      </c>
      <c r="R1783">
        <v>4</v>
      </c>
      <c r="T1783" t="str">
        <f t="shared" si="200"/>
        <v>o</v>
      </c>
      <c r="Y1783" t="s">
        <v>715</v>
      </c>
      <c r="AJ1783">
        <v>1</v>
      </c>
      <c r="AM1783" t="str">
        <f t="shared" si="203"/>
        <v>Zone_Entry_Exit</v>
      </c>
      <c r="AN1783" t="str">
        <f t="shared" si="204"/>
        <v>Zone_Entry</v>
      </c>
      <c r="AP1783" t="str">
        <f t="shared" si="205"/>
        <v>Defensive</v>
      </c>
      <c r="BB1783" s="23"/>
      <c r="BD1783" s="21"/>
      <c r="BE1783" s="21"/>
      <c r="BF1783" s="21"/>
      <c r="BG1783" s="21"/>
      <c r="BH1783" s="21"/>
      <c r="BI1783" s="21"/>
    </row>
    <row r="1784" spans="1:61" x14ac:dyDescent="0.2">
      <c r="A1784">
        <v>922</v>
      </c>
      <c r="B1784" t="s">
        <v>887</v>
      </c>
      <c r="C1784" t="str">
        <f t="shared" si="201"/>
        <v/>
      </c>
      <c r="D1784" t="str">
        <f t="shared" si="206"/>
        <v/>
      </c>
      <c r="H1784">
        <f t="shared" si="202"/>
        <v>2</v>
      </c>
      <c r="I1784" s="5" t="s">
        <v>897</v>
      </c>
      <c r="J1784" s="5" t="s">
        <v>713</v>
      </c>
      <c r="Q1784" t="s">
        <v>620</v>
      </c>
      <c r="R1784">
        <v>42</v>
      </c>
      <c r="S1784">
        <v>1</v>
      </c>
      <c r="T1784" t="str">
        <f t="shared" si="200"/>
        <v>e</v>
      </c>
      <c r="U1784" t="s">
        <v>8</v>
      </c>
      <c r="V1784" t="s">
        <v>189</v>
      </c>
      <c r="W1784" t="s">
        <v>69</v>
      </c>
      <c r="X1784" t="s">
        <v>706</v>
      </c>
      <c r="AF1784" t="s">
        <v>401</v>
      </c>
      <c r="AJ1784">
        <v>1</v>
      </c>
      <c r="AM1784" t="str">
        <f t="shared" si="203"/>
        <v>Pass</v>
      </c>
      <c r="AN1784" t="str">
        <f t="shared" si="204"/>
        <v>Pass_Completed</v>
      </c>
      <c r="AP1784" t="str">
        <f t="shared" si="205"/>
        <v>Offensive</v>
      </c>
      <c r="BB1784" s="23"/>
      <c r="BD1784" s="21"/>
      <c r="BE1784" s="21"/>
      <c r="BF1784" s="21"/>
      <c r="BG1784" s="21"/>
      <c r="BH1784" s="21"/>
      <c r="BI1784" s="21"/>
    </row>
    <row r="1785" spans="1:61" x14ac:dyDescent="0.2">
      <c r="A1785">
        <v>922</v>
      </c>
      <c r="B1785" t="s">
        <v>887</v>
      </c>
      <c r="C1785" t="str">
        <f t="shared" si="201"/>
        <v/>
      </c>
      <c r="D1785" t="str">
        <f t="shared" si="206"/>
        <v/>
      </c>
      <c r="H1785">
        <f t="shared" si="202"/>
        <v>2</v>
      </c>
      <c r="R1785">
        <v>14</v>
      </c>
      <c r="S1785">
        <v>1</v>
      </c>
      <c r="T1785" t="str">
        <f t="shared" si="200"/>
        <v>e</v>
      </c>
      <c r="AJ1785">
        <v>1</v>
      </c>
      <c r="AM1785" t="str">
        <f t="shared" si="203"/>
        <v>Pass</v>
      </c>
      <c r="AN1785" t="str">
        <f t="shared" si="204"/>
        <v>Pass_Completed</v>
      </c>
      <c r="AP1785" t="str">
        <f t="shared" si="205"/>
        <v>Offensive</v>
      </c>
      <c r="BB1785" s="23"/>
      <c r="BD1785" s="21"/>
      <c r="BE1785" s="21"/>
      <c r="BF1785" s="21"/>
      <c r="BG1785" s="21"/>
      <c r="BH1785" s="21"/>
      <c r="BI1785" s="21"/>
    </row>
    <row r="1786" spans="1:61" x14ac:dyDescent="0.2">
      <c r="A1786">
        <v>922</v>
      </c>
      <c r="B1786" t="s">
        <v>887</v>
      </c>
      <c r="C1786" t="str">
        <f t="shared" si="201"/>
        <v/>
      </c>
      <c r="D1786" t="str">
        <f t="shared" si="206"/>
        <v/>
      </c>
      <c r="H1786">
        <f t="shared" si="202"/>
        <v>2</v>
      </c>
      <c r="R1786">
        <v>4</v>
      </c>
      <c r="T1786" t="str">
        <f t="shared" si="200"/>
        <v>o</v>
      </c>
      <c r="AJ1786">
        <v>1</v>
      </c>
      <c r="AM1786" t="str">
        <f t="shared" si="203"/>
        <v>Pass</v>
      </c>
      <c r="AN1786" t="str">
        <f t="shared" si="204"/>
        <v>Pass_Completed</v>
      </c>
      <c r="AP1786" t="str">
        <f t="shared" si="205"/>
        <v>Defensive</v>
      </c>
      <c r="BB1786" s="23"/>
      <c r="BD1786" s="21"/>
      <c r="BE1786" s="21"/>
      <c r="BF1786" s="21"/>
      <c r="BG1786" s="21"/>
      <c r="BH1786" s="21"/>
      <c r="BI1786" s="21"/>
    </row>
    <row r="1787" spans="1:61" x14ac:dyDescent="0.2">
      <c r="A1787">
        <v>922</v>
      </c>
      <c r="B1787" t="s">
        <v>887</v>
      </c>
      <c r="C1787" t="str">
        <f t="shared" si="201"/>
        <v/>
      </c>
      <c r="D1787" t="str">
        <f t="shared" si="206"/>
        <v/>
      </c>
      <c r="H1787">
        <f t="shared" si="202"/>
        <v>2</v>
      </c>
      <c r="R1787">
        <v>89</v>
      </c>
      <c r="T1787" t="str">
        <f t="shared" si="200"/>
        <v>o</v>
      </c>
      <c r="AJ1787">
        <v>1</v>
      </c>
      <c r="AM1787" t="str">
        <f t="shared" si="203"/>
        <v>Pass</v>
      </c>
      <c r="AN1787" t="str">
        <f t="shared" si="204"/>
        <v>Pass_Completed</v>
      </c>
      <c r="AP1787" t="str">
        <f t="shared" si="205"/>
        <v>Defensive</v>
      </c>
      <c r="BB1787" s="23"/>
      <c r="BD1787" s="21"/>
      <c r="BE1787" s="21"/>
      <c r="BF1787" s="21"/>
      <c r="BG1787" s="21"/>
      <c r="BH1787" s="21"/>
      <c r="BI1787" s="21"/>
    </row>
    <row r="1788" spans="1:61" x14ac:dyDescent="0.2">
      <c r="A1788">
        <v>923</v>
      </c>
      <c r="B1788" t="s">
        <v>887</v>
      </c>
      <c r="C1788" t="str">
        <f t="shared" si="201"/>
        <v/>
      </c>
      <c r="D1788" t="str">
        <f t="shared" si="206"/>
        <v/>
      </c>
      <c r="H1788">
        <f t="shared" si="202"/>
        <v>2</v>
      </c>
      <c r="I1788" s="5" t="s">
        <v>897</v>
      </c>
      <c r="J1788" s="5" t="s">
        <v>713</v>
      </c>
      <c r="Q1788" t="s">
        <v>620</v>
      </c>
      <c r="R1788">
        <v>14</v>
      </c>
      <c r="S1788">
        <v>1</v>
      </c>
      <c r="T1788" t="str">
        <f t="shared" si="200"/>
        <v>e</v>
      </c>
      <c r="U1788" t="s">
        <v>8</v>
      </c>
      <c r="V1788" t="s">
        <v>189</v>
      </c>
      <c r="W1788" t="s">
        <v>69</v>
      </c>
      <c r="X1788" t="s">
        <v>706</v>
      </c>
      <c r="Y1788" t="s">
        <v>814</v>
      </c>
      <c r="AA1788" t="s">
        <v>706</v>
      </c>
      <c r="AF1788" t="s">
        <v>401</v>
      </c>
      <c r="AJ1788">
        <v>1</v>
      </c>
      <c r="AM1788" t="str">
        <f t="shared" si="203"/>
        <v>Pass</v>
      </c>
      <c r="AN1788" t="str">
        <f t="shared" si="204"/>
        <v>Pass_Completed</v>
      </c>
      <c r="AP1788" t="str">
        <f t="shared" si="205"/>
        <v>Offensive</v>
      </c>
      <c r="BB1788" s="23"/>
      <c r="BD1788" s="21"/>
      <c r="BE1788" s="21"/>
      <c r="BF1788" s="21"/>
      <c r="BG1788" s="21"/>
      <c r="BH1788" s="21"/>
      <c r="BI1788" s="21"/>
    </row>
    <row r="1789" spans="1:61" x14ac:dyDescent="0.2">
      <c r="A1789">
        <v>923</v>
      </c>
      <c r="B1789" t="s">
        <v>887</v>
      </c>
      <c r="C1789" t="str">
        <f t="shared" si="201"/>
        <v/>
      </c>
      <c r="D1789" t="str">
        <f t="shared" si="206"/>
        <v/>
      </c>
      <c r="H1789">
        <f t="shared" si="202"/>
        <v>2</v>
      </c>
      <c r="R1789">
        <v>61</v>
      </c>
      <c r="S1789">
        <v>1</v>
      </c>
      <c r="T1789" t="str">
        <f t="shared" si="200"/>
        <v>e</v>
      </c>
      <c r="AJ1789">
        <v>1</v>
      </c>
      <c r="AM1789" t="str">
        <f t="shared" si="203"/>
        <v>Pass</v>
      </c>
      <c r="AN1789" t="str">
        <f t="shared" si="204"/>
        <v>Pass_Completed</v>
      </c>
      <c r="AP1789" t="str">
        <f t="shared" si="205"/>
        <v>Offensive</v>
      </c>
      <c r="BB1789" s="23"/>
      <c r="BD1789" s="21"/>
      <c r="BE1789" s="21"/>
      <c r="BF1789" s="21"/>
      <c r="BG1789" s="21"/>
      <c r="BH1789" s="21"/>
      <c r="BI1789" s="21"/>
    </row>
    <row r="1790" spans="1:61" x14ac:dyDescent="0.2">
      <c r="A1790">
        <v>923</v>
      </c>
      <c r="B1790" t="s">
        <v>887</v>
      </c>
      <c r="C1790" t="str">
        <f t="shared" si="201"/>
        <v/>
      </c>
      <c r="D1790" t="str">
        <f t="shared" si="206"/>
        <v/>
      </c>
      <c r="H1790">
        <f t="shared" si="202"/>
        <v>2</v>
      </c>
      <c r="R1790">
        <v>4</v>
      </c>
      <c r="T1790" t="str">
        <f t="shared" si="200"/>
        <v>o</v>
      </c>
      <c r="AJ1790">
        <v>1</v>
      </c>
      <c r="AM1790" t="str">
        <f t="shared" si="203"/>
        <v>Pass</v>
      </c>
      <c r="AN1790" t="str">
        <f t="shared" si="204"/>
        <v>Pass_Completed</v>
      </c>
      <c r="AP1790" t="str">
        <f t="shared" si="205"/>
        <v>Defensive</v>
      </c>
      <c r="BB1790" s="23"/>
      <c r="BD1790" s="21"/>
      <c r="BE1790" s="21"/>
      <c r="BF1790" s="21"/>
      <c r="BG1790" s="21"/>
      <c r="BH1790" s="21"/>
      <c r="BI1790" s="21"/>
    </row>
    <row r="1791" spans="1:61" x14ac:dyDescent="0.2">
      <c r="A1791">
        <v>923</v>
      </c>
      <c r="B1791" t="s">
        <v>887</v>
      </c>
      <c r="C1791" t="str">
        <f t="shared" si="201"/>
        <v/>
      </c>
      <c r="D1791" t="str">
        <f t="shared" si="206"/>
        <v/>
      </c>
      <c r="H1791">
        <f t="shared" si="202"/>
        <v>2</v>
      </c>
      <c r="R1791">
        <v>89</v>
      </c>
      <c r="T1791" t="str">
        <f t="shared" si="200"/>
        <v>o</v>
      </c>
      <c r="AJ1791">
        <v>1</v>
      </c>
      <c r="AM1791" t="str">
        <f t="shared" si="203"/>
        <v>Pass</v>
      </c>
      <c r="AN1791" t="str">
        <f t="shared" si="204"/>
        <v>Pass_Completed</v>
      </c>
      <c r="AP1791" t="str">
        <f t="shared" si="205"/>
        <v>Defensive</v>
      </c>
      <c r="BB1791" s="23"/>
      <c r="BD1791" s="21"/>
      <c r="BE1791" s="21"/>
      <c r="BF1791" s="21"/>
      <c r="BG1791" s="21"/>
      <c r="BH1791" s="21"/>
      <c r="BI1791" s="21"/>
    </row>
    <row r="1792" spans="1:61" x14ac:dyDescent="0.2">
      <c r="A1792">
        <v>924</v>
      </c>
      <c r="B1792">
        <v>153</v>
      </c>
      <c r="C1792">
        <f t="shared" si="201"/>
        <v>9153</v>
      </c>
      <c r="D1792">
        <f t="shared" si="206"/>
        <v>9153</v>
      </c>
      <c r="H1792">
        <f t="shared" si="202"/>
        <v>2</v>
      </c>
      <c r="I1792" s="5" t="s">
        <v>897</v>
      </c>
      <c r="J1792" s="5" t="s">
        <v>716</v>
      </c>
      <c r="Q1792" t="s">
        <v>620</v>
      </c>
      <c r="R1792">
        <v>61</v>
      </c>
      <c r="S1792">
        <v>1</v>
      </c>
      <c r="T1792" t="str">
        <f t="shared" si="200"/>
        <v>e</v>
      </c>
      <c r="U1792" t="s">
        <v>7</v>
      </c>
      <c r="V1792" t="s">
        <v>222</v>
      </c>
      <c r="W1792" t="s">
        <v>59</v>
      </c>
      <c r="X1792" t="s">
        <v>706</v>
      </c>
      <c r="AF1792" t="s">
        <v>401</v>
      </c>
      <c r="AM1792" t="str">
        <f t="shared" si="203"/>
        <v>Shot</v>
      </c>
      <c r="AN1792" t="str">
        <f t="shared" si="204"/>
        <v>Shot_OnNetSaved</v>
      </c>
      <c r="AP1792" t="str">
        <f t="shared" si="205"/>
        <v>Offensive</v>
      </c>
      <c r="BB1792" s="23"/>
      <c r="BD1792" s="21"/>
      <c r="BE1792" s="21"/>
      <c r="BF1792" s="21"/>
      <c r="BG1792" s="21"/>
      <c r="BH1792" s="21"/>
      <c r="BI1792" s="21"/>
    </row>
    <row r="1793" spans="1:61" x14ac:dyDescent="0.2">
      <c r="A1793">
        <v>924</v>
      </c>
      <c r="B1793">
        <v>153</v>
      </c>
      <c r="C1793">
        <f t="shared" si="201"/>
        <v>9153</v>
      </c>
      <c r="D1793">
        <f t="shared" si="206"/>
        <v>9153</v>
      </c>
      <c r="H1793">
        <f t="shared" si="202"/>
        <v>2</v>
      </c>
      <c r="R1793">
        <v>30</v>
      </c>
      <c r="T1793" t="str">
        <f t="shared" si="200"/>
        <v>o</v>
      </c>
      <c r="AM1793" t="str">
        <f t="shared" si="203"/>
        <v>Shot</v>
      </c>
      <c r="AN1793" t="str">
        <f t="shared" si="204"/>
        <v>Shot_OnNetSaved</v>
      </c>
      <c r="AP1793" t="str">
        <f t="shared" si="205"/>
        <v>Defensive</v>
      </c>
      <c r="BB1793" s="23"/>
      <c r="BD1793" s="21"/>
      <c r="BE1793" s="21"/>
      <c r="BF1793" s="21"/>
      <c r="BG1793" s="21"/>
      <c r="BH1793" s="21"/>
      <c r="BI1793" s="21"/>
    </row>
    <row r="1794" spans="1:61" x14ac:dyDescent="0.2">
      <c r="A1794">
        <v>925</v>
      </c>
      <c r="B1794">
        <v>153</v>
      </c>
      <c r="C1794">
        <f t="shared" si="201"/>
        <v>9153</v>
      </c>
      <c r="D1794">
        <f t="shared" si="206"/>
        <v>9153</v>
      </c>
      <c r="H1794">
        <f t="shared" si="202"/>
        <v>2</v>
      </c>
      <c r="I1794" s="5" t="s">
        <v>897</v>
      </c>
      <c r="J1794" s="5" t="s">
        <v>716</v>
      </c>
      <c r="Q1794" t="s">
        <v>619</v>
      </c>
      <c r="R1794">
        <v>30</v>
      </c>
      <c r="S1794">
        <v>1</v>
      </c>
      <c r="T1794" t="str">
        <f t="shared" si="200"/>
        <v>e</v>
      </c>
      <c r="U1794" t="s">
        <v>17</v>
      </c>
      <c r="V1794" t="s">
        <v>196</v>
      </c>
      <c r="W1794" t="s">
        <v>98</v>
      </c>
      <c r="AF1794" t="s">
        <v>623</v>
      </c>
      <c r="AM1794" t="str">
        <f t="shared" si="203"/>
        <v>Save</v>
      </c>
      <c r="AN1794" t="str">
        <f t="shared" si="204"/>
        <v>Save_Rebound</v>
      </c>
      <c r="AP1794" t="str">
        <f t="shared" si="205"/>
        <v>Defensive</v>
      </c>
      <c r="BB1794" s="23"/>
      <c r="BD1794" s="21"/>
      <c r="BE1794" s="21"/>
      <c r="BF1794" s="21"/>
      <c r="BG1794" s="21"/>
      <c r="BH1794" s="21"/>
      <c r="BI1794" s="21"/>
    </row>
    <row r="1795" spans="1:61" x14ac:dyDescent="0.2">
      <c r="A1795">
        <v>925</v>
      </c>
      <c r="B1795">
        <v>153</v>
      </c>
      <c r="C1795">
        <f t="shared" si="201"/>
        <v>9153</v>
      </c>
      <c r="D1795">
        <f t="shared" si="206"/>
        <v>9153</v>
      </c>
      <c r="H1795">
        <f t="shared" si="202"/>
        <v>2</v>
      </c>
      <c r="R1795">
        <v>61</v>
      </c>
      <c r="T1795" t="str">
        <f t="shared" ref="T1795:T1858" si="207">IF(S1795="x","",IF(S1795=1,"e","o"))</f>
        <v>o</v>
      </c>
      <c r="AM1795" t="str">
        <f t="shared" si="203"/>
        <v>Save</v>
      </c>
      <c r="AN1795" t="str">
        <f t="shared" si="204"/>
        <v>Save_Rebound</v>
      </c>
      <c r="AP1795" t="str">
        <f t="shared" si="205"/>
        <v>Offensive</v>
      </c>
      <c r="BB1795" s="23"/>
      <c r="BD1795" s="21"/>
      <c r="BE1795" s="21"/>
      <c r="BF1795" s="21"/>
      <c r="BG1795" s="21"/>
      <c r="BH1795" s="21"/>
      <c r="BI1795" s="21"/>
    </row>
    <row r="1796" spans="1:61" x14ac:dyDescent="0.2">
      <c r="A1796">
        <v>926</v>
      </c>
      <c r="B1796">
        <v>153</v>
      </c>
      <c r="C1796">
        <f t="shared" ref="C1796:C1859" si="208">IF(B1796&lt;&gt;"",9000+B1796,"")</f>
        <v>9153</v>
      </c>
      <c r="D1796">
        <f t="shared" si="206"/>
        <v>9153</v>
      </c>
      <c r="H1796">
        <f t="shared" si="202"/>
        <v>2</v>
      </c>
      <c r="I1796" s="5" t="s">
        <v>897</v>
      </c>
      <c r="J1796" s="5" t="s">
        <v>790</v>
      </c>
      <c r="Q1796" t="s">
        <v>619</v>
      </c>
      <c r="R1796">
        <v>30</v>
      </c>
      <c r="S1796">
        <v>1</v>
      </c>
      <c r="T1796" t="str">
        <f t="shared" si="207"/>
        <v>e</v>
      </c>
      <c r="U1796" t="s">
        <v>250</v>
      </c>
      <c r="V1796" t="s">
        <v>251</v>
      </c>
      <c r="AF1796" t="s">
        <v>623</v>
      </c>
      <c r="AM1796" t="str">
        <f t="shared" si="203"/>
        <v>Rebound</v>
      </c>
      <c r="AN1796" t="str">
        <f t="shared" si="204"/>
        <v>Rebound_TeamRecovered</v>
      </c>
      <c r="AP1796" t="str">
        <f t="shared" si="205"/>
        <v>Offensive</v>
      </c>
      <c r="BB1796" s="23"/>
      <c r="BD1796" s="21"/>
      <c r="BE1796" s="21"/>
      <c r="BF1796" s="21"/>
      <c r="BG1796" s="21"/>
      <c r="BH1796" s="21"/>
      <c r="BI1796" s="21"/>
    </row>
    <row r="1797" spans="1:61" x14ac:dyDescent="0.2">
      <c r="A1797">
        <v>927</v>
      </c>
      <c r="B1797" t="s">
        <v>887</v>
      </c>
      <c r="C1797" t="str">
        <f t="shared" si="208"/>
        <v/>
      </c>
      <c r="D1797" t="str">
        <f t="shared" si="206"/>
        <v/>
      </c>
      <c r="H1797">
        <f t="shared" ref="H1797:H1860" si="209">IF(U1797="Intermission",H1796+1,H1796)</f>
        <v>2</v>
      </c>
      <c r="I1797" s="5" t="s">
        <v>897</v>
      </c>
      <c r="J1797" s="5" t="s">
        <v>776</v>
      </c>
      <c r="K1797" s="5" t="s">
        <v>897</v>
      </c>
      <c r="L1797" s="7" t="s">
        <v>778</v>
      </c>
      <c r="Q1797" t="s">
        <v>619</v>
      </c>
      <c r="R1797">
        <v>44</v>
      </c>
      <c r="S1797">
        <v>1</v>
      </c>
      <c r="T1797" t="str">
        <f t="shared" si="207"/>
        <v>e</v>
      </c>
      <c r="U1797" t="s">
        <v>15</v>
      </c>
      <c r="V1797" t="s">
        <v>698</v>
      </c>
      <c r="X1797" t="s">
        <v>706</v>
      </c>
      <c r="Y1797" t="s">
        <v>808</v>
      </c>
      <c r="AA1797" t="s">
        <v>706</v>
      </c>
      <c r="AF1797" t="s">
        <v>623</v>
      </c>
      <c r="AJ1797">
        <v>1</v>
      </c>
      <c r="AM1797" t="str">
        <f t="shared" ref="AM1797:AM1860" si="210">IF(U1797&lt;&gt;"",U1797,IF($A1797=$A1796,AM1796,""))</f>
        <v>Possession</v>
      </c>
      <c r="AN1797" t="str">
        <f t="shared" ref="AN1797:AN1860" si="211">IF(V1797&lt;&gt;"",V1797,IF($A1797=$A1796,AN1796,""))</f>
        <v>PuckRecovery</v>
      </c>
      <c r="AP1797" t="str">
        <f t="shared" si="205"/>
        <v>Offensive</v>
      </c>
      <c r="BB1797" s="23"/>
      <c r="BD1797" s="21"/>
      <c r="BE1797" s="21"/>
      <c r="BF1797" s="21"/>
      <c r="BG1797" s="21"/>
      <c r="BH1797" s="21"/>
      <c r="BI1797" s="21"/>
    </row>
    <row r="1798" spans="1:61" x14ac:dyDescent="0.2">
      <c r="A1798">
        <v>927</v>
      </c>
      <c r="B1798" t="s">
        <v>887</v>
      </c>
      <c r="C1798" t="str">
        <f t="shared" si="208"/>
        <v/>
      </c>
      <c r="D1798" t="str">
        <f t="shared" si="206"/>
        <v/>
      </c>
      <c r="H1798">
        <f t="shared" si="209"/>
        <v>2</v>
      </c>
      <c r="R1798">
        <v>61</v>
      </c>
      <c r="T1798" t="str">
        <f t="shared" si="207"/>
        <v>o</v>
      </c>
      <c r="AJ1798">
        <v>1</v>
      </c>
      <c r="AM1798" t="str">
        <f t="shared" si="210"/>
        <v>Possession</v>
      </c>
      <c r="AN1798" t="str">
        <f t="shared" si="211"/>
        <v>PuckRecovery</v>
      </c>
      <c r="AP1798" t="str">
        <f t="shared" ref="AP1798:AP1861" si="212">IF(AND(T1798="e",OR(AM1798="Save",AN1798="Turnover_Takeaway",AN1798="Play_Defensive")),"Defensive",IF(AND(T1798="o",OR(AM1798="Save",AN1798="Turnover_Takeaway",AN1798="Play_Defensive")),"Offensive",IF(OR(AM1798="Deadice",AM1798="Stoppage",AM1798="Intermission"),"",IF(T1798="e","Offensive",IF(T1798="o","Defensive","")))))</f>
        <v>Defensive</v>
      </c>
      <c r="BB1798" s="23"/>
      <c r="BD1798" s="21"/>
      <c r="BE1798" s="21"/>
      <c r="BF1798" s="21"/>
      <c r="BG1798" s="21"/>
      <c r="BH1798" s="21"/>
      <c r="BI1798" s="21"/>
    </row>
    <row r="1799" spans="1:61" x14ac:dyDescent="0.2">
      <c r="A1799">
        <v>928</v>
      </c>
      <c r="B1799">
        <v>154</v>
      </c>
      <c r="C1799">
        <f t="shared" si="208"/>
        <v>9154</v>
      </c>
      <c r="D1799">
        <f t="shared" si="206"/>
        <v>9154</v>
      </c>
      <c r="H1799">
        <f t="shared" si="209"/>
        <v>2</v>
      </c>
      <c r="I1799" s="5" t="s">
        <v>897</v>
      </c>
      <c r="J1799" s="5" t="s">
        <v>778</v>
      </c>
      <c r="Q1799" t="s">
        <v>619</v>
      </c>
      <c r="R1799">
        <v>44</v>
      </c>
      <c r="S1799">
        <v>1</v>
      </c>
      <c r="T1799" t="str">
        <f t="shared" si="207"/>
        <v>e</v>
      </c>
      <c r="U1799" t="s">
        <v>10</v>
      </c>
      <c r="V1799" t="s">
        <v>190</v>
      </c>
      <c r="W1799" t="s">
        <v>398</v>
      </c>
      <c r="X1799" t="s">
        <v>705</v>
      </c>
      <c r="Y1799" t="s">
        <v>746</v>
      </c>
      <c r="AA1799" t="s">
        <v>705</v>
      </c>
      <c r="AF1799" t="s">
        <v>623</v>
      </c>
      <c r="AJ1799">
        <v>1</v>
      </c>
      <c r="AM1799" t="str">
        <f t="shared" si="210"/>
        <v>Turnover</v>
      </c>
      <c r="AN1799" t="str">
        <f t="shared" si="211"/>
        <v>Turnover_Giveaway</v>
      </c>
      <c r="AP1799" t="str">
        <f t="shared" si="212"/>
        <v>Offensive</v>
      </c>
      <c r="BB1799" s="23"/>
      <c r="BD1799" s="21"/>
      <c r="BE1799" s="21"/>
      <c r="BF1799" s="21"/>
      <c r="BG1799" s="21"/>
      <c r="BH1799" s="21"/>
      <c r="BI1799" s="21"/>
    </row>
    <row r="1800" spans="1:61" x14ac:dyDescent="0.2">
      <c r="A1800">
        <v>928</v>
      </c>
      <c r="B1800">
        <v>154</v>
      </c>
      <c r="C1800">
        <f t="shared" si="208"/>
        <v>9154</v>
      </c>
      <c r="D1800">
        <f t="shared" si="206"/>
        <v>9154</v>
      </c>
      <c r="H1800">
        <f t="shared" si="209"/>
        <v>2</v>
      </c>
      <c r="R1800">
        <v>42</v>
      </c>
      <c r="T1800" t="str">
        <f t="shared" si="207"/>
        <v>o</v>
      </c>
      <c r="AJ1800">
        <v>1</v>
      </c>
      <c r="AM1800" t="str">
        <f t="shared" si="210"/>
        <v>Turnover</v>
      </c>
      <c r="AN1800" t="str">
        <f t="shared" si="211"/>
        <v>Turnover_Giveaway</v>
      </c>
      <c r="AP1800" t="str">
        <f t="shared" si="212"/>
        <v>Defensive</v>
      </c>
      <c r="BB1800" s="23"/>
      <c r="BD1800" s="21"/>
      <c r="BE1800" s="21"/>
      <c r="BF1800" s="21"/>
      <c r="BG1800" s="21"/>
      <c r="BH1800" s="21"/>
      <c r="BI1800" s="21"/>
    </row>
    <row r="1801" spans="1:61" x14ac:dyDescent="0.2">
      <c r="A1801">
        <v>929</v>
      </c>
      <c r="B1801">
        <v>154</v>
      </c>
      <c r="C1801">
        <f t="shared" si="208"/>
        <v>9154</v>
      </c>
      <c r="D1801">
        <f t="shared" ref="D1801:D1864" si="213">IF(C1801&lt;&gt;"",C1801,B1801)</f>
        <v>9154</v>
      </c>
      <c r="H1801">
        <f t="shared" si="209"/>
        <v>2</v>
      </c>
      <c r="I1801" s="5" t="s">
        <v>897</v>
      </c>
      <c r="J1801" s="5" t="s">
        <v>779</v>
      </c>
      <c r="Q1801" t="s">
        <v>620</v>
      </c>
      <c r="R1801">
        <v>22</v>
      </c>
      <c r="S1801">
        <v>1</v>
      </c>
      <c r="T1801" t="str">
        <f t="shared" si="207"/>
        <v>e</v>
      </c>
      <c r="U1801" t="s">
        <v>257</v>
      </c>
      <c r="V1801" t="s">
        <v>210</v>
      </c>
      <c r="W1801" t="s">
        <v>93</v>
      </c>
      <c r="X1801" t="s">
        <v>706</v>
      </c>
      <c r="AF1801" t="s">
        <v>401</v>
      </c>
      <c r="AJ1801">
        <v>1</v>
      </c>
      <c r="AM1801" t="str">
        <f t="shared" si="210"/>
        <v>Zone_Entry_Exit</v>
      </c>
      <c r="AN1801" t="str">
        <f t="shared" si="211"/>
        <v>Zone_Keepin</v>
      </c>
      <c r="AP1801" t="str">
        <f t="shared" si="212"/>
        <v>Offensive</v>
      </c>
      <c r="BB1801" s="23"/>
      <c r="BD1801" s="21"/>
      <c r="BE1801" s="21"/>
      <c r="BF1801" s="21"/>
      <c r="BG1801" s="21"/>
      <c r="BH1801" s="21"/>
      <c r="BI1801" s="21"/>
    </row>
    <row r="1802" spans="1:61" x14ac:dyDescent="0.2">
      <c r="A1802">
        <v>929</v>
      </c>
      <c r="B1802">
        <v>154</v>
      </c>
      <c r="C1802">
        <f t="shared" si="208"/>
        <v>9154</v>
      </c>
      <c r="D1802">
        <f t="shared" si="213"/>
        <v>9154</v>
      </c>
      <c r="H1802">
        <f t="shared" si="209"/>
        <v>2</v>
      </c>
      <c r="R1802">
        <v>80</v>
      </c>
      <c r="T1802" t="str">
        <f t="shared" si="207"/>
        <v>o</v>
      </c>
      <c r="AJ1802">
        <v>1</v>
      </c>
      <c r="AM1802" t="str">
        <f t="shared" si="210"/>
        <v>Zone_Entry_Exit</v>
      </c>
      <c r="AN1802" t="str">
        <f t="shared" si="211"/>
        <v>Zone_Keepin</v>
      </c>
      <c r="AP1802" t="str">
        <f t="shared" si="212"/>
        <v>Defensive</v>
      </c>
      <c r="BB1802" s="23"/>
      <c r="BD1802" s="21"/>
      <c r="BE1802" s="21"/>
      <c r="BF1802" s="21"/>
      <c r="BG1802" s="21"/>
      <c r="BH1802" s="21"/>
      <c r="BI1802" s="21"/>
    </row>
    <row r="1803" spans="1:61" x14ac:dyDescent="0.2">
      <c r="A1803">
        <v>930</v>
      </c>
      <c r="B1803" t="s">
        <v>887</v>
      </c>
      <c r="C1803" t="str">
        <f t="shared" si="208"/>
        <v/>
      </c>
      <c r="D1803" t="str">
        <f t="shared" si="213"/>
        <v/>
      </c>
      <c r="H1803">
        <f t="shared" si="209"/>
        <v>2</v>
      </c>
      <c r="I1803" s="5" t="s">
        <v>897</v>
      </c>
      <c r="J1803" s="5" t="s">
        <v>779</v>
      </c>
      <c r="K1803" s="5" t="s">
        <v>897</v>
      </c>
      <c r="L1803" s="7" t="s">
        <v>721</v>
      </c>
      <c r="Q1803" t="s">
        <v>620</v>
      </c>
      <c r="R1803">
        <v>22</v>
      </c>
      <c r="S1803">
        <v>1</v>
      </c>
      <c r="T1803" t="str">
        <f t="shared" si="207"/>
        <v>e</v>
      </c>
      <c r="U1803" t="s">
        <v>15</v>
      </c>
      <c r="Y1803" t="s">
        <v>677</v>
      </c>
      <c r="AF1803" t="s">
        <v>401</v>
      </c>
      <c r="AM1803" t="str">
        <f t="shared" si="210"/>
        <v>Possession</v>
      </c>
      <c r="AN1803" t="str">
        <f t="shared" si="211"/>
        <v/>
      </c>
      <c r="AP1803" t="str">
        <f t="shared" si="212"/>
        <v>Offensive</v>
      </c>
      <c r="BB1803" s="23"/>
      <c r="BD1803" s="21"/>
      <c r="BE1803" s="21"/>
      <c r="BF1803" s="21"/>
      <c r="BG1803" s="21"/>
      <c r="BH1803" s="21"/>
      <c r="BI1803" s="21"/>
    </row>
    <row r="1804" spans="1:61" x14ac:dyDescent="0.2">
      <c r="A1804">
        <v>931</v>
      </c>
      <c r="B1804">
        <v>155</v>
      </c>
      <c r="C1804">
        <f t="shared" si="208"/>
        <v>9155</v>
      </c>
      <c r="D1804">
        <f t="shared" si="213"/>
        <v>9155</v>
      </c>
      <c r="H1804">
        <f t="shared" si="209"/>
        <v>2</v>
      </c>
      <c r="I1804" s="5" t="s">
        <v>897</v>
      </c>
      <c r="J1804" s="5" t="s">
        <v>779</v>
      </c>
      <c r="Q1804" t="s">
        <v>620</v>
      </c>
      <c r="R1804">
        <v>22</v>
      </c>
      <c r="S1804">
        <v>1</v>
      </c>
      <c r="T1804" t="str">
        <f t="shared" si="207"/>
        <v>e</v>
      </c>
      <c r="U1804" t="s">
        <v>7</v>
      </c>
      <c r="V1804" t="s">
        <v>222</v>
      </c>
      <c r="W1804" t="s">
        <v>53</v>
      </c>
      <c r="X1804" t="s">
        <v>706</v>
      </c>
      <c r="AF1804" t="s">
        <v>401</v>
      </c>
      <c r="AJ1804">
        <v>1</v>
      </c>
      <c r="AM1804" t="str">
        <f t="shared" si="210"/>
        <v>Shot</v>
      </c>
      <c r="AN1804" t="str">
        <f t="shared" si="211"/>
        <v>Shot_OnNetSaved</v>
      </c>
      <c r="AP1804" t="str">
        <f t="shared" si="212"/>
        <v>Offensive</v>
      </c>
      <c r="BB1804" s="23"/>
      <c r="BD1804" s="21"/>
      <c r="BE1804" s="21"/>
      <c r="BF1804" s="21"/>
      <c r="BG1804" s="21"/>
      <c r="BH1804" s="21"/>
      <c r="BI1804" s="21"/>
    </row>
    <row r="1805" spans="1:61" x14ac:dyDescent="0.2">
      <c r="A1805">
        <v>931</v>
      </c>
      <c r="B1805">
        <v>155</v>
      </c>
      <c r="C1805">
        <f t="shared" si="208"/>
        <v>9155</v>
      </c>
      <c r="D1805">
        <f t="shared" si="213"/>
        <v>9155</v>
      </c>
      <c r="H1805">
        <f t="shared" si="209"/>
        <v>2</v>
      </c>
      <c r="R1805">
        <v>30</v>
      </c>
      <c r="T1805" t="str">
        <f t="shared" si="207"/>
        <v>o</v>
      </c>
      <c r="AM1805" t="str">
        <f t="shared" si="210"/>
        <v>Shot</v>
      </c>
      <c r="AN1805" t="str">
        <f t="shared" si="211"/>
        <v>Shot_OnNetSaved</v>
      </c>
      <c r="AP1805" t="str">
        <f t="shared" si="212"/>
        <v>Defensive</v>
      </c>
      <c r="BB1805" s="23"/>
      <c r="BD1805" s="21"/>
      <c r="BE1805" s="21"/>
      <c r="BF1805" s="21"/>
      <c r="BG1805" s="21"/>
      <c r="BH1805" s="21"/>
      <c r="BI1805" s="21"/>
    </row>
    <row r="1806" spans="1:61" x14ac:dyDescent="0.2">
      <c r="A1806">
        <v>931</v>
      </c>
      <c r="B1806">
        <v>155</v>
      </c>
      <c r="C1806">
        <f t="shared" si="208"/>
        <v>9155</v>
      </c>
      <c r="D1806">
        <f t="shared" si="213"/>
        <v>9155</v>
      </c>
      <c r="H1806">
        <f t="shared" si="209"/>
        <v>2</v>
      </c>
      <c r="R1806">
        <v>4</v>
      </c>
      <c r="T1806" t="str">
        <f t="shared" si="207"/>
        <v>o</v>
      </c>
      <c r="Y1806" t="s">
        <v>722</v>
      </c>
      <c r="AJ1806">
        <v>1</v>
      </c>
      <c r="AM1806" t="str">
        <f t="shared" si="210"/>
        <v>Shot</v>
      </c>
      <c r="AN1806" t="str">
        <f t="shared" si="211"/>
        <v>Shot_OnNetSaved</v>
      </c>
      <c r="AP1806" t="str">
        <f t="shared" si="212"/>
        <v>Defensive</v>
      </c>
      <c r="BB1806" s="23"/>
      <c r="BD1806" s="21"/>
      <c r="BE1806" s="21"/>
      <c r="BF1806" s="21"/>
      <c r="BG1806" s="21"/>
      <c r="BH1806" s="21"/>
      <c r="BI1806" s="21"/>
    </row>
    <row r="1807" spans="1:61" x14ac:dyDescent="0.2">
      <c r="A1807">
        <v>932</v>
      </c>
      <c r="B1807">
        <v>155</v>
      </c>
      <c r="C1807">
        <f t="shared" si="208"/>
        <v>9155</v>
      </c>
      <c r="D1807">
        <f t="shared" si="213"/>
        <v>9155</v>
      </c>
      <c r="H1807">
        <f t="shared" si="209"/>
        <v>2</v>
      </c>
      <c r="I1807" s="5" t="s">
        <v>897</v>
      </c>
      <c r="J1807" s="5" t="s">
        <v>779</v>
      </c>
      <c r="Q1807" t="s">
        <v>619</v>
      </c>
      <c r="R1807">
        <v>30</v>
      </c>
      <c r="S1807">
        <v>1</v>
      </c>
      <c r="T1807" t="str">
        <f t="shared" si="207"/>
        <v>e</v>
      </c>
      <c r="U1807" t="s">
        <v>17</v>
      </c>
      <c r="V1807" t="s">
        <v>196</v>
      </c>
      <c r="W1807" t="s">
        <v>99</v>
      </c>
      <c r="AF1807" t="s">
        <v>623</v>
      </c>
      <c r="AM1807" t="str">
        <f t="shared" si="210"/>
        <v>Save</v>
      </c>
      <c r="AN1807" t="str">
        <f t="shared" si="211"/>
        <v>Save_Rebound</v>
      </c>
      <c r="AP1807" t="str">
        <f t="shared" si="212"/>
        <v>Defensive</v>
      </c>
      <c r="BB1807" s="23"/>
      <c r="BD1807" s="21"/>
      <c r="BE1807" s="21"/>
      <c r="BF1807" s="21"/>
      <c r="BG1807" s="21"/>
      <c r="BH1807" s="21"/>
      <c r="BI1807" s="21"/>
    </row>
    <row r="1808" spans="1:61" x14ac:dyDescent="0.2">
      <c r="A1808">
        <v>932</v>
      </c>
      <c r="B1808">
        <v>155</v>
      </c>
      <c r="C1808">
        <f t="shared" si="208"/>
        <v>9155</v>
      </c>
      <c r="D1808">
        <f t="shared" si="213"/>
        <v>9155</v>
      </c>
      <c r="H1808">
        <f t="shared" si="209"/>
        <v>2</v>
      </c>
      <c r="R1808">
        <v>4</v>
      </c>
      <c r="S1808">
        <v>1</v>
      </c>
      <c r="T1808" t="str">
        <f t="shared" si="207"/>
        <v>e</v>
      </c>
      <c r="Y1808" t="s">
        <v>722</v>
      </c>
      <c r="AM1808" t="str">
        <f t="shared" si="210"/>
        <v>Save</v>
      </c>
      <c r="AN1808" t="str">
        <f t="shared" si="211"/>
        <v>Save_Rebound</v>
      </c>
      <c r="AP1808" t="str">
        <f t="shared" si="212"/>
        <v>Defensive</v>
      </c>
      <c r="BB1808" s="23"/>
      <c r="BD1808" s="21"/>
      <c r="BE1808" s="21"/>
      <c r="BF1808" s="21"/>
      <c r="BG1808" s="21"/>
      <c r="BH1808" s="21"/>
      <c r="BI1808" s="21"/>
    </row>
    <row r="1809" spans="1:61" x14ac:dyDescent="0.2">
      <c r="A1809">
        <v>932</v>
      </c>
      <c r="B1809">
        <v>155</v>
      </c>
      <c r="C1809">
        <f t="shared" si="208"/>
        <v>9155</v>
      </c>
      <c r="D1809">
        <f t="shared" si="213"/>
        <v>9155</v>
      </c>
      <c r="H1809">
        <f t="shared" si="209"/>
        <v>2</v>
      </c>
      <c r="R1809">
        <v>22</v>
      </c>
      <c r="T1809" t="str">
        <f t="shared" si="207"/>
        <v>o</v>
      </c>
      <c r="AM1809" t="str">
        <f t="shared" si="210"/>
        <v>Save</v>
      </c>
      <c r="AN1809" t="str">
        <f t="shared" si="211"/>
        <v>Save_Rebound</v>
      </c>
      <c r="AP1809" t="str">
        <f t="shared" si="212"/>
        <v>Offensive</v>
      </c>
      <c r="BB1809" s="23"/>
      <c r="BD1809" s="21"/>
      <c r="BE1809" s="21"/>
      <c r="BF1809" s="21"/>
      <c r="BG1809" s="21"/>
      <c r="BH1809" s="21"/>
      <c r="BI1809" s="21"/>
    </row>
    <row r="1810" spans="1:61" x14ac:dyDescent="0.2">
      <c r="A1810">
        <v>933</v>
      </c>
      <c r="B1810">
        <v>155</v>
      </c>
      <c r="C1810">
        <f t="shared" si="208"/>
        <v>9155</v>
      </c>
      <c r="D1810">
        <f t="shared" si="213"/>
        <v>9155</v>
      </c>
      <c r="H1810">
        <f t="shared" si="209"/>
        <v>2</v>
      </c>
      <c r="I1810" s="5" t="s">
        <v>897</v>
      </c>
      <c r="J1810" s="5" t="s">
        <v>779</v>
      </c>
      <c r="Q1810" t="s">
        <v>619</v>
      </c>
      <c r="R1810">
        <v>30</v>
      </c>
      <c r="S1810">
        <v>1</v>
      </c>
      <c r="T1810" t="str">
        <f t="shared" si="207"/>
        <v>e</v>
      </c>
      <c r="U1810" t="s">
        <v>250</v>
      </c>
      <c r="V1810" t="s">
        <v>251</v>
      </c>
      <c r="AF1810" t="s">
        <v>623</v>
      </c>
      <c r="AM1810" t="str">
        <f t="shared" si="210"/>
        <v>Rebound</v>
      </c>
      <c r="AN1810" t="str">
        <f t="shared" si="211"/>
        <v>Rebound_TeamRecovered</v>
      </c>
      <c r="AP1810" t="str">
        <f t="shared" si="212"/>
        <v>Offensive</v>
      </c>
      <c r="BB1810" s="23"/>
      <c r="BD1810" s="21"/>
      <c r="BE1810" s="21"/>
      <c r="BF1810" s="21"/>
      <c r="BG1810" s="21"/>
      <c r="BH1810" s="21"/>
      <c r="BI1810" s="21"/>
    </row>
    <row r="1811" spans="1:61" x14ac:dyDescent="0.2">
      <c r="A1811">
        <v>934</v>
      </c>
      <c r="B1811" t="s">
        <v>887</v>
      </c>
      <c r="C1811" t="str">
        <f t="shared" si="208"/>
        <v/>
      </c>
      <c r="D1811" t="str">
        <f t="shared" si="213"/>
        <v/>
      </c>
      <c r="H1811">
        <f t="shared" si="209"/>
        <v>2</v>
      </c>
      <c r="I1811" s="5" t="s">
        <v>897</v>
      </c>
      <c r="J1811" s="5" t="s">
        <v>780</v>
      </c>
      <c r="K1811" s="5" t="s">
        <v>897</v>
      </c>
      <c r="L1811" s="7" t="s">
        <v>727</v>
      </c>
      <c r="Q1811" t="s">
        <v>619</v>
      </c>
      <c r="R1811">
        <v>4</v>
      </c>
      <c r="S1811">
        <v>1</v>
      </c>
      <c r="T1811" t="str">
        <f t="shared" si="207"/>
        <v>e</v>
      </c>
      <c r="U1811" t="s">
        <v>15</v>
      </c>
      <c r="V1811" t="s">
        <v>697</v>
      </c>
      <c r="X1811" t="s">
        <v>706</v>
      </c>
      <c r="Y1811" t="s">
        <v>857</v>
      </c>
      <c r="AA1811" t="s">
        <v>706</v>
      </c>
      <c r="AF1811" t="s">
        <v>623</v>
      </c>
      <c r="AM1811" t="str">
        <f t="shared" si="210"/>
        <v>Possession</v>
      </c>
      <c r="AN1811" t="str">
        <f t="shared" si="211"/>
        <v>PuckRetrieval</v>
      </c>
      <c r="AP1811" t="str">
        <f t="shared" si="212"/>
        <v>Offensive</v>
      </c>
      <c r="BB1811" s="23"/>
      <c r="BD1811" s="21"/>
      <c r="BE1811" s="21"/>
      <c r="BF1811" s="21"/>
      <c r="BG1811" s="21"/>
      <c r="BH1811" s="21"/>
      <c r="BI1811" s="21"/>
    </row>
    <row r="1812" spans="1:61" x14ac:dyDescent="0.2">
      <c r="A1812">
        <v>935</v>
      </c>
      <c r="B1812">
        <v>156</v>
      </c>
      <c r="C1812">
        <f t="shared" si="208"/>
        <v>9156</v>
      </c>
      <c r="D1812">
        <f t="shared" si="213"/>
        <v>9156</v>
      </c>
      <c r="H1812">
        <f t="shared" si="209"/>
        <v>2</v>
      </c>
      <c r="I1812" s="5" t="s">
        <v>897</v>
      </c>
      <c r="J1812" s="5" t="s">
        <v>727</v>
      </c>
      <c r="Q1812" t="s">
        <v>619</v>
      </c>
      <c r="R1812">
        <v>4</v>
      </c>
      <c r="S1812">
        <v>1</v>
      </c>
      <c r="T1812" t="str">
        <f t="shared" si="207"/>
        <v>e</v>
      </c>
      <c r="U1812" t="s">
        <v>8</v>
      </c>
      <c r="V1812" t="s">
        <v>189</v>
      </c>
      <c r="W1812" t="s">
        <v>67</v>
      </c>
      <c r="X1812" t="s">
        <v>706</v>
      </c>
      <c r="Y1812" t="s">
        <v>678</v>
      </c>
      <c r="AA1812" t="s">
        <v>706</v>
      </c>
      <c r="AF1812" t="s">
        <v>623</v>
      </c>
      <c r="AM1812" t="str">
        <f t="shared" si="210"/>
        <v>Pass</v>
      </c>
      <c r="AN1812" t="str">
        <f t="shared" si="211"/>
        <v>Pass_Completed</v>
      </c>
      <c r="AP1812" t="str">
        <f t="shared" si="212"/>
        <v>Offensive</v>
      </c>
      <c r="BB1812" s="23"/>
      <c r="BD1812" s="21"/>
      <c r="BE1812" s="21"/>
      <c r="BF1812" s="21"/>
      <c r="BG1812" s="21"/>
      <c r="BH1812" s="21"/>
      <c r="BI1812" s="21"/>
    </row>
    <row r="1813" spans="1:61" x14ac:dyDescent="0.2">
      <c r="A1813">
        <v>935</v>
      </c>
      <c r="B1813">
        <v>156</v>
      </c>
      <c r="C1813">
        <f t="shared" si="208"/>
        <v>9156</v>
      </c>
      <c r="D1813">
        <f t="shared" si="213"/>
        <v>9156</v>
      </c>
      <c r="H1813">
        <f t="shared" si="209"/>
        <v>2</v>
      </c>
      <c r="R1813">
        <v>77</v>
      </c>
      <c r="S1813">
        <v>1</v>
      </c>
      <c r="T1813" t="str">
        <f t="shared" si="207"/>
        <v>e</v>
      </c>
      <c r="AM1813" t="str">
        <f t="shared" si="210"/>
        <v>Pass</v>
      </c>
      <c r="AN1813" t="str">
        <f t="shared" si="211"/>
        <v>Pass_Completed</v>
      </c>
      <c r="AP1813" t="str">
        <f t="shared" si="212"/>
        <v>Offensive</v>
      </c>
      <c r="BB1813" s="23"/>
      <c r="BD1813" s="21"/>
      <c r="BE1813" s="21"/>
      <c r="BF1813" s="21"/>
      <c r="BG1813" s="21"/>
      <c r="BH1813" s="21"/>
      <c r="BI1813" s="21"/>
    </row>
    <row r="1814" spans="1:61" x14ac:dyDescent="0.2">
      <c r="A1814">
        <v>936</v>
      </c>
      <c r="B1814">
        <v>156</v>
      </c>
      <c r="C1814">
        <f t="shared" si="208"/>
        <v>9156</v>
      </c>
      <c r="D1814">
        <f t="shared" si="213"/>
        <v>9156</v>
      </c>
      <c r="H1814">
        <f t="shared" si="209"/>
        <v>2</v>
      </c>
      <c r="I1814" s="5" t="s">
        <v>897</v>
      </c>
      <c r="J1814" s="5" t="s">
        <v>727</v>
      </c>
      <c r="Q1814" t="s">
        <v>619</v>
      </c>
      <c r="R1814">
        <v>4</v>
      </c>
      <c r="S1814">
        <v>1</v>
      </c>
      <c r="T1814" t="str">
        <f t="shared" si="207"/>
        <v>e</v>
      </c>
      <c r="U1814" t="s">
        <v>257</v>
      </c>
      <c r="V1814" t="s">
        <v>201</v>
      </c>
      <c r="W1814" t="s">
        <v>91</v>
      </c>
      <c r="X1814" t="s">
        <v>706</v>
      </c>
      <c r="AF1814" t="s">
        <v>623</v>
      </c>
      <c r="AM1814" t="str">
        <f t="shared" si="210"/>
        <v>Zone_Entry_Exit</v>
      </c>
      <c r="AN1814" t="str">
        <f t="shared" si="211"/>
        <v>Zone_Exit</v>
      </c>
      <c r="AP1814" t="str">
        <f t="shared" si="212"/>
        <v>Offensive</v>
      </c>
      <c r="BB1814" s="23"/>
      <c r="BD1814" s="21"/>
      <c r="BE1814" s="21"/>
      <c r="BF1814" s="21"/>
      <c r="BG1814" s="21"/>
      <c r="BH1814" s="21"/>
      <c r="BI1814" s="21"/>
    </row>
    <row r="1815" spans="1:61" x14ac:dyDescent="0.2">
      <c r="A1815">
        <v>936</v>
      </c>
      <c r="B1815">
        <v>156</v>
      </c>
      <c r="C1815">
        <f t="shared" si="208"/>
        <v>9156</v>
      </c>
      <c r="D1815">
        <f t="shared" si="213"/>
        <v>9156</v>
      </c>
      <c r="H1815">
        <f t="shared" si="209"/>
        <v>2</v>
      </c>
      <c r="R1815">
        <v>77</v>
      </c>
      <c r="S1815">
        <v>1</v>
      </c>
      <c r="T1815" t="str">
        <f t="shared" si="207"/>
        <v>e</v>
      </c>
      <c r="AM1815" t="str">
        <f t="shared" si="210"/>
        <v>Zone_Entry_Exit</v>
      </c>
      <c r="AN1815" t="str">
        <f t="shared" si="211"/>
        <v>Zone_Exit</v>
      </c>
      <c r="AP1815" t="str">
        <f t="shared" si="212"/>
        <v>Offensive</v>
      </c>
      <c r="BB1815" s="23"/>
      <c r="BD1815" s="21"/>
      <c r="BE1815" s="21"/>
      <c r="BF1815" s="21"/>
      <c r="BG1815" s="21"/>
      <c r="BH1815" s="21"/>
      <c r="BI1815" s="21"/>
    </row>
    <row r="1816" spans="1:61" x14ac:dyDescent="0.2">
      <c r="A1816">
        <v>937</v>
      </c>
      <c r="B1816" t="s">
        <v>887</v>
      </c>
      <c r="C1816" t="str">
        <f t="shared" si="208"/>
        <v/>
      </c>
      <c r="D1816" t="str">
        <f t="shared" si="213"/>
        <v/>
      </c>
      <c r="H1816">
        <f t="shared" si="209"/>
        <v>2</v>
      </c>
      <c r="I1816" s="5" t="s">
        <v>897</v>
      </c>
      <c r="J1816" s="5" t="s">
        <v>730</v>
      </c>
      <c r="Q1816" t="s">
        <v>619</v>
      </c>
      <c r="R1816">
        <v>77</v>
      </c>
      <c r="S1816">
        <v>1</v>
      </c>
      <c r="T1816" t="str">
        <f t="shared" si="207"/>
        <v>e</v>
      </c>
      <c r="U1816" t="s">
        <v>257</v>
      </c>
      <c r="V1816" t="s">
        <v>191</v>
      </c>
      <c r="W1816" t="s">
        <v>87</v>
      </c>
      <c r="X1816" t="s">
        <v>706</v>
      </c>
      <c r="AF1816" t="s">
        <v>635</v>
      </c>
      <c r="AM1816" t="str">
        <f t="shared" si="210"/>
        <v>Zone_Entry_Exit</v>
      </c>
      <c r="AN1816" t="str">
        <f t="shared" si="211"/>
        <v>Zone_Entry</v>
      </c>
      <c r="AP1816" t="str">
        <f t="shared" si="212"/>
        <v>Offensive</v>
      </c>
      <c r="BB1816" s="23"/>
      <c r="BD1816" s="21"/>
      <c r="BE1816" s="21"/>
      <c r="BF1816" s="21"/>
      <c r="BG1816" s="21"/>
      <c r="BH1816" s="21"/>
      <c r="BI1816" s="21"/>
    </row>
    <row r="1817" spans="1:61" x14ac:dyDescent="0.2">
      <c r="A1817">
        <v>938</v>
      </c>
      <c r="B1817" t="s">
        <v>887</v>
      </c>
      <c r="C1817" t="str">
        <f t="shared" si="208"/>
        <v/>
      </c>
      <c r="D1817" t="str">
        <f t="shared" si="213"/>
        <v/>
      </c>
      <c r="H1817">
        <f t="shared" si="209"/>
        <v>2</v>
      </c>
      <c r="I1817" s="5" t="s">
        <v>897</v>
      </c>
      <c r="J1817" s="5" t="s">
        <v>730</v>
      </c>
      <c r="K1817" s="5" t="s">
        <v>897</v>
      </c>
      <c r="L1817" s="7" t="s">
        <v>760</v>
      </c>
      <c r="Q1817" t="s">
        <v>619</v>
      </c>
      <c r="R1817">
        <v>77</v>
      </c>
      <c r="S1817">
        <v>1</v>
      </c>
      <c r="T1817" t="str">
        <f t="shared" si="207"/>
        <v>e</v>
      </c>
      <c r="U1817" t="s">
        <v>15</v>
      </c>
      <c r="V1817" t="s">
        <v>453</v>
      </c>
      <c r="AF1817" t="s">
        <v>401</v>
      </c>
      <c r="AM1817" t="str">
        <f t="shared" si="210"/>
        <v>Possession</v>
      </c>
      <c r="AN1817" t="str">
        <f t="shared" si="211"/>
        <v>Breakaway</v>
      </c>
      <c r="AP1817" t="str">
        <f t="shared" si="212"/>
        <v>Offensive</v>
      </c>
      <c r="BB1817" s="23"/>
      <c r="BD1817" s="21"/>
      <c r="BE1817" s="21"/>
      <c r="BF1817" s="21"/>
      <c r="BG1817" s="21"/>
      <c r="BH1817" s="21"/>
      <c r="BI1817" s="21"/>
    </row>
    <row r="1818" spans="1:61" x14ac:dyDescent="0.2">
      <c r="A1818">
        <v>938</v>
      </c>
      <c r="B1818" t="s">
        <v>887</v>
      </c>
      <c r="C1818" t="str">
        <f t="shared" si="208"/>
        <v/>
      </c>
      <c r="D1818" t="str">
        <f t="shared" si="213"/>
        <v/>
      </c>
      <c r="H1818">
        <f t="shared" si="209"/>
        <v>2</v>
      </c>
      <c r="R1818">
        <v>9</v>
      </c>
      <c r="T1818" t="str">
        <f t="shared" si="207"/>
        <v>o</v>
      </c>
      <c r="Y1818" t="s">
        <v>824</v>
      </c>
      <c r="AM1818" t="str">
        <f t="shared" si="210"/>
        <v>Possession</v>
      </c>
      <c r="AN1818" t="str">
        <f t="shared" si="211"/>
        <v>Breakaway</v>
      </c>
      <c r="AP1818" t="str">
        <f t="shared" si="212"/>
        <v>Defensive</v>
      </c>
      <c r="BB1818" s="23"/>
      <c r="BD1818" s="21"/>
      <c r="BE1818" s="21"/>
      <c r="BF1818" s="21"/>
      <c r="BG1818" s="21"/>
      <c r="BH1818" s="21"/>
      <c r="BI1818" s="21"/>
    </row>
    <row r="1819" spans="1:61" x14ac:dyDescent="0.2">
      <c r="A1819">
        <v>939</v>
      </c>
      <c r="B1819">
        <v>157</v>
      </c>
      <c r="C1819">
        <f t="shared" si="208"/>
        <v>9157</v>
      </c>
      <c r="D1819">
        <f t="shared" si="213"/>
        <v>9157</v>
      </c>
      <c r="H1819">
        <f t="shared" si="209"/>
        <v>2</v>
      </c>
      <c r="I1819" s="5" t="s">
        <v>897</v>
      </c>
      <c r="J1819" s="5" t="s">
        <v>760</v>
      </c>
      <c r="Q1819" t="s">
        <v>619</v>
      </c>
      <c r="R1819">
        <v>77</v>
      </c>
      <c r="S1819">
        <v>1</v>
      </c>
      <c r="T1819" t="str">
        <f t="shared" si="207"/>
        <v>e</v>
      </c>
      <c r="U1819" t="s">
        <v>7</v>
      </c>
      <c r="V1819" t="s">
        <v>222</v>
      </c>
      <c r="W1819" t="s">
        <v>53</v>
      </c>
      <c r="X1819" t="s">
        <v>706</v>
      </c>
      <c r="AF1819" t="s">
        <v>401</v>
      </c>
      <c r="AJ1819">
        <v>1</v>
      </c>
      <c r="AM1819" t="str">
        <f t="shared" si="210"/>
        <v>Shot</v>
      </c>
      <c r="AN1819" t="str">
        <f t="shared" si="211"/>
        <v>Shot_OnNetSaved</v>
      </c>
      <c r="AP1819" t="str">
        <f t="shared" si="212"/>
        <v>Offensive</v>
      </c>
      <c r="BB1819" s="23"/>
      <c r="BD1819" s="21"/>
      <c r="BE1819" s="21"/>
      <c r="BF1819" s="21"/>
      <c r="BG1819" s="21"/>
      <c r="BH1819" s="21"/>
      <c r="BI1819" s="21"/>
    </row>
    <row r="1820" spans="1:61" x14ac:dyDescent="0.2">
      <c r="A1820">
        <v>939</v>
      </c>
      <c r="B1820">
        <v>157</v>
      </c>
      <c r="C1820">
        <f t="shared" si="208"/>
        <v>9157</v>
      </c>
      <c r="D1820">
        <f t="shared" si="213"/>
        <v>9157</v>
      </c>
      <c r="H1820">
        <f t="shared" si="209"/>
        <v>2</v>
      </c>
      <c r="R1820">
        <v>39</v>
      </c>
      <c r="T1820" t="str">
        <f t="shared" si="207"/>
        <v>o</v>
      </c>
      <c r="AM1820" t="str">
        <f t="shared" si="210"/>
        <v>Shot</v>
      </c>
      <c r="AN1820" t="str">
        <f t="shared" si="211"/>
        <v>Shot_OnNetSaved</v>
      </c>
      <c r="AP1820" t="str">
        <f t="shared" si="212"/>
        <v>Defensive</v>
      </c>
      <c r="BB1820" s="23"/>
      <c r="BD1820" s="21"/>
      <c r="BE1820" s="21"/>
      <c r="BF1820" s="21"/>
      <c r="BG1820" s="21"/>
      <c r="BH1820" s="21"/>
      <c r="BI1820" s="21"/>
    </row>
    <row r="1821" spans="1:61" x14ac:dyDescent="0.2">
      <c r="A1821">
        <v>939</v>
      </c>
      <c r="B1821">
        <v>157</v>
      </c>
      <c r="C1821">
        <f t="shared" si="208"/>
        <v>9157</v>
      </c>
      <c r="D1821">
        <f t="shared" si="213"/>
        <v>9157</v>
      </c>
      <c r="H1821">
        <f t="shared" si="209"/>
        <v>2</v>
      </c>
      <c r="R1821">
        <v>9</v>
      </c>
      <c r="T1821" t="str">
        <f t="shared" si="207"/>
        <v>o</v>
      </c>
      <c r="Y1821" t="s">
        <v>715</v>
      </c>
      <c r="AJ1821">
        <v>1</v>
      </c>
      <c r="AM1821" t="str">
        <f t="shared" si="210"/>
        <v>Shot</v>
      </c>
      <c r="AN1821" t="str">
        <f t="shared" si="211"/>
        <v>Shot_OnNetSaved</v>
      </c>
      <c r="AP1821" t="str">
        <f t="shared" si="212"/>
        <v>Defensive</v>
      </c>
      <c r="BB1821" s="23"/>
      <c r="BD1821" s="21"/>
      <c r="BE1821" s="21"/>
      <c r="BF1821" s="21"/>
      <c r="BG1821" s="21"/>
      <c r="BH1821" s="21"/>
      <c r="BI1821" s="21"/>
    </row>
    <row r="1822" spans="1:61" x14ac:dyDescent="0.2">
      <c r="A1822">
        <v>940</v>
      </c>
      <c r="B1822">
        <v>157</v>
      </c>
      <c r="C1822">
        <f t="shared" si="208"/>
        <v>9157</v>
      </c>
      <c r="D1822">
        <f t="shared" si="213"/>
        <v>9157</v>
      </c>
      <c r="H1822">
        <f t="shared" si="209"/>
        <v>2</v>
      </c>
      <c r="I1822" s="5" t="s">
        <v>897</v>
      </c>
      <c r="J1822" s="5" t="s">
        <v>760</v>
      </c>
      <c r="Q1822" t="s">
        <v>620</v>
      </c>
      <c r="R1822">
        <v>39</v>
      </c>
      <c r="S1822">
        <v>1</v>
      </c>
      <c r="T1822" t="str">
        <f t="shared" si="207"/>
        <v>e</v>
      </c>
      <c r="U1822" t="s">
        <v>17</v>
      </c>
      <c r="V1822" t="s">
        <v>196</v>
      </c>
      <c r="W1822" t="s">
        <v>98</v>
      </c>
      <c r="AF1822" t="s">
        <v>623</v>
      </c>
      <c r="AM1822" t="str">
        <f t="shared" si="210"/>
        <v>Save</v>
      </c>
      <c r="AN1822" t="str">
        <f t="shared" si="211"/>
        <v>Save_Rebound</v>
      </c>
      <c r="AP1822" t="str">
        <f t="shared" si="212"/>
        <v>Defensive</v>
      </c>
      <c r="BB1822" s="23"/>
      <c r="BD1822" s="21"/>
      <c r="BE1822" s="21"/>
      <c r="BF1822" s="21"/>
      <c r="BG1822" s="21"/>
      <c r="BH1822" s="21"/>
      <c r="BI1822" s="21"/>
    </row>
    <row r="1823" spans="1:61" x14ac:dyDescent="0.2">
      <c r="A1823">
        <v>940</v>
      </c>
      <c r="B1823">
        <v>157</v>
      </c>
      <c r="C1823">
        <f t="shared" si="208"/>
        <v>9157</v>
      </c>
      <c r="D1823">
        <f t="shared" si="213"/>
        <v>9157</v>
      </c>
      <c r="H1823">
        <f t="shared" si="209"/>
        <v>2</v>
      </c>
      <c r="R1823">
        <v>9</v>
      </c>
      <c r="S1823">
        <v>1</v>
      </c>
      <c r="T1823" t="str">
        <f t="shared" si="207"/>
        <v>e</v>
      </c>
      <c r="Y1823" t="s">
        <v>715</v>
      </c>
      <c r="AJ1823">
        <v>1</v>
      </c>
      <c r="AM1823" t="str">
        <f t="shared" si="210"/>
        <v>Save</v>
      </c>
      <c r="AN1823" t="str">
        <f t="shared" si="211"/>
        <v>Save_Rebound</v>
      </c>
      <c r="AP1823" t="str">
        <f t="shared" si="212"/>
        <v>Defensive</v>
      </c>
      <c r="BB1823" s="23"/>
      <c r="BD1823" s="21"/>
      <c r="BE1823" s="21"/>
      <c r="BF1823" s="21"/>
      <c r="BG1823" s="21"/>
      <c r="BH1823" s="21"/>
      <c r="BI1823" s="21"/>
    </row>
    <row r="1824" spans="1:61" x14ac:dyDescent="0.2">
      <c r="A1824">
        <v>940</v>
      </c>
      <c r="B1824">
        <v>157</v>
      </c>
      <c r="C1824">
        <f t="shared" si="208"/>
        <v>9157</v>
      </c>
      <c r="D1824">
        <f t="shared" si="213"/>
        <v>9157</v>
      </c>
      <c r="H1824">
        <f t="shared" si="209"/>
        <v>2</v>
      </c>
      <c r="R1824">
        <v>77</v>
      </c>
      <c r="T1824" t="str">
        <f t="shared" si="207"/>
        <v>o</v>
      </c>
      <c r="AJ1824">
        <v>1</v>
      </c>
      <c r="AM1824" t="str">
        <f t="shared" si="210"/>
        <v>Save</v>
      </c>
      <c r="AN1824" t="str">
        <f t="shared" si="211"/>
        <v>Save_Rebound</v>
      </c>
      <c r="AP1824" t="str">
        <f t="shared" si="212"/>
        <v>Offensive</v>
      </c>
      <c r="BB1824" s="23"/>
      <c r="BD1824" s="21"/>
      <c r="BE1824" s="21"/>
      <c r="BF1824" s="21"/>
      <c r="BG1824" s="21"/>
      <c r="BH1824" s="21"/>
      <c r="BI1824" s="21"/>
    </row>
    <row r="1825" spans="1:61" x14ac:dyDescent="0.2">
      <c r="A1825">
        <v>941</v>
      </c>
      <c r="B1825">
        <v>157</v>
      </c>
      <c r="C1825">
        <f t="shared" si="208"/>
        <v>9157</v>
      </c>
      <c r="D1825">
        <f t="shared" si="213"/>
        <v>9157</v>
      </c>
      <c r="H1825">
        <f t="shared" si="209"/>
        <v>2</v>
      </c>
      <c r="I1825" s="5" t="s">
        <v>897</v>
      </c>
      <c r="J1825" s="5" t="s">
        <v>731</v>
      </c>
      <c r="Q1825" t="s">
        <v>620</v>
      </c>
      <c r="R1825">
        <v>39</v>
      </c>
      <c r="S1825">
        <v>1</v>
      </c>
      <c r="T1825" t="str">
        <f t="shared" si="207"/>
        <v>e</v>
      </c>
      <c r="U1825" t="s">
        <v>250</v>
      </c>
      <c r="V1825" t="s">
        <v>251</v>
      </c>
      <c r="AF1825" t="s">
        <v>623</v>
      </c>
      <c r="AJ1825">
        <v>1</v>
      </c>
      <c r="AM1825" t="str">
        <f t="shared" si="210"/>
        <v>Rebound</v>
      </c>
      <c r="AN1825" t="str">
        <f t="shared" si="211"/>
        <v>Rebound_TeamRecovered</v>
      </c>
      <c r="AP1825" t="str">
        <f t="shared" si="212"/>
        <v>Offensive</v>
      </c>
      <c r="BB1825" s="23"/>
      <c r="BD1825" s="21"/>
      <c r="BE1825" s="21"/>
      <c r="BF1825" s="21"/>
      <c r="BG1825" s="21"/>
      <c r="BH1825" s="21"/>
      <c r="BI1825" s="21"/>
    </row>
    <row r="1826" spans="1:61" x14ac:dyDescent="0.2">
      <c r="A1826">
        <v>942</v>
      </c>
      <c r="B1826" t="s">
        <v>887</v>
      </c>
      <c r="C1826" t="str">
        <f t="shared" si="208"/>
        <v/>
      </c>
      <c r="D1826" t="str">
        <f t="shared" si="213"/>
        <v/>
      </c>
      <c r="H1826">
        <f t="shared" si="209"/>
        <v>2</v>
      </c>
      <c r="I1826" s="5" t="s">
        <v>897</v>
      </c>
      <c r="J1826" s="5" t="s">
        <v>782</v>
      </c>
      <c r="Q1826" t="s">
        <v>620</v>
      </c>
      <c r="R1826">
        <v>9</v>
      </c>
      <c r="S1826">
        <v>1</v>
      </c>
      <c r="T1826" t="str">
        <f t="shared" si="207"/>
        <v>e</v>
      </c>
      <c r="U1826" t="s">
        <v>15</v>
      </c>
      <c r="V1826" t="s">
        <v>698</v>
      </c>
      <c r="X1826" t="s">
        <v>705</v>
      </c>
      <c r="Y1826" t="s">
        <v>808</v>
      </c>
      <c r="AA1826" t="s">
        <v>705</v>
      </c>
      <c r="AF1826" t="s">
        <v>623</v>
      </c>
      <c r="AM1826" t="str">
        <f t="shared" si="210"/>
        <v>Possession</v>
      </c>
      <c r="AN1826" t="str">
        <f t="shared" si="211"/>
        <v>PuckRecovery</v>
      </c>
      <c r="AP1826" t="str">
        <f t="shared" si="212"/>
        <v>Offensive</v>
      </c>
      <c r="BB1826" s="23"/>
      <c r="BD1826" s="21"/>
      <c r="BE1826" s="21"/>
      <c r="BF1826" s="21"/>
      <c r="BG1826" s="21"/>
      <c r="BH1826" s="21"/>
      <c r="BI1826" s="21"/>
    </row>
    <row r="1827" spans="1:61" x14ac:dyDescent="0.2">
      <c r="A1827">
        <v>943</v>
      </c>
      <c r="B1827">
        <v>158</v>
      </c>
      <c r="C1827">
        <f t="shared" si="208"/>
        <v>9158</v>
      </c>
      <c r="D1827">
        <f t="shared" si="213"/>
        <v>9158</v>
      </c>
      <c r="H1827">
        <f t="shared" si="209"/>
        <v>2</v>
      </c>
      <c r="I1827" s="5" t="s">
        <v>897</v>
      </c>
      <c r="J1827" s="5" t="s">
        <v>782</v>
      </c>
      <c r="Q1827" t="s">
        <v>620</v>
      </c>
      <c r="R1827">
        <v>9</v>
      </c>
      <c r="S1827">
        <v>1</v>
      </c>
      <c r="T1827" t="str">
        <f t="shared" si="207"/>
        <v>e</v>
      </c>
      <c r="U1827" t="s">
        <v>257</v>
      </c>
      <c r="V1827" t="s">
        <v>819</v>
      </c>
      <c r="W1827" t="s">
        <v>92</v>
      </c>
      <c r="X1827" t="s">
        <v>705</v>
      </c>
      <c r="Y1827" t="s">
        <v>746</v>
      </c>
      <c r="AA1827" t="s">
        <v>705</v>
      </c>
      <c r="AF1827" t="s">
        <v>623</v>
      </c>
      <c r="AM1827" t="str">
        <f t="shared" si="210"/>
        <v>Zone_Entry_Exit</v>
      </c>
      <c r="AN1827" t="str">
        <f t="shared" si="211"/>
        <v>Zone_ExitFailed</v>
      </c>
      <c r="AP1827" t="str">
        <f t="shared" si="212"/>
        <v>Offensive</v>
      </c>
      <c r="BB1827" s="23"/>
      <c r="BD1827" s="21"/>
      <c r="BE1827" s="21"/>
      <c r="BF1827" s="21"/>
      <c r="BG1827" s="21"/>
      <c r="BH1827" s="21"/>
      <c r="BI1827" s="21"/>
    </row>
    <row r="1828" spans="1:61" x14ac:dyDescent="0.2">
      <c r="A1828">
        <v>944</v>
      </c>
      <c r="B1828">
        <v>158</v>
      </c>
      <c r="C1828">
        <f t="shared" si="208"/>
        <v>9158</v>
      </c>
      <c r="D1828">
        <f t="shared" si="213"/>
        <v>9158</v>
      </c>
      <c r="H1828">
        <f t="shared" si="209"/>
        <v>2</v>
      </c>
      <c r="I1828" s="5" t="s">
        <v>897</v>
      </c>
      <c r="J1828" s="5" t="s">
        <v>782</v>
      </c>
      <c r="Q1828" t="s">
        <v>620</v>
      </c>
      <c r="R1828">
        <v>9</v>
      </c>
      <c r="S1828">
        <v>1</v>
      </c>
      <c r="T1828" t="str">
        <f t="shared" si="207"/>
        <v>e</v>
      </c>
      <c r="U1828" t="s">
        <v>10</v>
      </c>
      <c r="V1828" t="s">
        <v>190</v>
      </c>
      <c r="W1828" t="s">
        <v>398</v>
      </c>
      <c r="X1828" t="s">
        <v>705</v>
      </c>
      <c r="Y1828" t="s">
        <v>746</v>
      </c>
      <c r="AA1828" t="s">
        <v>705</v>
      </c>
      <c r="AF1828" t="s">
        <v>623</v>
      </c>
      <c r="AM1828" t="str">
        <f t="shared" si="210"/>
        <v>Turnover</v>
      </c>
      <c r="AN1828" t="str">
        <f t="shared" si="211"/>
        <v>Turnover_Giveaway</v>
      </c>
      <c r="AP1828" t="str">
        <f t="shared" si="212"/>
        <v>Offensive</v>
      </c>
      <c r="BB1828" s="23"/>
      <c r="BD1828" s="21"/>
      <c r="BE1828" s="21"/>
      <c r="BF1828" s="21"/>
      <c r="BG1828" s="21"/>
      <c r="BH1828" s="21"/>
      <c r="BI1828" s="21"/>
    </row>
    <row r="1829" spans="1:61" x14ac:dyDescent="0.2">
      <c r="A1829">
        <v>945</v>
      </c>
      <c r="B1829" t="s">
        <v>887</v>
      </c>
      <c r="C1829" t="str">
        <f t="shared" si="208"/>
        <v/>
      </c>
      <c r="D1829" t="str">
        <f t="shared" si="213"/>
        <v/>
      </c>
      <c r="H1829">
        <f t="shared" si="209"/>
        <v>2</v>
      </c>
      <c r="I1829" s="5" t="s">
        <v>897</v>
      </c>
      <c r="J1829" s="5" t="s">
        <v>621</v>
      </c>
      <c r="K1829" s="5" t="s">
        <v>897</v>
      </c>
      <c r="L1829" s="7" t="s">
        <v>448</v>
      </c>
      <c r="Q1829" t="s">
        <v>619</v>
      </c>
      <c r="R1829">
        <v>80</v>
      </c>
      <c r="S1829">
        <v>1</v>
      </c>
      <c r="T1829" t="str">
        <f t="shared" si="207"/>
        <v>e</v>
      </c>
      <c r="U1829" t="s">
        <v>15</v>
      </c>
      <c r="V1829" t="s">
        <v>697</v>
      </c>
      <c r="X1829" t="s">
        <v>706</v>
      </c>
      <c r="Y1829" t="s">
        <v>712</v>
      </c>
      <c r="AA1829" t="s">
        <v>706</v>
      </c>
      <c r="AF1829" t="s">
        <v>401</v>
      </c>
      <c r="AM1829" t="str">
        <f t="shared" si="210"/>
        <v>Possession</v>
      </c>
      <c r="AN1829" t="str">
        <f t="shared" si="211"/>
        <v>PuckRetrieval</v>
      </c>
      <c r="AP1829" t="str">
        <f t="shared" si="212"/>
        <v>Offensive</v>
      </c>
      <c r="BB1829" s="23"/>
      <c r="BD1829" s="21"/>
      <c r="BE1829" s="21"/>
      <c r="BF1829" s="21"/>
      <c r="BG1829" s="21"/>
      <c r="BH1829" s="21"/>
      <c r="BI1829" s="21"/>
    </row>
    <row r="1830" spans="1:61" x14ac:dyDescent="0.2">
      <c r="A1830">
        <v>946</v>
      </c>
      <c r="B1830" t="s">
        <v>887</v>
      </c>
      <c r="C1830" t="str">
        <f t="shared" si="208"/>
        <v/>
      </c>
      <c r="D1830" t="str">
        <f t="shared" si="213"/>
        <v/>
      </c>
      <c r="H1830">
        <f t="shared" si="209"/>
        <v>2</v>
      </c>
      <c r="I1830" s="5" t="s">
        <v>897</v>
      </c>
      <c r="J1830" s="5" t="s">
        <v>448</v>
      </c>
      <c r="Q1830" t="s">
        <v>619</v>
      </c>
      <c r="R1830">
        <v>80</v>
      </c>
      <c r="S1830">
        <v>1</v>
      </c>
      <c r="T1830" t="str">
        <f t="shared" si="207"/>
        <v>e</v>
      </c>
      <c r="U1830" t="s">
        <v>8</v>
      </c>
      <c r="V1830" t="s">
        <v>189</v>
      </c>
      <c r="W1830" t="s">
        <v>70</v>
      </c>
      <c r="X1830" t="s">
        <v>706</v>
      </c>
      <c r="AF1830" t="s">
        <v>401</v>
      </c>
      <c r="AJ1830">
        <v>1</v>
      </c>
      <c r="AM1830" t="str">
        <f t="shared" si="210"/>
        <v>Pass</v>
      </c>
      <c r="AN1830" t="str">
        <f t="shared" si="211"/>
        <v>Pass_Completed</v>
      </c>
      <c r="AP1830" t="str">
        <f t="shared" si="212"/>
        <v>Offensive</v>
      </c>
      <c r="BB1830" s="23"/>
      <c r="BD1830" s="21"/>
      <c r="BE1830" s="21"/>
      <c r="BF1830" s="21"/>
      <c r="BG1830" s="21"/>
      <c r="BH1830" s="21"/>
      <c r="BI1830" s="21"/>
    </row>
    <row r="1831" spans="1:61" x14ac:dyDescent="0.2">
      <c r="A1831">
        <v>946</v>
      </c>
      <c r="B1831" t="s">
        <v>887</v>
      </c>
      <c r="C1831" t="str">
        <f t="shared" si="208"/>
        <v/>
      </c>
      <c r="D1831" t="str">
        <f t="shared" si="213"/>
        <v/>
      </c>
      <c r="H1831">
        <f t="shared" si="209"/>
        <v>2</v>
      </c>
      <c r="R1831">
        <v>77</v>
      </c>
      <c r="S1831">
        <v>1</v>
      </c>
      <c r="T1831" t="str">
        <f t="shared" si="207"/>
        <v>e</v>
      </c>
      <c r="AM1831" t="str">
        <f t="shared" si="210"/>
        <v>Pass</v>
      </c>
      <c r="AN1831" t="str">
        <f t="shared" si="211"/>
        <v>Pass_Completed</v>
      </c>
      <c r="AP1831" t="str">
        <f t="shared" si="212"/>
        <v>Offensive</v>
      </c>
      <c r="BB1831" s="23"/>
      <c r="BD1831" s="21"/>
      <c r="BE1831" s="21"/>
      <c r="BF1831" s="21"/>
      <c r="BG1831" s="21"/>
      <c r="BH1831" s="21"/>
      <c r="BI1831" s="21"/>
    </row>
    <row r="1832" spans="1:61" x14ac:dyDescent="0.2">
      <c r="A1832">
        <v>946</v>
      </c>
      <c r="B1832" t="s">
        <v>887</v>
      </c>
      <c r="C1832" t="str">
        <f t="shared" si="208"/>
        <v/>
      </c>
      <c r="D1832" t="str">
        <f t="shared" si="213"/>
        <v/>
      </c>
      <c r="H1832">
        <f t="shared" si="209"/>
        <v>2</v>
      </c>
      <c r="R1832">
        <v>14</v>
      </c>
      <c r="T1832" t="str">
        <f t="shared" si="207"/>
        <v>o</v>
      </c>
      <c r="Y1832" t="s">
        <v>715</v>
      </c>
      <c r="AJ1832">
        <v>1</v>
      </c>
      <c r="AM1832" t="str">
        <f t="shared" si="210"/>
        <v>Pass</v>
      </c>
      <c r="AN1832" t="str">
        <f t="shared" si="211"/>
        <v>Pass_Completed</v>
      </c>
      <c r="AP1832" t="str">
        <f t="shared" si="212"/>
        <v>Defensive</v>
      </c>
      <c r="BB1832" s="23"/>
      <c r="BD1832" s="21"/>
      <c r="BE1832" s="21"/>
      <c r="BF1832" s="21"/>
      <c r="BG1832" s="21"/>
      <c r="BH1832" s="21"/>
      <c r="BI1832" s="21"/>
    </row>
    <row r="1833" spans="1:61" x14ac:dyDescent="0.2">
      <c r="A1833">
        <v>947</v>
      </c>
      <c r="B1833">
        <v>159</v>
      </c>
      <c r="C1833">
        <f t="shared" si="208"/>
        <v>9159</v>
      </c>
      <c r="D1833">
        <f t="shared" si="213"/>
        <v>9159</v>
      </c>
      <c r="H1833">
        <f t="shared" si="209"/>
        <v>2</v>
      </c>
      <c r="I1833" s="5" t="s">
        <v>897</v>
      </c>
      <c r="J1833" s="5" t="s">
        <v>768</v>
      </c>
      <c r="Q1833" t="s">
        <v>619</v>
      </c>
      <c r="R1833">
        <v>77</v>
      </c>
      <c r="S1833">
        <v>1</v>
      </c>
      <c r="T1833" t="str">
        <f t="shared" si="207"/>
        <v>e</v>
      </c>
      <c r="U1833" t="s">
        <v>8</v>
      </c>
      <c r="V1833" t="s">
        <v>199</v>
      </c>
      <c r="W1833" t="s">
        <v>70</v>
      </c>
      <c r="X1833" t="s">
        <v>705</v>
      </c>
      <c r="Y1833" t="s">
        <v>814</v>
      </c>
      <c r="AA1833" t="s">
        <v>705</v>
      </c>
      <c r="AF1833" t="s">
        <v>401</v>
      </c>
      <c r="AJ1833">
        <v>1</v>
      </c>
      <c r="AM1833" t="str">
        <f t="shared" si="210"/>
        <v>Pass</v>
      </c>
      <c r="AN1833" t="str">
        <f t="shared" si="211"/>
        <v>Pass_Missed</v>
      </c>
      <c r="AP1833" t="str">
        <f t="shared" si="212"/>
        <v>Offensive</v>
      </c>
      <c r="BB1833" s="23"/>
      <c r="BD1833" s="21"/>
      <c r="BE1833" s="21"/>
      <c r="BF1833" s="21"/>
      <c r="BG1833" s="21"/>
      <c r="BH1833" s="21"/>
      <c r="BI1833" s="21"/>
    </row>
    <row r="1834" spans="1:61" x14ac:dyDescent="0.2">
      <c r="A1834">
        <v>947</v>
      </c>
      <c r="B1834">
        <v>159</v>
      </c>
      <c r="C1834">
        <f t="shared" si="208"/>
        <v>9159</v>
      </c>
      <c r="D1834">
        <f t="shared" si="213"/>
        <v>9159</v>
      </c>
      <c r="H1834">
        <f t="shared" si="209"/>
        <v>2</v>
      </c>
      <c r="R1834">
        <v>44</v>
      </c>
      <c r="S1834">
        <v>1</v>
      </c>
      <c r="T1834" t="str">
        <f t="shared" si="207"/>
        <v>e</v>
      </c>
      <c r="AM1834" t="str">
        <f t="shared" si="210"/>
        <v>Pass</v>
      </c>
      <c r="AN1834" t="str">
        <f t="shared" si="211"/>
        <v>Pass_Missed</v>
      </c>
      <c r="AP1834" t="str">
        <f t="shared" si="212"/>
        <v>Offensive</v>
      </c>
      <c r="BB1834" s="23"/>
      <c r="BD1834" s="21"/>
      <c r="BE1834" s="21"/>
      <c r="BF1834" s="21"/>
      <c r="BG1834" s="21"/>
      <c r="BH1834" s="21"/>
      <c r="BI1834" s="21"/>
    </row>
    <row r="1835" spans="1:61" x14ac:dyDescent="0.2">
      <c r="A1835">
        <v>947</v>
      </c>
      <c r="B1835">
        <v>159</v>
      </c>
      <c r="C1835">
        <f t="shared" si="208"/>
        <v>9159</v>
      </c>
      <c r="D1835">
        <f t="shared" si="213"/>
        <v>9159</v>
      </c>
      <c r="H1835">
        <f t="shared" si="209"/>
        <v>2</v>
      </c>
      <c r="R1835">
        <v>22</v>
      </c>
      <c r="T1835" t="str">
        <f t="shared" si="207"/>
        <v>o</v>
      </c>
      <c r="Y1835" t="s">
        <v>722</v>
      </c>
      <c r="AA1835" t="s">
        <v>706</v>
      </c>
      <c r="AJ1835">
        <v>1</v>
      </c>
      <c r="AM1835" t="str">
        <f t="shared" si="210"/>
        <v>Pass</v>
      </c>
      <c r="AN1835" t="str">
        <f t="shared" si="211"/>
        <v>Pass_Missed</v>
      </c>
      <c r="AP1835" t="str">
        <f t="shared" si="212"/>
        <v>Defensive</v>
      </c>
      <c r="BB1835" s="23"/>
      <c r="BD1835" s="21"/>
      <c r="BE1835" s="21"/>
      <c r="BF1835" s="21"/>
      <c r="BG1835" s="21"/>
      <c r="BH1835" s="21"/>
      <c r="BI1835" s="21"/>
    </row>
    <row r="1836" spans="1:61" x14ac:dyDescent="0.2">
      <c r="A1836">
        <v>948</v>
      </c>
      <c r="B1836">
        <v>159</v>
      </c>
      <c r="C1836">
        <f t="shared" si="208"/>
        <v>9159</v>
      </c>
      <c r="D1836">
        <f t="shared" si="213"/>
        <v>9159</v>
      </c>
      <c r="H1836">
        <f t="shared" si="209"/>
        <v>2</v>
      </c>
      <c r="I1836" s="5" t="s">
        <v>897</v>
      </c>
      <c r="J1836" s="5" t="s">
        <v>768</v>
      </c>
      <c r="Q1836" t="s">
        <v>619</v>
      </c>
      <c r="R1836">
        <v>77</v>
      </c>
      <c r="S1836">
        <v>1</v>
      </c>
      <c r="T1836" t="str">
        <f>IF(S1836="x","",IF(S1836=1,"e","o"))</f>
        <v>e</v>
      </c>
      <c r="U1836" t="s">
        <v>10</v>
      </c>
      <c r="V1836" t="s">
        <v>190</v>
      </c>
      <c r="W1836" t="s">
        <v>76</v>
      </c>
      <c r="X1836" t="s">
        <v>705</v>
      </c>
      <c r="Y1836" t="s">
        <v>814</v>
      </c>
      <c r="AA1836" t="s">
        <v>705</v>
      </c>
      <c r="AF1836" t="s">
        <v>401</v>
      </c>
      <c r="AJ1836">
        <v>1</v>
      </c>
      <c r="AM1836" t="str">
        <f t="shared" si="210"/>
        <v>Turnover</v>
      </c>
      <c r="AN1836" t="str">
        <f t="shared" si="211"/>
        <v>Turnover_Giveaway</v>
      </c>
      <c r="AP1836" t="str">
        <f t="shared" si="212"/>
        <v>Offensive</v>
      </c>
      <c r="BB1836" s="23"/>
      <c r="BD1836" s="21"/>
      <c r="BE1836" s="21"/>
      <c r="BF1836" s="21"/>
      <c r="BG1836" s="21"/>
      <c r="BH1836" s="21"/>
      <c r="BI1836" s="21"/>
    </row>
    <row r="1837" spans="1:61" x14ac:dyDescent="0.2">
      <c r="A1837">
        <v>948</v>
      </c>
      <c r="B1837">
        <v>159</v>
      </c>
      <c r="C1837">
        <f t="shared" si="208"/>
        <v>9159</v>
      </c>
      <c r="D1837">
        <f t="shared" si="213"/>
        <v>9159</v>
      </c>
      <c r="H1837">
        <f t="shared" si="209"/>
        <v>2</v>
      </c>
      <c r="R1837">
        <v>44</v>
      </c>
      <c r="S1837">
        <v>1</v>
      </c>
      <c r="T1837" t="str">
        <f>IF(S1837="x","",IF(S1837=1,"e","o"))</f>
        <v>e</v>
      </c>
      <c r="AM1837" t="str">
        <f t="shared" si="210"/>
        <v>Turnover</v>
      </c>
      <c r="AN1837" t="str">
        <f t="shared" si="211"/>
        <v>Turnover_Giveaway</v>
      </c>
      <c r="AP1837" t="str">
        <f t="shared" si="212"/>
        <v>Offensive</v>
      </c>
      <c r="BB1837" s="23"/>
      <c r="BD1837" s="21"/>
      <c r="BE1837" s="21"/>
      <c r="BF1837" s="21"/>
      <c r="BG1837" s="21"/>
      <c r="BH1837" s="21"/>
      <c r="BI1837" s="21"/>
    </row>
    <row r="1838" spans="1:61" x14ac:dyDescent="0.2">
      <c r="A1838">
        <v>948</v>
      </c>
      <c r="B1838">
        <v>159</v>
      </c>
      <c r="C1838">
        <f t="shared" si="208"/>
        <v>9159</v>
      </c>
      <c r="D1838">
        <f t="shared" si="213"/>
        <v>9159</v>
      </c>
      <c r="H1838">
        <f t="shared" si="209"/>
        <v>2</v>
      </c>
      <c r="R1838">
        <v>22</v>
      </c>
      <c r="T1838" t="str">
        <f>IF(S1838="x","",IF(S1838=1,"e","o"))</f>
        <v>o</v>
      </c>
      <c r="Y1838" t="s">
        <v>722</v>
      </c>
      <c r="AA1838" t="s">
        <v>706</v>
      </c>
      <c r="AJ1838">
        <v>1</v>
      </c>
      <c r="AM1838" t="str">
        <f t="shared" si="210"/>
        <v>Turnover</v>
      </c>
      <c r="AN1838" t="str">
        <f t="shared" si="211"/>
        <v>Turnover_Giveaway</v>
      </c>
      <c r="AP1838" t="str">
        <f t="shared" si="212"/>
        <v>Defensive</v>
      </c>
      <c r="BB1838" s="23"/>
      <c r="BD1838" s="21"/>
      <c r="BE1838" s="21"/>
      <c r="BF1838" s="21"/>
      <c r="BG1838" s="21"/>
      <c r="BH1838" s="21"/>
      <c r="BI1838" s="21"/>
    </row>
    <row r="1839" spans="1:61" x14ac:dyDescent="0.2">
      <c r="A1839">
        <v>949</v>
      </c>
      <c r="B1839" t="s">
        <v>887</v>
      </c>
      <c r="C1839" t="str">
        <f t="shared" si="208"/>
        <v/>
      </c>
      <c r="D1839" t="str">
        <f t="shared" si="213"/>
        <v/>
      </c>
      <c r="H1839">
        <f t="shared" si="209"/>
        <v>2</v>
      </c>
      <c r="I1839" s="5" t="s">
        <v>897</v>
      </c>
      <c r="J1839" s="5" t="s">
        <v>734</v>
      </c>
      <c r="Q1839" t="s">
        <v>620</v>
      </c>
      <c r="R1839">
        <v>42</v>
      </c>
      <c r="S1839">
        <v>1</v>
      </c>
      <c r="T1839" t="str">
        <f t="shared" si="207"/>
        <v>e</v>
      </c>
      <c r="U1839" t="s">
        <v>15</v>
      </c>
      <c r="V1839" t="s">
        <v>697</v>
      </c>
      <c r="X1839" t="s">
        <v>706</v>
      </c>
      <c r="Y1839" t="s">
        <v>725</v>
      </c>
      <c r="AA1839" t="s">
        <v>706</v>
      </c>
      <c r="AF1839" t="s">
        <v>623</v>
      </c>
      <c r="AM1839" t="str">
        <f t="shared" si="210"/>
        <v>Possession</v>
      </c>
      <c r="AN1839" t="str">
        <f t="shared" si="211"/>
        <v>PuckRetrieval</v>
      </c>
      <c r="AP1839" t="str">
        <f t="shared" si="212"/>
        <v>Offensive</v>
      </c>
      <c r="BB1839" s="23"/>
      <c r="BD1839" s="21"/>
      <c r="BE1839" s="21"/>
      <c r="BF1839" s="21"/>
      <c r="BG1839" s="21"/>
      <c r="BH1839" s="21"/>
      <c r="BI1839" s="21"/>
    </row>
    <row r="1840" spans="1:61" x14ac:dyDescent="0.2">
      <c r="A1840">
        <v>950</v>
      </c>
      <c r="B1840" t="s">
        <v>887</v>
      </c>
      <c r="C1840" t="str">
        <f t="shared" si="208"/>
        <v/>
      </c>
      <c r="D1840" t="str">
        <f t="shared" si="213"/>
        <v/>
      </c>
      <c r="H1840">
        <f t="shared" si="209"/>
        <v>2</v>
      </c>
      <c r="I1840" s="5" t="s">
        <v>897</v>
      </c>
      <c r="J1840" s="5" t="s">
        <v>734</v>
      </c>
      <c r="K1840" s="5" t="s">
        <v>897</v>
      </c>
      <c r="L1840" s="7" t="s">
        <v>735</v>
      </c>
      <c r="Q1840" t="s">
        <v>620</v>
      </c>
      <c r="R1840">
        <v>42</v>
      </c>
      <c r="S1840">
        <v>1</v>
      </c>
      <c r="T1840" t="str">
        <f t="shared" si="207"/>
        <v>e</v>
      </c>
      <c r="U1840" t="s">
        <v>257</v>
      </c>
      <c r="V1840" t="s">
        <v>201</v>
      </c>
      <c r="W1840" t="s">
        <v>90</v>
      </c>
      <c r="X1840" t="s">
        <v>706</v>
      </c>
      <c r="Y1840" t="s">
        <v>678</v>
      </c>
      <c r="AA1840" t="s">
        <v>706</v>
      </c>
      <c r="AF1840" t="s">
        <v>623</v>
      </c>
      <c r="AM1840" t="str">
        <f t="shared" si="210"/>
        <v>Zone_Entry_Exit</v>
      </c>
      <c r="AN1840" t="str">
        <f t="shared" si="211"/>
        <v>Zone_Exit</v>
      </c>
      <c r="AP1840" t="str">
        <f t="shared" si="212"/>
        <v>Offensive</v>
      </c>
      <c r="BB1840" s="23"/>
      <c r="BD1840" s="21"/>
      <c r="BE1840" s="21"/>
      <c r="BF1840" s="21"/>
      <c r="BG1840" s="21"/>
      <c r="BH1840" s="21"/>
      <c r="BI1840" s="21"/>
    </row>
    <row r="1841" spans="1:61" x14ac:dyDescent="0.2">
      <c r="A1841">
        <v>951</v>
      </c>
      <c r="B1841" t="s">
        <v>887</v>
      </c>
      <c r="C1841" t="str">
        <f t="shared" si="208"/>
        <v/>
      </c>
      <c r="D1841" t="str">
        <f t="shared" si="213"/>
        <v/>
      </c>
      <c r="H1841">
        <f t="shared" si="209"/>
        <v>2</v>
      </c>
      <c r="I1841" s="5" t="s">
        <v>897</v>
      </c>
      <c r="J1841" s="5" t="s">
        <v>735</v>
      </c>
      <c r="K1841" s="5" t="s">
        <v>897</v>
      </c>
      <c r="L1841" s="7" t="s">
        <v>801</v>
      </c>
      <c r="Q1841" t="s">
        <v>620</v>
      </c>
      <c r="R1841">
        <v>42</v>
      </c>
      <c r="S1841">
        <v>1</v>
      </c>
      <c r="T1841" t="str">
        <f t="shared" si="207"/>
        <v>e</v>
      </c>
      <c r="U1841" t="s">
        <v>15</v>
      </c>
      <c r="AF1841" t="s">
        <v>635</v>
      </c>
      <c r="AM1841" t="str">
        <f t="shared" si="210"/>
        <v>Possession</v>
      </c>
      <c r="AN1841" t="str">
        <f t="shared" si="211"/>
        <v/>
      </c>
      <c r="AP1841" t="str">
        <f t="shared" si="212"/>
        <v>Offensive</v>
      </c>
      <c r="BB1841" s="23"/>
      <c r="BD1841" s="21"/>
      <c r="BE1841" s="21"/>
      <c r="BF1841" s="21"/>
      <c r="BG1841" s="21"/>
      <c r="BH1841" s="21"/>
      <c r="BI1841" s="21"/>
    </row>
    <row r="1842" spans="1:61" x14ac:dyDescent="0.2">
      <c r="A1842">
        <v>952</v>
      </c>
      <c r="B1842" t="s">
        <v>887</v>
      </c>
      <c r="C1842" t="str">
        <f t="shared" si="208"/>
        <v/>
      </c>
      <c r="D1842" t="str">
        <f t="shared" si="213"/>
        <v/>
      </c>
      <c r="H1842">
        <f t="shared" si="209"/>
        <v>2</v>
      </c>
      <c r="I1842" s="5" t="s">
        <v>897</v>
      </c>
      <c r="J1842" s="5" t="s">
        <v>801</v>
      </c>
      <c r="K1842" s="5" t="s">
        <v>897</v>
      </c>
      <c r="L1842" s="7" t="s">
        <v>738</v>
      </c>
      <c r="Q1842" t="s">
        <v>620</v>
      </c>
      <c r="R1842">
        <v>42</v>
      </c>
      <c r="S1842">
        <v>1</v>
      </c>
      <c r="T1842" t="str">
        <f t="shared" si="207"/>
        <v>e</v>
      </c>
      <c r="U1842" t="s">
        <v>257</v>
      </c>
      <c r="V1842" t="s">
        <v>191</v>
      </c>
      <c r="W1842" t="s">
        <v>87</v>
      </c>
      <c r="X1842" t="s">
        <v>705</v>
      </c>
      <c r="Y1842" t="s">
        <v>677</v>
      </c>
      <c r="AF1842" t="s">
        <v>401</v>
      </c>
      <c r="AJ1842">
        <v>1</v>
      </c>
      <c r="AM1842" t="str">
        <f t="shared" si="210"/>
        <v>Zone_Entry_Exit</v>
      </c>
      <c r="AN1842" t="str">
        <f t="shared" si="211"/>
        <v>Zone_Entry</v>
      </c>
      <c r="AP1842" t="str">
        <f t="shared" si="212"/>
        <v>Offensive</v>
      </c>
      <c r="BB1842" s="23"/>
      <c r="BD1842" s="21"/>
      <c r="BE1842" s="21"/>
      <c r="BF1842" s="21"/>
      <c r="BG1842" s="21"/>
      <c r="BH1842" s="21"/>
      <c r="BI1842" s="21"/>
    </row>
    <row r="1843" spans="1:61" x14ac:dyDescent="0.2">
      <c r="A1843">
        <v>952</v>
      </c>
      <c r="B1843" t="s">
        <v>887</v>
      </c>
      <c r="C1843" t="str">
        <f t="shared" si="208"/>
        <v/>
      </c>
      <c r="D1843" t="str">
        <f t="shared" si="213"/>
        <v/>
      </c>
      <c r="H1843">
        <f t="shared" si="209"/>
        <v>2</v>
      </c>
      <c r="R1843">
        <v>18</v>
      </c>
      <c r="T1843" t="str">
        <f t="shared" si="207"/>
        <v>o</v>
      </c>
      <c r="AJ1843">
        <v>1</v>
      </c>
      <c r="AM1843" t="str">
        <f t="shared" si="210"/>
        <v>Zone_Entry_Exit</v>
      </c>
      <c r="AN1843" t="str">
        <f t="shared" si="211"/>
        <v>Zone_Entry</v>
      </c>
      <c r="AP1843" t="str">
        <f t="shared" si="212"/>
        <v>Defensive</v>
      </c>
      <c r="BB1843" s="23"/>
      <c r="BD1843" s="21"/>
      <c r="BE1843" s="21"/>
      <c r="BF1843" s="21"/>
      <c r="BG1843" s="21"/>
      <c r="BH1843" s="21"/>
      <c r="BI1843" s="21"/>
    </row>
    <row r="1844" spans="1:61" x14ac:dyDescent="0.2">
      <c r="A1844">
        <v>952</v>
      </c>
      <c r="B1844" t="s">
        <v>887</v>
      </c>
      <c r="C1844" t="str">
        <f t="shared" si="208"/>
        <v/>
      </c>
      <c r="D1844" t="str">
        <f t="shared" si="213"/>
        <v/>
      </c>
      <c r="H1844">
        <f t="shared" si="209"/>
        <v>2</v>
      </c>
      <c r="R1844">
        <v>44</v>
      </c>
      <c r="T1844" t="str">
        <f t="shared" si="207"/>
        <v>o</v>
      </c>
      <c r="Y1844" t="s">
        <v>824</v>
      </c>
      <c r="AJ1844">
        <v>1</v>
      </c>
      <c r="AM1844" t="str">
        <f t="shared" si="210"/>
        <v>Zone_Entry_Exit</v>
      </c>
      <c r="AN1844" t="str">
        <f t="shared" si="211"/>
        <v>Zone_Entry</v>
      </c>
      <c r="AP1844" t="str">
        <f t="shared" si="212"/>
        <v>Defensive</v>
      </c>
      <c r="BB1844" s="23"/>
      <c r="BD1844" s="21"/>
      <c r="BE1844" s="21"/>
      <c r="BF1844" s="21"/>
      <c r="BG1844" s="21"/>
      <c r="BH1844" s="21"/>
      <c r="BI1844" s="21"/>
    </row>
    <row r="1845" spans="1:61" x14ac:dyDescent="0.2">
      <c r="A1845">
        <v>953</v>
      </c>
      <c r="B1845" t="s">
        <v>887</v>
      </c>
      <c r="C1845" t="str">
        <f t="shared" si="208"/>
        <v/>
      </c>
      <c r="D1845" t="str">
        <f t="shared" si="213"/>
        <v/>
      </c>
      <c r="H1845">
        <f t="shared" si="209"/>
        <v>2</v>
      </c>
      <c r="I1845" s="5" t="s">
        <v>897</v>
      </c>
      <c r="J1845" s="5" t="s">
        <v>738</v>
      </c>
      <c r="K1845" s="5" t="s">
        <v>897</v>
      </c>
      <c r="L1845" s="7" t="s">
        <v>785</v>
      </c>
      <c r="Q1845" t="s">
        <v>620</v>
      </c>
      <c r="R1845">
        <v>42</v>
      </c>
      <c r="S1845">
        <v>1</v>
      </c>
      <c r="T1845" t="str">
        <f t="shared" si="207"/>
        <v>e</v>
      </c>
      <c r="U1845" t="s">
        <v>15</v>
      </c>
      <c r="Y1845" t="s">
        <v>767</v>
      </c>
      <c r="AA1845" t="s">
        <v>705</v>
      </c>
      <c r="AF1845" t="s">
        <v>401</v>
      </c>
      <c r="AJ1845">
        <v>1</v>
      </c>
      <c r="AM1845" t="str">
        <f t="shared" si="210"/>
        <v>Possession</v>
      </c>
      <c r="AN1845" t="str">
        <f t="shared" si="211"/>
        <v/>
      </c>
      <c r="AP1845" t="str">
        <f t="shared" si="212"/>
        <v>Offensive</v>
      </c>
      <c r="BB1845" s="23"/>
      <c r="BD1845" s="21"/>
      <c r="BE1845" s="21"/>
      <c r="BF1845" s="21"/>
      <c r="BG1845" s="21"/>
      <c r="BH1845" s="21"/>
      <c r="BI1845" s="21"/>
    </row>
    <row r="1846" spans="1:61" x14ac:dyDescent="0.2">
      <c r="A1846">
        <v>953</v>
      </c>
      <c r="B1846" t="s">
        <v>887</v>
      </c>
      <c r="C1846" t="str">
        <f t="shared" si="208"/>
        <v/>
      </c>
      <c r="D1846" t="str">
        <f t="shared" si="213"/>
        <v/>
      </c>
      <c r="H1846">
        <f t="shared" si="209"/>
        <v>2</v>
      </c>
      <c r="R1846">
        <v>18</v>
      </c>
      <c r="T1846" t="str">
        <f t="shared" si="207"/>
        <v>o</v>
      </c>
      <c r="Y1846" t="s">
        <v>714</v>
      </c>
      <c r="AA1846" t="s">
        <v>706</v>
      </c>
      <c r="AJ1846">
        <v>1</v>
      </c>
      <c r="AM1846" t="str">
        <f t="shared" si="210"/>
        <v>Possession</v>
      </c>
      <c r="AN1846" t="str">
        <f t="shared" si="211"/>
        <v/>
      </c>
      <c r="AP1846" t="str">
        <f t="shared" si="212"/>
        <v>Defensive</v>
      </c>
      <c r="BB1846" s="23"/>
      <c r="BD1846" s="21"/>
      <c r="BE1846" s="21"/>
      <c r="BF1846" s="21"/>
      <c r="BG1846" s="21"/>
      <c r="BH1846" s="21"/>
      <c r="BI1846" s="21"/>
    </row>
    <row r="1847" spans="1:61" x14ac:dyDescent="0.2">
      <c r="A1847">
        <v>953</v>
      </c>
      <c r="B1847" t="s">
        <v>887</v>
      </c>
      <c r="C1847" t="str">
        <f t="shared" si="208"/>
        <v/>
      </c>
      <c r="D1847" t="str">
        <f t="shared" si="213"/>
        <v/>
      </c>
      <c r="H1847">
        <f t="shared" si="209"/>
        <v>2</v>
      </c>
      <c r="R1847">
        <v>44</v>
      </c>
      <c r="T1847" t="str">
        <f t="shared" si="207"/>
        <v>o</v>
      </c>
      <c r="Y1847" t="s">
        <v>715</v>
      </c>
      <c r="AA1847" t="s">
        <v>706</v>
      </c>
      <c r="AJ1847">
        <v>1</v>
      </c>
      <c r="AM1847" t="str">
        <f t="shared" si="210"/>
        <v>Possession</v>
      </c>
      <c r="AN1847" t="str">
        <f t="shared" si="211"/>
        <v/>
      </c>
      <c r="AP1847" t="str">
        <f t="shared" si="212"/>
        <v>Defensive</v>
      </c>
      <c r="BB1847" s="23"/>
      <c r="BD1847" s="21"/>
      <c r="BE1847" s="21"/>
      <c r="BF1847" s="21"/>
      <c r="BG1847" s="21"/>
      <c r="BH1847" s="21"/>
      <c r="BI1847" s="21"/>
    </row>
    <row r="1848" spans="1:61" x14ac:dyDescent="0.2">
      <c r="A1848">
        <v>954</v>
      </c>
      <c r="B1848" t="s">
        <v>887</v>
      </c>
      <c r="C1848" t="str">
        <f t="shared" si="208"/>
        <v/>
      </c>
      <c r="D1848" t="str">
        <f t="shared" si="213"/>
        <v/>
      </c>
      <c r="H1848">
        <f t="shared" si="209"/>
        <v>2</v>
      </c>
      <c r="I1848" s="5" t="s">
        <v>897</v>
      </c>
      <c r="J1848" s="5" t="s">
        <v>785</v>
      </c>
      <c r="Q1848" t="s">
        <v>619</v>
      </c>
      <c r="R1848">
        <v>18</v>
      </c>
      <c r="S1848">
        <v>1</v>
      </c>
      <c r="T1848" t="str">
        <f t="shared" si="207"/>
        <v>e</v>
      </c>
      <c r="U1848" t="s">
        <v>10</v>
      </c>
      <c r="V1848" t="s">
        <v>200</v>
      </c>
      <c r="W1848" t="s">
        <v>82</v>
      </c>
      <c r="X1848" t="s">
        <v>706</v>
      </c>
      <c r="Y1848" t="s">
        <v>714</v>
      </c>
      <c r="AA1848" t="s">
        <v>706</v>
      </c>
      <c r="AF1848" t="s">
        <v>623</v>
      </c>
      <c r="AJ1848">
        <v>1</v>
      </c>
      <c r="AM1848" t="str">
        <f t="shared" si="210"/>
        <v>Turnover</v>
      </c>
      <c r="AN1848" t="str">
        <f t="shared" si="211"/>
        <v>Turnover_Takeaway</v>
      </c>
      <c r="AP1848" t="str">
        <f t="shared" si="212"/>
        <v>Defensive</v>
      </c>
      <c r="BB1848" s="23"/>
      <c r="BD1848" s="21"/>
      <c r="BE1848" s="21"/>
      <c r="BF1848" s="21"/>
      <c r="BG1848" s="21"/>
      <c r="BH1848" s="21"/>
      <c r="BI1848" s="21"/>
    </row>
    <row r="1849" spans="1:61" x14ac:dyDescent="0.2">
      <c r="A1849">
        <v>954</v>
      </c>
      <c r="B1849" t="s">
        <v>887</v>
      </c>
      <c r="C1849" t="str">
        <f t="shared" si="208"/>
        <v/>
      </c>
      <c r="D1849" t="str">
        <f t="shared" si="213"/>
        <v/>
      </c>
      <c r="H1849">
        <f t="shared" si="209"/>
        <v>2</v>
      </c>
      <c r="R1849">
        <v>44</v>
      </c>
      <c r="S1849">
        <v>1</v>
      </c>
      <c r="T1849" t="str">
        <f t="shared" si="207"/>
        <v>e</v>
      </c>
      <c r="Y1849" t="s">
        <v>715</v>
      </c>
      <c r="AA1849" t="s">
        <v>706</v>
      </c>
      <c r="AJ1849">
        <v>1</v>
      </c>
      <c r="AM1849" t="str">
        <f t="shared" si="210"/>
        <v>Turnover</v>
      </c>
      <c r="AN1849" t="str">
        <f t="shared" si="211"/>
        <v>Turnover_Takeaway</v>
      </c>
      <c r="AP1849" t="str">
        <f t="shared" si="212"/>
        <v>Defensive</v>
      </c>
      <c r="BB1849" s="23"/>
      <c r="BD1849" s="21"/>
      <c r="BE1849" s="21"/>
      <c r="BF1849" s="21"/>
      <c r="BG1849" s="21"/>
      <c r="BH1849" s="21"/>
      <c r="BI1849" s="21"/>
    </row>
    <row r="1850" spans="1:61" x14ac:dyDescent="0.2">
      <c r="A1850">
        <v>954</v>
      </c>
      <c r="B1850" t="s">
        <v>887</v>
      </c>
      <c r="C1850" t="str">
        <f t="shared" si="208"/>
        <v/>
      </c>
      <c r="D1850" t="str">
        <f t="shared" si="213"/>
        <v/>
      </c>
      <c r="H1850">
        <f t="shared" si="209"/>
        <v>2</v>
      </c>
      <c r="R1850">
        <v>42</v>
      </c>
      <c r="T1850" t="str">
        <f t="shared" si="207"/>
        <v>o</v>
      </c>
      <c r="Y1850" t="s">
        <v>767</v>
      </c>
      <c r="AA1850" t="s">
        <v>705</v>
      </c>
      <c r="AJ1850">
        <v>1</v>
      </c>
      <c r="AM1850" t="str">
        <f t="shared" si="210"/>
        <v>Turnover</v>
      </c>
      <c r="AN1850" t="str">
        <f t="shared" si="211"/>
        <v>Turnover_Takeaway</v>
      </c>
      <c r="AP1850" t="str">
        <f t="shared" si="212"/>
        <v>Offensive</v>
      </c>
      <c r="BB1850" s="23"/>
      <c r="BD1850" s="21"/>
      <c r="BE1850" s="21"/>
      <c r="BF1850" s="21"/>
      <c r="BG1850" s="21"/>
      <c r="BH1850" s="21"/>
      <c r="BI1850" s="21"/>
    </row>
    <row r="1851" spans="1:61" x14ac:dyDescent="0.2">
      <c r="A1851">
        <v>955</v>
      </c>
      <c r="B1851" t="s">
        <v>887</v>
      </c>
      <c r="C1851" t="str">
        <f t="shared" si="208"/>
        <v/>
      </c>
      <c r="D1851" t="str">
        <f t="shared" si="213"/>
        <v/>
      </c>
      <c r="H1851">
        <f t="shared" si="209"/>
        <v>2</v>
      </c>
      <c r="I1851" s="5" t="s">
        <v>897</v>
      </c>
      <c r="J1851" s="5" t="s">
        <v>740</v>
      </c>
      <c r="Q1851" t="s">
        <v>619</v>
      </c>
      <c r="R1851">
        <v>18</v>
      </c>
      <c r="S1851">
        <v>1</v>
      </c>
      <c r="T1851" t="str">
        <f t="shared" si="207"/>
        <v>e</v>
      </c>
      <c r="U1851" t="s">
        <v>8</v>
      </c>
      <c r="V1851" t="s">
        <v>189</v>
      </c>
      <c r="W1851" t="s">
        <v>70</v>
      </c>
      <c r="X1851" t="s">
        <v>706</v>
      </c>
      <c r="AF1851" t="s">
        <v>623</v>
      </c>
      <c r="AJ1851">
        <v>1</v>
      </c>
      <c r="AM1851" t="str">
        <f t="shared" si="210"/>
        <v>Pass</v>
      </c>
      <c r="AN1851" t="str">
        <f t="shared" si="211"/>
        <v>Pass_Completed</v>
      </c>
      <c r="AP1851" t="str">
        <f t="shared" si="212"/>
        <v>Offensive</v>
      </c>
      <c r="BB1851" s="23"/>
      <c r="BD1851" s="21"/>
      <c r="BE1851" s="21"/>
      <c r="BF1851" s="21"/>
      <c r="BG1851" s="21"/>
      <c r="BH1851" s="21"/>
      <c r="BI1851" s="21"/>
    </row>
    <row r="1852" spans="1:61" x14ac:dyDescent="0.2">
      <c r="A1852">
        <v>955</v>
      </c>
      <c r="B1852" t="s">
        <v>887</v>
      </c>
      <c r="C1852" t="str">
        <f t="shared" si="208"/>
        <v/>
      </c>
      <c r="D1852" t="str">
        <f t="shared" si="213"/>
        <v/>
      </c>
      <c r="H1852">
        <f t="shared" si="209"/>
        <v>2</v>
      </c>
      <c r="R1852">
        <v>68</v>
      </c>
      <c r="S1852">
        <v>1</v>
      </c>
      <c r="T1852" t="str">
        <f t="shared" si="207"/>
        <v>e</v>
      </c>
      <c r="AM1852" t="str">
        <f t="shared" si="210"/>
        <v>Pass</v>
      </c>
      <c r="AN1852" t="str">
        <f t="shared" si="211"/>
        <v>Pass_Completed</v>
      </c>
      <c r="AP1852" t="str">
        <f t="shared" si="212"/>
        <v>Offensive</v>
      </c>
      <c r="BB1852" s="23"/>
      <c r="BD1852" s="21"/>
      <c r="BE1852" s="21"/>
      <c r="BF1852" s="21"/>
      <c r="BG1852" s="21"/>
      <c r="BH1852" s="21"/>
      <c r="BI1852" s="21"/>
    </row>
    <row r="1853" spans="1:61" x14ac:dyDescent="0.2">
      <c r="A1853">
        <v>955</v>
      </c>
      <c r="B1853" t="s">
        <v>887</v>
      </c>
      <c r="C1853" t="str">
        <f t="shared" si="208"/>
        <v/>
      </c>
      <c r="D1853" t="str">
        <f t="shared" si="213"/>
        <v/>
      </c>
      <c r="H1853">
        <f t="shared" si="209"/>
        <v>2</v>
      </c>
      <c r="R1853">
        <v>61</v>
      </c>
      <c r="T1853" t="str">
        <f t="shared" si="207"/>
        <v>o</v>
      </c>
      <c r="Y1853" t="s">
        <v>722</v>
      </c>
      <c r="AJ1853">
        <v>1</v>
      </c>
      <c r="AM1853" t="str">
        <f t="shared" si="210"/>
        <v>Pass</v>
      </c>
      <c r="AN1853" t="str">
        <f t="shared" si="211"/>
        <v>Pass_Completed</v>
      </c>
      <c r="AP1853" t="str">
        <f t="shared" si="212"/>
        <v>Defensive</v>
      </c>
      <c r="BB1853" s="23"/>
      <c r="BD1853" s="21"/>
      <c r="BE1853" s="21"/>
      <c r="BF1853" s="21"/>
      <c r="BG1853" s="21"/>
      <c r="BH1853" s="21"/>
      <c r="BI1853" s="21"/>
    </row>
    <row r="1854" spans="1:61" x14ac:dyDescent="0.2">
      <c r="A1854">
        <v>956</v>
      </c>
      <c r="B1854" t="s">
        <v>887</v>
      </c>
      <c r="C1854" t="str">
        <f t="shared" si="208"/>
        <v/>
      </c>
      <c r="D1854" t="str">
        <f t="shared" si="213"/>
        <v/>
      </c>
      <c r="H1854">
        <f t="shared" si="209"/>
        <v>2</v>
      </c>
      <c r="I1854" s="5" t="s">
        <v>897</v>
      </c>
      <c r="J1854" s="5" t="s">
        <v>786</v>
      </c>
      <c r="K1854" s="5" t="s">
        <v>816</v>
      </c>
      <c r="L1854" s="7" t="s">
        <v>622</v>
      </c>
      <c r="Q1854" t="s">
        <v>619</v>
      </c>
      <c r="R1854">
        <v>68</v>
      </c>
      <c r="S1854">
        <v>1</v>
      </c>
      <c r="T1854" t="str">
        <f t="shared" si="207"/>
        <v>e</v>
      </c>
      <c r="U1854" t="s">
        <v>257</v>
      </c>
      <c r="V1854" t="s">
        <v>201</v>
      </c>
      <c r="W1854" t="s">
        <v>90</v>
      </c>
      <c r="X1854" t="s">
        <v>706</v>
      </c>
      <c r="Y1854" t="s">
        <v>678</v>
      </c>
      <c r="AA1854" t="s">
        <v>706</v>
      </c>
      <c r="AF1854" t="s">
        <v>623</v>
      </c>
      <c r="AJ1854">
        <v>1</v>
      </c>
      <c r="AM1854" t="str">
        <f t="shared" si="210"/>
        <v>Zone_Entry_Exit</v>
      </c>
      <c r="AN1854" t="str">
        <f t="shared" si="211"/>
        <v>Zone_Exit</v>
      </c>
      <c r="AP1854" t="str">
        <f t="shared" si="212"/>
        <v>Offensive</v>
      </c>
      <c r="BB1854" s="23"/>
      <c r="BD1854" s="21"/>
      <c r="BE1854" s="21"/>
      <c r="BF1854" s="21"/>
      <c r="BG1854" s="21"/>
      <c r="BH1854" s="21"/>
      <c r="BI1854" s="21"/>
    </row>
    <row r="1855" spans="1:61" x14ac:dyDescent="0.2">
      <c r="A1855">
        <v>956</v>
      </c>
      <c r="B1855" t="s">
        <v>887</v>
      </c>
      <c r="C1855" t="str">
        <f t="shared" si="208"/>
        <v/>
      </c>
      <c r="D1855" t="str">
        <f t="shared" si="213"/>
        <v/>
      </c>
      <c r="H1855">
        <f t="shared" si="209"/>
        <v>2</v>
      </c>
      <c r="R1855">
        <v>55</v>
      </c>
      <c r="T1855" t="str">
        <f t="shared" si="207"/>
        <v>o</v>
      </c>
      <c r="AJ1855">
        <v>1</v>
      </c>
      <c r="AM1855" t="str">
        <f t="shared" si="210"/>
        <v>Zone_Entry_Exit</v>
      </c>
      <c r="AN1855" t="str">
        <f t="shared" si="211"/>
        <v>Zone_Exit</v>
      </c>
      <c r="AP1855" t="str">
        <f t="shared" si="212"/>
        <v>Defensive</v>
      </c>
      <c r="BB1855" s="23"/>
      <c r="BD1855" s="21"/>
      <c r="BE1855" s="21"/>
      <c r="BF1855" s="21"/>
      <c r="BG1855" s="21"/>
      <c r="BH1855" s="21"/>
      <c r="BI1855" s="21"/>
    </row>
    <row r="1856" spans="1:61" x14ac:dyDescent="0.2">
      <c r="A1856">
        <v>957</v>
      </c>
      <c r="B1856" t="s">
        <v>887</v>
      </c>
      <c r="C1856" t="str">
        <f t="shared" si="208"/>
        <v/>
      </c>
      <c r="D1856" t="str">
        <f t="shared" si="213"/>
        <v/>
      </c>
      <c r="H1856">
        <f t="shared" si="209"/>
        <v>2</v>
      </c>
      <c r="I1856" s="5" t="s">
        <v>816</v>
      </c>
      <c r="J1856" s="5" t="s">
        <v>622</v>
      </c>
      <c r="K1856" s="5" t="s">
        <v>816</v>
      </c>
      <c r="L1856" s="7" t="s">
        <v>637</v>
      </c>
      <c r="Q1856" t="s">
        <v>619</v>
      </c>
      <c r="R1856">
        <v>68</v>
      </c>
      <c r="S1856">
        <v>1</v>
      </c>
      <c r="T1856" t="str">
        <f t="shared" si="207"/>
        <v>e</v>
      </c>
      <c r="U1856" t="s">
        <v>15</v>
      </c>
      <c r="AF1856" t="s">
        <v>635</v>
      </c>
      <c r="AJ1856">
        <v>1</v>
      </c>
      <c r="AM1856" t="str">
        <f t="shared" si="210"/>
        <v>Possession</v>
      </c>
      <c r="AN1856" t="str">
        <f t="shared" si="211"/>
        <v/>
      </c>
      <c r="AP1856" t="str">
        <f t="shared" si="212"/>
        <v>Offensive</v>
      </c>
      <c r="BB1856" s="23"/>
      <c r="BD1856" s="21"/>
      <c r="BE1856" s="21"/>
      <c r="BF1856" s="21"/>
      <c r="BG1856" s="21"/>
      <c r="BH1856" s="21"/>
      <c r="BI1856" s="21"/>
    </row>
    <row r="1857" spans="1:61" x14ac:dyDescent="0.2">
      <c r="A1857">
        <v>957</v>
      </c>
      <c r="B1857" t="s">
        <v>887</v>
      </c>
      <c r="C1857" t="str">
        <f t="shared" si="208"/>
        <v/>
      </c>
      <c r="D1857" t="str">
        <f t="shared" si="213"/>
        <v/>
      </c>
      <c r="H1857">
        <f t="shared" si="209"/>
        <v>2</v>
      </c>
      <c r="R1857">
        <v>55</v>
      </c>
      <c r="T1857" t="str">
        <f t="shared" si="207"/>
        <v>o</v>
      </c>
      <c r="Y1857" t="s">
        <v>715</v>
      </c>
      <c r="AJ1857">
        <v>1</v>
      </c>
      <c r="AM1857" t="str">
        <f t="shared" si="210"/>
        <v>Possession</v>
      </c>
      <c r="AN1857" t="str">
        <f t="shared" si="211"/>
        <v/>
      </c>
      <c r="AP1857" t="str">
        <f t="shared" si="212"/>
        <v>Defensive</v>
      </c>
      <c r="BB1857" s="23"/>
      <c r="BD1857" s="21"/>
      <c r="BE1857" s="21"/>
      <c r="BF1857" s="21"/>
      <c r="BG1857" s="21"/>
      <c r="BH1857" s="21"/>
      <c r="BI1857" s="21"/>
    </row>
    <row r="1858" spans="1:61" x14ac:dyDescent="0.2">
      <c r="A1858">
        <v>958</v>
      </c>
      <c r="B1858" t="s">
        <v>887</v>
      </c>
      <c r="C1858" t="str">
        <f t="shared" si="208"/>
        <v/>
      </c>
      <c r="D1858" t="str">
        <f t="shared" si="213"/>
        <v/>
      </c>
      <c r="H1858">
        <f t="shared" si="209"/>
        <v>2</v>
      </c>
      <c r="I1858" s="5" t="s">
        <v>816</v>
      </c>
      <c r="J1858" s="5" t="s">
        <v>637</v>
      </c>
      <c r="K1858" s="5" t="s">
        <v>816</v>
      </c>
      <c r="L1858" s="7" t="s">
        <v>762</v>
      </c>
      <c r="Q1858" t="s">
        <v>619</v>
      </c>
      <c r="R1858">
        <v>68</v>
      </c>
      <c r="S1858">
        <v>1</v>
      </c>
      <c r="T1858" t="str">
        <f t="shared" si="207"/>
        <v>e</v>
      </c>
      <c r="U1858" t="s">
        <v>257</v>
      </c>
      <c r="V1858" t="s">
        <v>191</v>
      </c>
      <c r="W1858" t="s">
        <v>87</v>
      </c>
      <c r="X1858" t="s">
        <v>706</v>
      </c>
      <c r="Y1858" t="s">
        <v>677</v>
      </c>
      <c r="AA1858" t="s">
        <v>706</v>
      </c>
      <c r="AF1858" t="s">
        <v>401</v>
      </c>
      <c r="AM1858" t="str">
        <f t="shared" si="210"/>
        <v>Zone_Entry_Exit</v>
      </c>
      <c r="AN1858" t="str">
        <f t="shared" si="211"/>
        <v>Zone_Entry</v>
      </c>
      <c r="AP1858" t="str">
        <f t="shared" si="212"/>
        <v>Offensive</v>
      </c>
      <c r="BB1858" s="23"/>
      <c r="BD1858" s="21"/>
      <c r="BE1858" s="21"/>
      <c r="BF1858" s="21"/>
      <c r="BG1858" s="21"/>
      <c r="BH1858" s="21"/>
      <c r="BI1858" s="21"/>
    </row>
    <row r="1859" spans="1:61" x14ac:dyDescent="0.2">
      <c r="A1859">
        <v>958</v>
      </c>
      <c r="B1859" t="s">
        <v>887</v>
      </c>
      <c r="C1859" t="str">
        <f t="shared" si="208"/>
        <v/>
      </c>
      <c r="D1859" t="str">
        <f t="shared" si="213"/>
        <v/>
      </c>
      <c r="H1859">
        <f t="shared" si="209"/>
        <v>2</v>
      </c>
      <c r="R1859">
        <v>77</v>
      </c>
      <c r="S1859">
        <v>1</v>
      </c>
      <c r="T1859" t="str">
        <f t="shared" ref="T1859:T1922" si="214">IF(S1859="x","",IF(S1859=1,"e","o"))</f>
        <v>e</v>
      </c>
      <c r="AM1859" t="str">
        <f t="shared" si="210"/>
        <v>Zone_Entry_Exit</v>
      </c>
      <c r="AN1859" t="str">
        <f t="shared" si="211"/>
        <v>Zone_Entry</v>
      </c>
      <c r="AP1859" t="str">
        <f t="shared" si="212"/>
        <v>Offensive</v>
      </c>
      <c r="BB1859" s="23"/>
      <c r="BD1859" s="21"/>
      <c r="BE1859" s="21"/>
      <c r="BF1859" s="21"/>
      <c r="BG1859" s="21"/>
      <c r="BH1859" s="21"/>
      <c r="BI1859" s="21"/>
    </row>
    <row r="1860" spans="1:61" x14ac:dyDescent="0.2">
      <c r="A1860">
        <v>958</v>
      </c>
      <c r="B1860" t="s">
        <v>887</v>
      </c>
      <c r="C1860" t="str">
        <f t="shared" ref="C1860:C1923" si="215">IF(B1860&lt;&gt;"",9000+B1860,"")</f>
        <v/>
      </c>
      <c r="D1860" t="str">
        <f t="shared" si="213"/>
        <v/>
      </c>
      <c r="H1860">
        <f t="shared" si="209"/>
        <v>2</v>
      </c>
      <c r="R1860">
        <v>84</v>
      </c>
      <c r="T1860" t="str">
        <f t="shared" si="214"/>
        <v>o</v>
      </c>
      <c r="AM1860" t="str">
        <f t="shared" si="210"/>
        <v>Zone_Entry_Exit</v>
      </c>
      <c r="AN1860" t="str">
        <f t="shared" si="211"/>
        <v>Zone_Entry</v>
      </c>
      <c r="AP1860" t="str">
        <f t="shared" si="212"/>
        <v>Defensive</v>
      </c>
      <c r="BB1860" s="23"/>
      <c r="BD1860" s="21"/>
      <c r="BE1860" s="21"/>
      <c r="BF1860" s="21"/>
      <c r="BG1860" s="21"/>
      <c r="BH1860" s="21"/>
      <c r="BI1860" s="21"/>
    </row>
    <row r="1861" spans="1:61" x14ac:dyDescent="0.2">
      <c r="A1861">
        <v>958</v>
      </c>
      <c r="B1861" t="s">
        <v>887</v>
      </c>
      <c r="C1861" t="str">
        <f t="shared" si="215"/>
        <v/>
      </c>
      <c r="D1861" t="str">
        <f t="shared" si="213"/>
        <v/>
      </c>
      <c r="H1861">
        <f t="shared" ref="H1861:H1924" si="216">IF(U1861="Intermission",H1860+1,H1860)</f>
        <v>2</v>
      </c>
      <c r="R1861">
        <v>91</v>
      </c>
      <c r="T1861" t="str">
        <f t="shared" si="214"/>
        <v>o</v>
      </c>
      <c r="AM1861" t="str">
        <f t="shared" ref="AM1861:AM1924" si="217">IF(U1861&lt;&gt;"",U1861,IF($A1861=$A1860,AM1860,""))</f>
        <v>Zone_Entry_Exit</v>
      </c>
      <c r="AN1861" t="str">
        <f t="shared" ref="AN1861:AN1924" si="218">IF(V1861&lt;&gt;"",V1861,IF($A1861=$A1860,AN1860,""))</f>
        <v>Zone_Entry</v>
      </c>
      <c r="AP1861" t="str">
        <f t="shared" si="212"/>
        <v>Defensive</v>
      </c>
      <c r="BB1861" s="23"/>
      <c r="BD1861" s="21"/>
      <c r="BE1861" s="21"/>
      <c r="BF1861" s="21"/>
      <c r="BG1861" s="21"/>
      <c r="BH1861" s="21"/>
      <c r="BI1861" s="21"/>
    </row>
    <row r="1862" spans="1:61" x14ac:dyDescent="0.2">
      <c r="A1862">
        <v>959</v>
      </c>
      <c r="B1862" t="s">
        <v>887</v>
      </c>
      <c r="C1862" t="str">
        <f t="shared" si="215"/>
        <v/>
      </c>
      <c r="D1862" t="str">
        <f t="shared" si="213"/>
        <v/>
      </c>
      <c r="H1862">
        <f t="shared" si="216"/>
        <v>2</v>
      </c>
      <c r="I1862" s="5" t="s">
        <v>816</v>
      </c>
      <c r="J1862" s="5" t="s">
        <v>762</v>
      </c>
      <c r="Q1862" t="s">
        <v>619</v>
      </c>
      <c r="R1862">
        <v>68</v>
      </c>
      <c r="S1862">
        <v>1</v>
      </c>
      <c r="T1862" t="str">
        <f t="shared" si="214"/>
        <v>e</v>
      </c>
      <c r="U1862" t="s">
        <v>8</v>
      </c>
      <c r="V1862" t="s">
        <v>189</v>
      </c>
      <c r="W1862" t="s">
        <v>418</v>
      </c>
      <c r="X1862" t="s">
        <v>706</v>
      </c>
      <c r="AF1862" t="s">
        <v>401</v>
      </c>
      <c r="AM1862" t="str">
        <f t="shared" si="217"/>
        <v>Pass</v>
      </c>
      <c r="AN1862" t="str">
        <f t="shared" si="218"/>
        <v>Pass_Completed</v>
      </c>
      <c r="AP1862" t="str">
        <f t="shared" ref="AP1862:AP1925" si="219">IF(AND(T1862="e",OR(AM1862="Save",AN1862="Turnover_Takeaway",AN1862="Play_Defensive")),"Defensive",IF(AND(T1862="o",OR(AM1862="Save",AN1862="Turnover_Takeaway",AN1862="Play_Defensive")),"Offensive",IF(OR(AM1862="Deadice",AM1862="Stoppage",AM1862="Intermission"),"",IF(T1862="e","Offensive",IF(T1862="o","Defensive","")))))</f>
        <v>Offensive</v>
      </c>
      <c r="BB1862" s="23"/>
      <c r="BD1862" s="21"/>
      <c r="BE1862" s="21"/>
      <c r="BF1862" s="21"/>
      <c r="BG1862" s="21"/>
      <c r="BH1862" s="21"/>
      <c r="BI1862" s="21"/>
    </row>
    <row r="1863" spans="1:61" x14ac:dyDescent="0.2">
      <c r="A1863">
        <v>959</v>
      </c>
      <c r="B1863" t="s">
        <v>887</v>
      </c>
      <c r="C1863" t="str">
        <f t="shared" si="215"/>
        <v/>
      </c>
      <c r="D1863" t="str">
        <f t="shared" si="213"/>
        <v/>
      </c>
      <c r="H1863">
        <f t="shared" si="216"/>
        <v>2</v>
      </c>
      <c r="R1863">
        <v>44</v>
      </c>
      <c r="S1863">
        <v>1</v>
      </c>
      <c r="T1863" t="str">
        <f t="shared" si="214"/>
        <v>e</v>
      </c>
      <c r="AM1863" t="str">
        <f t="shared" si="217"/>
        <v>Pass</v>
      </c>
      <c r="AN1863" t="str">
        <f t="shared" si="218"/>
        <v>Pass_Completed</v>
      </c>
      <c r="AP1863" t="str">
        <f t="shared" si="219"/>
        <v>Offensive</v>
      </c>
      <c r="BB1863" s="23"/>
      <c r="BD1863" s="21"/>
      <c r="BE1863" s="21"/>
      <c r="BF1863" s="21"/>
      <c r="BG1863" s="21"/>
      <c r="BH1863" s="21"/>
      <c r="BI1863" s="21"/>
    </row>
    <row r="1864" spans="1:61" x14ac:dyDescent="0.2">
      <c r="A1864">
        <v>960</v>
      </c>
      <c r="B1864" t="s">
        <v>887</v>
      </c>
      <c r="C1864" t="str">
        <f t="shared" si="215"/>
        <v/>
      </c>
      <c r="D1864" t="str">
        <f t="shared" si="213"/>
        <v/>
      </c>
      <c r="H1864">
        <f t="shared" si="216"/>
        <v>2</v>
      </c>
      <c r="I1864" s="5" t="s">
        <v>816</v>
      </c>
      <c r="J1864" s="5" t="s">
        <v>762</v>
      </c>
      <c r="Q1864" t="s">
        <v>619</v>
      </c>
      <c r="R1864">
        <v>44</v>
      </c>
      <c r="S1864">
        <v>1</v>
      </c>
      <c r="T1864" t="str">
        <f t="shared" si="214"/>
        <v>e</v>
      </c>
      <c r="U1864" t="s">
        <v>7</v>
      </c>
      <c r="V1864" t="s">
        <v>198</v>
      </c>
      <c r="W1864" t="s">
        <v>65</v>
      </c>
      <c r="X1864" t="s">
        <v>705</v>
      </c>
      <c r="AF1864" t="s">
        <v>401</v>
      </c>
      <c r="AJ1864">
        <v>1</v>
      </c>
      <c r="AM1864" t="str">
        <f t="shared" si="217"/>
        <v>Shot</v>
      </c>
      <c r="AN1864" t="str">
        <f t="shared" si="218"/>
        <v>Shot_Missed</v>
      </c>
      <c r="AP1864" t="str">
        <f t="shared" si="219"/>
        <v>Offensive</v>
      </c>
      <c r="BB1864" s="23"/>
      <c r="BD1864" s="21"/>
      <c r="BE1864" s="21"/>
      <c r="BF1864" s="21"/>
      <c r="BG1864" s="21"/>
      <c r="BH1864" s="21"/>
      <c r="BI1864" s="21"/>
    </row>
    <row r="1865" spans="1:61" x14ac:dyDescent="0.2">
      <c r="A1865">
        <v>960</v>
      </c>
      <c r="B1865" t="s">
        <v>887</v>
      </c>
      <c r="C1865" t="str">
        <f t="shared" si="215"/>
        <v/>
      </c>
      <c r="D1865" t="str">
        <f t="shared" ref="D1865:D1928" si="220">IF(C1865&lt;&gt;"",C1865,B1865)</f>
        <v/>
      </c>
      <c r="H1865">
        <f t="shared" si="216"/>
        <v>2</v>
      </c>
      <c r="R1865">
        <v>55</v>
      </c>
      <c r="T1865" t="str">
        <f t="shared" si="214"/>
        <v>o</v>
      </c>
      <c r="Y1865" t="s">
        <v>722</v>
      </c>
      <c r="AJ1865">
        <v>1</v>
      </c>
      <c r="AM1865" t="str">
        <f t="shared" si="217"/>
        <v>Shot</v>
      </c>
      <c r="AN1865" t="str">
        <f t="shared" si="218"/>
        <v>Shot_Missed</v>
      </c>
      <c r="AP1865" t="str">
        <f t="shared" si="219"/>
        <v>Defensive</v>
      </c>
      <c r="BB1865" s="23"/>
      <c r="BD1865" s="21"/>
      <c r="BE1865" s="21"/>
      <c r="BF1865" s="21"/>
      <c r="BG1865" s="21"/>
      <c r="BH1865" s="21"/>
      <c r="BI1865" s="21"/>
    </row>
    <row r="1866" spans="1:61" x14ac:dyDescent="0.2">
      <c r="A1866">
        <v>960</v>
      </c>
      <c r="B1866" t="s">
        <v>887</v>
      </c>
      <c r="C1866" t="str">
        <f t="shared" si="215"/>
        <v/>
      </c>
      <c r="D1866" t="str">
        <f t="shared" si="220"/>
        <v/>
      </c>
      <c r="H1866">
        <f t="shared" si="216"/>
        <v>2</v>
      </c>
      <c r="R1866">
        <v>91</v>
      </c>
      <c r="T1866" t="str">
        <f t="shared" si="214"/>
        <v>o</v>
      </c>
      <c r="Y1866" t="s">
        <v>722</v>
      </c>
      <c r="AM1866" t="str">
        <f t="shared" si="217"/>
        <v>Shot</v>
      </c>
      <c r="AN1866" t="str">
        <f t="shared" si="218"/>
        <v>Shot_Missed</v>
      </c>
      <c r="AP1866" t="str">
        <f t="shared" si="219"/>
        <v>Defensive</v>
      </c>
      <c r="BB1866" s="23"/>
      <c r="BD1866" s="21"/>
      <c r="BE1866" s="21"/>
      <c r="BF1866" s="21"/>
      <c r="BG1866" s="21"/>
      <c r="BH1866" s="21"/>
      <c r="BI1866" s="21"/>
    </row>
    <row r="1867" spans="1:61" x14ac:dyDescent="0.2">
      <c r="A1867">
        <v>961</v>
      </c>
      <c r="B1867" t="s">
        <v>887</v>
      </c>
      <c r="C1867" t="str">
        <f t="shared" si="215"/>
        <v/>
      </c>
      <c r="D1867" t="str">
        <f t="shared" si="220"/>
        <v/>
      </c>
      <c r="H1867">
        <f t="shared" si="216"/>
        <v>2</v>
      </c>
      <c r="I1867" s="5" t="s">
        <v>816</v>
      </c>
      <c r="J1867" s="5" t="s">
        <v>639</v>
      </c>
      <c r="Q1867" t="s">
        <v>619</v>
      </c>
      <c r="R1867">
        <v>18</v>
      </c>
      <c r="S1867">
        <v>1</v>
      </c>
      <c r="T1867" t="str">
        <f t="shared" si="214"/>
        <v>e</v>
      </c>
      <c r="U1867" t="s">
        <v>15</v>
      </c>
      <c r="V1867" t="s">
        <v>698</v>
      </c>
      <c r="X1867" t="s">
        <v>706</v>
      </c>
      <c r="Y1867" t="s">
        <v>739</v>
      </c>
      <c r="AA1867" t="s">
        <v>706</v>
      </c>
      <c r="AF1867" t="s">
        <v>401</v>
      </c>
      <c r="AJ1867">
        <v>1</v>
      </c>
      <c r="AM1867" t="str">
        <f t="shared" si="217"/>
        <v>Possession</v>
      </c>
      <c r="AN1867" t="str">
        <f t="shared" si="218"/>
        <v>PuckRecovery</v>
      </c>
      <c r="AP1867" t="str">
        <f t="shared" si="219"/>
        <v>Offensive</v>
      </c>
      <c r="BB1867" s="23"/>
      <c r="BD1867" s="21"/>
      <c r="BE1867" s="21"/>
      <c r="BF1867" s="21"/>
      <c r="BG1867" s="21"/>
      <c r="BH1867" s="21"/>
      <c r="BI1867" s="21"/>
    </row>
    <row r="1868" spans="1:61" x14ac:dyDescent="0.2">
      <c r="A1868">
        <v>961</v>
      </c>
      <c r="B1868" t="s">
        <v>887</v>
      </c>
      <c r="C1868" t="str">
        <f t="shared" si="215"/>
        <v/>
      </c>
      <c r="D1868" t="str">
        <f t="shared" si="220"/>
        <v/>
      </c>
      <c r="H1868">
        <f t="shared" si="216"/>
        <v>2</v>
      </c>
      <c r="R1868">
        <v>70</v>
      </c>
      <c r="T1868" t="str">
        <f t="shared" si="214"/>
        <v>o</v>
      </c>
      <c r="AM1868" t="str">
        <f t="shared" si="217"/>
        <v>Possession</v>
      </c>
      <c r="AN1868" t="str">
        <f t="shared" si="218"/>
        <v>PuckRecovery</v>
      </c>
      <c r="AP1868" t="str">
        <f t="shared" si="219"/>
        <v>Defensive</v>
      </c>
      <c r="BB1868" s="23"/>
      <c r="BD1868" s="21"/>
      <c r="BE1868" s="21"/>
      <c r="BF1868" s="21"/>
      <c r="BG1868" s="21"/>
      <c r="BH1868" s="21"/>
      <c r="BI1868" s="21"/>
    </row>
    <row r="1869" spans="1:61" x14ac:dyDescent="0.2">
      <c r="A1869">
        <v>962</v>
      </c>
      <c r="B1869" t="s">
        <v>887</v>
      </c>
      <c r="C1869" t="str">
        <f t="shared" si="215"/>
        <v/>
      </c>
      <c r="D1869" t="str">
        <f t="shared" si="220"/>
        <v/>
      </c>
      <c r="H1869">
        <f t="shared" si="216"/>
        <v>2</v>
      </c>
      <c r="I1869" s="5" t="s">
        <v>816</v>
      </c>
      <c r="J1869" s="5" t="s">
        <v>753</v>
      </c>
      <c r="Q1869" t="s">
        <v>619</v>
      </c>
      <c r="R1869">
        <v>18</v>
      </c>
      <c r="S1869">
        <v>1</v>
      </c>
      <c r="T1869" t="str">
        <f t="shared" si="214"/>
        <v>e</v>
      </c>
      <c r="U1869" t="s">
        <v>8</v>
      </c>
      <c r="V1869" t="s">
        <v>189</v>
      </c>
      <c r="W1869" t="s">
        <v>70</v>
      </c>
      <c r="X1869" t="s">
        <v>706</v>
      </c>
      <c r="Y1869" t="s">
        <v>814</v>
      </c>
      <c r="AA1869" t="s">
        <v>706</v>
      </c>
      <c r="AF1869" t="s">
        <v>401</v>
      </c>
      <c r="AJ1869">
        <v>1</v>
      </c>
      <c r="AM1869" t="str">
        <f t="shared" si="217"/>
        <v>Pass</v>
      </c>
      <c r="AN1869" t="str">
        <f t="shared" si="218"/>
        <v>Pass_Completed</v>
      </c>
      <c r="AP1869" t="str">
        <f t="shared" si="219"/>
        <v>Offensive</v>
      </c>
      <c r="BB1869" s="23"/>
      <c r="BD1869" s="21"/>
      <c r="BE1869" s="21"/>
      <c r="BF1869" s="21"/>
      <c r="BG1869" s="21"/>
      <c r="BH1869" s="21"/>
      <c r="BI1869" s="21"/>
    </row>
    <row r="1870" spans="1:61" x14ac:dyDescent="0.2">
      <c r="A1870">
        <v>962</v>
      </c>
      <c r="B1870" t="s">
        <v>887</v>
      </c>
      <c r="C1870" t="str">
        <f t="shared" si="215"/>
        <v/>
      </c>
      <c r="D1870" t="str">
        <f t="shared" si="220"/>
        <v/>
      </c>
      <c r="H1870">
        <f t="shared" si="216"/>
        <v>2</v>
      </c>
      <c r="R1870">
        <v>77</v>
      </c>
      <c r="S1870">
        <v>1</v>
      </c>
      <c r="T1870" t="str">
        <f t="shared" si="214"/>
        <v>e</v>
      </c>
      <c r="AM1870" t="str">
        <f t="shared" si="217"/>
        <v>Pass</v>
      </c>
      <c r="AN1870" t="str">
        <f t="shared" si="218"/>
        <v>Pass_Completed</v>
      </c>
      <c r="AP1870" t="str">
        <f t="shared" si="219"/>
        <v>Offensive</v>
      </c>
      <c r="BB1870" s="23"/>
      <c r="BD1870" s="21"/>
      <c r="BE1870" s="21"/>
      <c r="BF1870" s="21"/>
      <c r="BG1870" s="21"/>
      <c r="BH1870" s="21"/>
      <c r="BI1870" s="21"/>
    </row>
    <row r="1871" spans="1:61" x14ac:dyDescent="0.2">
      <c r="A1871">
        <v>962</v>
      </c>
      <c r="B1871" t="s">
        <v>887</v>
      </c>
      <c r="C1871" t="str">
        <f t="shared" si="215"/>
        <v/>
      </c>
      <c r="D1871" t="str">
        <f t="shared" si="220"/>
        <v/>
      </c>
      <c r="H1871">
        <f t="shared" si="216"/>
        <v>2</v>
      </c>
      <c r="R1871">
        <v>70</v>
      </c>
      <c r="T1871" t="str">
        <f t="shared" si="214"/>
        <v>o</v>
      </c>
      <c r="AJ1871">
        <v>1</v>
      </c>
      <c r="AM1871" t="str">
        <f t="shared" si="217"/>
        <v>Pass</v>
      </c>
      <c r="AN1871" t="str">
        <f t="shared" si="218"/>
        <v>Pass_Completed</v>
      </c>
      <c r="AP1871" t="str">
        <f t="shared" si="219"/>
        <v>Defensive</v>
      </c>
      <c r="BB1871" s="23"/>
      <c r="BD1871" s="21"/>
      <c r="BE1871" s="21"/>
      <c r="BF1871" s="21"/>
      <c r="BG1871" s="21"/>
      <c r="BH1871" s="21"/>
      <c r="BI1871" s="21"/>
    </row>
    <row r="1872" spans="1:61" x14ac:dyDescent="0.2">
      <c r="A1872">
        <v>963</v>
      </c>
      <c r="B1872" t="s">
        <v>887</v>
      </c>
      <c r="C1872" t="str">
        <f t="shared" si="215"/>
        <v/>
      </c>
      <c r="D1872" t="str">
        <f t="shared" si="220"/>
        <v/>
      </c>
      <c r="H1872">
        <f t="shared" si="216"/>
        <v>2</v>
      </c>
      <c r="I1872" s="5" t="s">
        <v>816</v>
      </c>
      <c r="J1872" s="5" t="s">
        <v>753</v>
      </c>
      <c r="K1872" s="5" t="s">
        <v>816</v>
      </c>
      <c r="L1872" s="7" t="s">
        <v>789</v>
      </c>
      <c r="Q1872" t="s">
        <v>619</v>
      </c>
      <c r="R1872">
        <v>77</v>
      </c>
      <c r="S1872">
        <v>1</v>
      </c>
      <c r="T1872" t="str">
        <f t="shared" si="214"/>
        <v>e</v>
      </c>
      <c r="U1872" t="s">
        <v>15</v>
      </c>
      <c r="Y1872" t="s">
        <v>728</v>
      </c>
      <c r="AF1872" t="s">
        <v>401</v>
      </c>
      <c r="AJ1872">
        <v>1</v>
      </c>
      <c r="AM1872" t="str">
        <f t="shared" si="217"/>
        <v>Possession</v>
      </c>
      <c r="AN1872" t="str">
        <f t="shared" si="218"/>
        <v/>
      </c>
      <c r="AP1872" t="str">
        <f t="shared" si="219"/>
        <v>Offensive</v>
      </c>
      <c r="BB1872" s="23"/>
      <c r="BD1872" s="21"/>
      <c r="BE1872" s="21"/>
      <c r="BF1872" s="21"/>
      <c r="BG1872" s="21"/>
      <c r="BH1872" s="21"/>
      <c r="BI1872" s="21"/>
    </row>
    <row r="1873" spans="1:61" x14ac:dyDescent="0.2">
      <c r="A1873">
        <v>963</v>
      </c>
      <c r="B1873" t="s">
        <v>887</v>
      </c>
      <c r="C1873" t="str">
        <f t="shared" si="215"/>
        <v/>
      </c>
      <c r="D1873" t="str">
        <f t="shared" si="220"/>
        <v/>
      </c>
      <c r="H1873">
        <f t="shared" si="216"/>
        <v>2</v>
      </c>
      <c r="R1873">
        <v>91</v>
      </c>
      <c r="T1873" t="str">
        <f t="shared" si="214"/>
        <v>o</v>
      </c>
      <c r="Y1873" t="s">
        <v>715</v>
      </c>
      <c r="AJ1873">
        <v>1</v>
      </c>
      <c r="AM1873" t="str">
        <f t="shared" si="217"/>
        <v>Possession</v>
      </c>
      <c r="AN1873" t="str">
        <f t="shared" si="218"/>
        <v/>
      </c>
      <c r="AP1873" t="str">
        <f t="shared" si="219"/>
        <v>Defensive</v>
      </c>
      <c r="BB1873" s="23"/>
      <c r="BD1873" s="21"/>
      <c r="BE1873" s="21"/>
      <c r="BF1873" s="21"/>
      <c r="BG1873" s="21"/>
      <c r="BH1873" s="21"/>
      <c r="BI1873" s="21"/>
    </row>
    <row r="1874" spans="1:61" x14ac:dyDescent="0.2">
      <c r="A1874">
        <v>963</v>
      </c>
      <c r="B1874" t="s">
        <v>887</v>
      </c>
      <c r="C1874" t="str">
        <f t="shared" si="215"/>
        <v/>
      </c>
      <c r="D1874" t="str">
        <f t="shared" si="220"/>
        <v/>
      </c>
      <c r="H1874">
        <f t="shared" si="216"/>
        <v>2</v>
      </c>
      <c r="R1874">
        <v>55</v>
      </c>
      <c r="T1874" t="str">
        <f t="shared" si="214"/>
        <v>o</v>
      </c>
      <c r="Y1874" t="s">
        <v>715</v>
      </c>
      <c r="AJ1874">
        <v>1</v>
      </c>
      <c r="AM1874" t="str">
        <f t="shared" si="217"/>
        <v>Possession</v>
      </c>
      <c r="AN1874" t="str">
        <f t="shared" si="218"/>
        <v/>
      </c>
      <c r="AP1874" t="str">
        <f t="shared" si="219"/>
        <v>Defensive</v>
      </c>
      <c r="BB1874" s="23"/>
      <c r="BD1874" s="21"/>
      <c r="BE1874" s="21"/>
      <c r="BF1874" s="21"/>
      <c r="BG1874" s="21"/>
      <c r="BH1874" s="21"/>
      <c r="BI1874" s="21"/>
    </row>
    <row r="1875" spans="1:61" x14ac:dyDescent="0.2">
      <c r="A1875">
        <v>964</v>
      </c>
      <c r="B1875" t="s">
        <v>887</v>
      </c>
      <c r="C1875" t="str">
        <f t="shared" si="215"/>
        <v/>
      </c>
      <c r="D1875" t="str">
        <f t="shared" si="220"/>
        <v/>
      </c>
      <c r="H1875">
        <f t="shared" si="216"/>
        <v>2</v>
      </c>
      <c r="I1875" s="5" t="s">
        <v>816</v>
      </c>
      <c r="J1875" s="5" t="s">
        <v>789</v>
      </c>
      <c r="Q1875" t="s">
        <v>620</v>
      </c>
      <c r="R1875">
        <v>91</v>
      </c>
      <c r="S1875">
        <v>1</v>
      </c>
      <c r="T1875" t="str">
        <f t="shared" si="214"/>
        <v>e</v>
      </c>
      <c r="U1875" t="s">
        <v>247</v>
      </c>
      <c r="V1875" t="s">
        <v>422</v>
      </c>
      <c r="W1875" t="s">
        <v>467</v>
      </c>
      <c r="Y1875" t="s">
        <v>714</v>
      </c>
      <c r="AA1875" t="s">
        <v>706</v>
      </c>
      <c r="AF1875" t="s">
        <v>623</v>
      </c>
      <c r="AJ1875">
        <v>1</v>
      </c>
      <c r="AM1875" t="str">
        <f t="shared" si="217"/>
        <v>Play</v>
      </c>
      <c r="AN1875" t="str">
        <f t="shared" si="218"/>
        <v>Play_Defensive</v>
      </c>
      <c r="AP1875" t="str">
        <f t="shared" si="219"/>
        <v>Defensive</v>
      </c>
      <c r="BB1875" s="23"/>
      <c r="BD1875" s="21"/>
      <c r="BE1875" s="21"/>
      <c r="BF1875" s="21"/>
      <c r="BG1875" s="21"/>
      <c r="BH1875" s="21"/>
      <c r="BI1875" s="21"/>
    </row>
    <row r="1876" spans="1:61" x14ac:dyDescent="0.2">
      <c r="A1876">
        <v>964</v>
      </c>
      <c r="B1876" t="s">
        <v>887</v>
      </c>
      <c r="C1876" t="str">
        <f t="shared" si="215"/>
        <v/>
      </c>
      <c r="D1876" t="str">
        <f t="shared" si="220"/>
        <v/>
      </c>
      <c r="H1876">
        <f t="shared" si="216"/>
        <v>2</v>
      </c>
      <c r="R1876">
        <v>55</v>
      </c>
      <c r="S1876">
        <v>1</v>
      </c>
      <c r="T1876" t="str">
        <f t="shared" si="214"/>
        <v>e</v>
      </c>
      <c r="Y1876" t="s">
        <v>715</v>
      </c>
      <c r="AJ1876">
        <v>1</v>
      </c>
      <c r="AM1876" t="str">
        <f t="shared" si="217"/>
        <v>Play</v>
      </c>
      <c r="AN1876" t="str">
        <f t="shared" si="218"/>
        <v>Play_Defensive</v>
      </c>
      <c r="AP1876" t="str">
        <f t="shared" si="219"/>
        <v>Defensive</v>
      </c>
      <c r="BB1876" s="23"/>
      <c r="BD1876" s="21"/>
      <c r="BE1876" s="21"/>
      <c r="BF1876" s="21"/>
      <c r="BG1876" s="21"/>
      <c r="BH1876" s="21"/>
      <c r="BI1876" s="21"/>
    </row>
    <row r="1877" spans="1:61" x14ac:dyDescent="0.2">
      <c r="A1877">
        <v>964</v>
      </c>
      <c r="B1877" t="s">
        <v>887</v>
      </c>
      <c r="C1877" t="str">
        <f t="shared" si="215"/>
        <v/>
      </c>
      <c r="D1877" t="str">
        <f t="shared" si="220"/>
        <v/>
      </c>
      <c r="H1877">
        <f t="shared" si="216"/>
        <v>2</v>
      </c>
      <c r="R1877">
        <v>77</v>
      </c>
      <c r="T1877" t="str">
        <f t="shared" si="214"/>
        <v>o</v>
      </c>
      <c r="Y1877" t="s">
        <v>728</v>
      </c>
      <c r="AJ1877">
        <v>1</v>
      </c>
      <c r="AM1877" t="str">
        <f t="shared" si="217"/>
        <v>Play</v>
      </c>
      <c r="AN1877" t="str">
        <f t="shared" si="218"/>
        <v>Play_Defensive</v>
      </c>
      <c r="AP1877" t="str">
        <f t="shared" si="219"/>
        <v>Offensive</v>
      </c>
      <c r="BB1877" s="23"/>
      <c r="BD1877" s="21"/>
      <c r="BE1877" s="21"/>
      <c r="BF1877" s="21"/>
      <c r="BG1877" s="21"/>
      <c r="BH1877" s="21"/>
      <c r="BI1877" s="21"/>
    </row>
    <row r="1878" spans="1:61" x14ac:dyDescent="0.2">
      <c r="A1878">
        <v>965</v>
      </c>
      <c r="B1878" t="s">
        <v>887</v>
      </c>
      <c r="C1878" t="str">
        <f t="shared" si="215"/>
        <v/>
      </c>
      <c r="D1878" t="str">
        <f t="shared" si="220"/>
        <v/>
      </c>
      <c r="H1878">
        <f t="shared" si="216"/>
        <v>2</v>
      </c>
      <c r="I1878" s="5" t="s">
        <v>816</v>
      </c>
      <c r="J1878" s="5" t="s">
        <v>672</v>
      </c>
      <c r="K1878" s="5" t="s">
        <v>816</v>
      </c>
      <c r="L1878" s="7" t="s">
        <v>810</v>
      </c>
      <c r="Q1878" t="s">
        <v>619</v>
      </c>
      <c r="R1878">
        <v>77</v>
      </c>
      <c r="S1878">
        <v>1</v>
      </c>
      <c r="T1878" t="str">
        <f t="shared" si="214"/>
        <v>e</v>
      </c>
      <c r="U1878" t="s">
        <v>15</v>
      </c>
      <c r="V1878" t="s">
        <v>698</v>
      </c>
      <c r="X1878" t="s">
        <v>706</v>
      </c>
      <c r="Y1878" t="s">
        <v>752</v>
      </c>
      <c r="AA1878" t="s">
        <v>706</v>
      </c>
      <c r="AF1878" t="s">
        <v>401</v>
      </c>
      <c r="AM1878" t="str">
        <f t="shared" si="217"/>
        <v>Possession</v>
      </c>
      <c r="AN1878" t="str">
        <f t="shared" si="218"/>
        <v>PuckRecovery</v>
      </c>
      <c r="AP1878" t="str">
        <f t="shared" si="219"/>
        <v>Offensive</v>
      </c>
      <c r="BB1878" s="23"/>
      <c r="BD1878" s="21"/>
      <c r="BE1878" s="21"/>
      <c r="BF1878" s="21"/>
      <c r="BG1878" s="21"/>
      <c r="BH1878" s="21"/>
      <c r="BI1878" s="21"/>
    </row>
    <row r="1879" spans="1:61" x14ac:dyDescent="0.2">
      <c r="A1879">
        <v>966</v>
      </c>
      <c r="B1879" t="s">
        <v>887</v>
      </c>
      <c r="C1879" t="str">
        <f t="shared" si="215"/>
        <v/>
      </c>
      <c r="D1879" t="str">
        <f t="shared" si="220"/>
        <v/>
      </c>
      <c r="H1879">
        <f t="shared" si="216"/>
        <v>2</v>
      </c>
      <c r="I1879" s="5" t="s">
        <v>816</v>
      </c>
      <c r="J1879" s="5" t="s">
        <v>810</v>
      </c>
      <c r="Q1879" t="s">
        <v>619</v>
      </c>
      <c r="R1879">
        <v>77</v>
      </c>
      <c r="S1879">
        <v>1</v>
      </c>
      <c r="T1879" t="str">
        <f t="shared" si="214"/>
        <v>e</v>
      </c>
      <c r="U1879" t="s">
        <v>8</v>
      </c>
      <c r="V1879" t="s">
        <v>189</v>
      </c>
      <c r="W1879" t="s">
        <v>69</v>
      </c>
      <c r="X1879" t="s">
        <v>706</v>
      </c>
      <c r="Y1879" t="s">
        <v>814</v>
      </c>
      <c r="AA1879" t="s">
        <v>706</v>
      </c>
      <c r="AF1879" t="s">
        <v>401</v>
      </c>
      <c r="AM1879" t="str">
        <f t="shared" si="217"/>
        <v>Pass</v>
      </c>
      <c r="AN1879" t="str">
        <f t="shared" si="218"/>
        <v>Pass_Completed</v>
      </c>
      <c r="AP1879" t="str">
        <f t="shared" si="219"/>
        <v>Offensive</v>
      </c>
      <c r="BB1879" s="23"/>
      <c r="BD1879" s="21"/>
      <c r="BE1879" s="21"/>
      <c r="BF1879" s="21"/>
      <c r="BG1879" s="21"/>
      <c r="BH1879" s="21"/>
      <c r="BI1879" s="21"/>
    </row>
    <row r="1880" spans="1:61" x14ac:dyDescent="0.2">
      <c r="A1880">
        <v>966</v>
      </c>
      <c r="B1880" t="s">
        <v>887</v>
      </c>
      <c r="C1880" t="str">
        <f t="shared" si="215"/>
        <v/>
      </c>
      <c r="D1880" t="str">
        <f t="shared" si="220"/>
        <v/>
      </c>
      <c r="H1880">
        <f t="shared" si="216"/>
        <v>2</v>
      </c>
      <c r="R1880">
        <v>44</v>
      </c>
      <c r="S1880">
        <v>1</v>
      </c>
      <c r="T1880" t="str">
        <f t="shared" si="214"/>
        <v>e</v>
      </c>
      <c r="AM1880" t="str">
        <f t="shared" si="217"/>
        <v>Pass</v>
      </c>
      <c r="AN1880" t="str">
        <f t="shared" si="218"/>
        <v>Pass_Completed</v>
      </c>
      <c r="AP1880" t="str">
        <f t="shared" si="219"/>
        <v>Offensive</v>
      </c>
      <c r="BB1880" s="23"/>
      <c r="BD1880" s="21"/>
      <c r="BE1880" s="21"/>
      <c r="BF1880" s="21"/>
      <c r="BG1880" s="21"/>
      <c r="BH1880" s="21"/>
      <c r="BI1880" s="21"/>
    </row>
    <row r="1881" spans="1:61" x14ac:dyDescent="0.2">
      <c r="A1881">
        <v>967</v>
      </c>
      <c r="B1881" t="s">
        <v>887</v>
      </c>
      <c r="C1881" t="str">
        <f t="shared" si="215"/>
        <v/>
      </c>
      <c r="D1881" t="str">
        <f t="shared" si="220"/>
        <v/>
      </c>
      <c r="H1881">
        <f t="shared" si="216"/>
        <v>2</v>
      </c>
      <c r="I1881" s="5" t="s">
        <v>816</v>
      </c>
      <c r="J1881" s="5" t="s">
        <v>755</v>
      </c>
      <c r="Q1881" t="s">
        <v>619</v>
      </c>
      <c r="R1881">
        <v>44</v>
      </c>
      <c r="S1881">
        <v>1</v>
      </c>
      <c r="T1881" t="str">
        <f t="shared" si="214"/>
        <v>e</v>
      </c>
      <c r="U1881" t="s">
        <v>247</v>
      </c>
      <c r="V1881" t="s">
        <v>421</v>
      </c>
      <c r="W1881" t="s">
        <v>466</v>
      </c>
      <c r="X1881" t="s">
        <v>706</v>
      </c>
      <c r="Y1881" t="s">
        <v>680</v>
      </c>
      <c r="AA1881" t="s">
        <v>706</v>
      </c>
      <c r="AF1881" t="s">
        <v>401</v>
      </c>
      <c r="AM1881" t="str">
        <f t="shared" si="217"/>
        <v>Play</v>
      </c>
      <c r="AN1881" t="str">
        <f t="shared" si="218"/>
        <v>Play_Offensive</v>
      </c>
      <c r="AP1881" t="str">
        <f t="shared" si="219"/>
        <v>Offensive</v>
      </c>
      <c r="BB1881" s="23"/>
      <c r="BD1881" s="21"/>
      <c r="BE1881" s="21"/>
      <c r="BF1881" s="21"/>
      <c r="BG1881" s="21"/>
      <c r="BH1881" s="21"/>
      <c r="BI1881" s="21"/>
    </row>
    <row r="1882" spans="1:61" x14ac:dyDescent="0.2">
      <c r="A1882">
        <v>968</v>
      </c>
      <c r="B1882" t="s">
        <v>887</v>
      </c>
      <c r="C1882" t="str">
        <f t="shared" si="215"/>
        <v/>
      </c>
      <c r="D1882" t="str">
        <f t="shared" si="220"/>
        <v/>
      </c>
      <c r="H1882">
        <f t="shared" si="216"/>
        <v>2</v>
      </c>
      <c r="I1882" s="5" t="s">
        <v>816</v>
      </c>
      <c r="J1882" s="5" t="s">
        <v>713</v>
      </c>
      <c r="K1882" s="5" t="s">
        <v>816</v>
      </c>
      <c r="L1882" s="7" t="s">
        <v>811</v>
      </c>
      <c r="Q1882" t="s">
        <v>619</v>
      </c>
      <c r="R1882">
        <v>13</v>
      </c>
      <c r="S1882">
        <v>1</v>
      </c>
      <c r="T1882" t="str">
        <f t="shared" si="214"/>
        <v>e</v>
      </c>
      <c r="U1882" t="s">
        <v>15</v>
      </c>
      <c r="V1882" t="s">
        <v>698</v>
      </c>
      <c r="X1882" t="s">
        <v>706</v>
      </c>
      <c r="Y1882" t="s">
        <v>858</v>
      </c>
      <c r="AA1882" t="s">
        <v>706</v>
      </c>
      <c r="AF1882" t="s">
        <v>401</v>
      </c>
      <c r="AM1882" t="str">
        <f t="shared" si="217"/>
        <v>Possession</v>
      </c>
      <c r="AN1882" t="str">
        <f t="shared" si="218"/>
        <v>PuckRecovery</v>
      </c>
      <c r="AP1882" t="str">
        <f t="shared" si="219"/>
        <v>Offensive</v>
      </c>
      <c r="BB1882" s="23"/>
      <c r="BD1882" s="21"/>
      <c r="BE1882" s="21"/>
      <c r="BF1882" s="21"/>
      <c r="BG1882" s="21"/>
      <c r="BH1882" s="21"/>
      <c r="BI1882" s="21"/>
    </row>
    <row r="1883" spans="1:61" x14ac:dyDescent="0.2">
      <c r="A1883">
        <v>969</v>
      </c>
      <c r="B1883" t="s">
        <v>887</v>
      </c>
      <c r="C1883" t="str">
        <f t="shared" si="215"/>
        <v/>
      </c>
      <c r="D1883" t="str">
        <f t="shared" si="220"/>
        <v/>
      </c>
      <c r="H1883">
        <f t="shared" si="216"/>
        <v>2</v>
      </c>
      <c r="I1883" s="5" t="s">
        <v>816</v>
      </c>
      <c r="J1883" s="5" t="s">
        <v>811</v>
      </c>
      <c r="K1883" s="5" t="s">
        <v>816</v>
      </c>
      <c r="L1883" s="7" t="s">
        <v>779</v>
      </c>
      <c r="Q1883" t="s">
        <v>619</v>
      </c>
      <c r="R1883">
        <v>13</v>
      </c>
      <c r="S1883">
        <v>1</v>
      </c>
      <c r="T1883" t="str">
        <f t="shared" si="214"/>
        <v>e</v>
      </c>
      <c r="U1883" t="s">
        <v>15</v>
      </c>
      <c r="Y1883" t="s">
        <v>679</v>
      </c>
      <c r="Z1883" t="s">
        <v>784</v>
      </c>
      <c r="AF1883" t="s">
        <v>401</v>
      </c>
      <c r="AJ1883">
        <v>1</v>
      </c>
      <c r="AM1883" t="str">
        <f t="shared" si="217"/>
        <v>Possession</v>
      </c>
      <c r="AN1883" t="str">
        <f t="shared" si="218"/>
        <v/>
      </c>
      <c r="AP1883" t="str">
        <f t="shared" si="219"/>
        <v>Offensive</v>
      </c>
      <c r="BB1883" s="23"/>
      <c r="BD1883" s="21"/>
      <c r="BE1883" s="21"/>
      <c r="BF1883" s="21"/>
      <c r="BG1883" s="21"/>
      <c r="BH1883" s="21"/>
      <c r="BI1883" s="21"/>
    </row>
    <row r="1884" spans="1:61" x14ac:dyDescent="0.2">
      <c r="A1884">
        <v>969</v>
      </c>
      <c r="B1884" t="s">
        <v>887</v>
      </c>
      <c r="C1884" t="str">
        <f t="shared" si="215"/>
        <v/>
      </c>
      <c r="D1884" t="str">
        <f t="shared" si="220"/>
        <v/>
      </c>
      <c r="H1884">
        <f t="shared" si="216"/>
        <v>2</v>
      </c>
      <c r="R1884">
        <v>84</v>
      </c>
      <c r="T1884" t="str">
        <f t="shared" si="214"/>
        <v>o</v>
      </c>
      <c r="AJ1884">
        <v>1</v>
      </c>
      <c r="AM1884" t="str">
        <f t="shared" si="217"/>
        <v>Possession</v>
      </c>
      <c r="AN1884" t="str">
        <f t="shared" si="218"/>
        <v/>
      </c>
      <c r="AP1884" t="str">
        <f t="shared" si="219"/>
        <v>Defensive</v>
      </c>
      <c r="BB1884" s="23"/>
      <c r="BD1884" s="21"/>
      <c r="BE1884" s="21"/>
      <c r="BF1884" s="21"/>
      <c r="BG1884" s="21"/>
      <c r="BH1884" s="21"/>
      <c r="BI1884" s="21"/>
    </row>
    <row r="1885" spans="1:61" x14ac:dyDescent="0.2">
      <c r="A1885">
        <v>969</v>
      </c>
      <c r="B1885" t="s">
        <v>887</v>
      </c>
      <c r="C1885" t="str">
        <f t="shared" si="215"/>
        <v/>
      </c>
      <c r="D1885" t="str">
        <f t="shared" si="220"/>
        <v/>
      </c>
      <c r="H1885">
        <f t="shared" si="216"/>
        <v>2</v>
      </c>
      <c r="R1885">
        <v>91</v>
      </c>
      <c r="T1885" t="str">
        <f t="shared" si="214"/>
        <v>o</v>
      </c>
      <c r="Y1885" t="s">
        <v>714</v>
      </c>
      <c r="AA1885" t="s">
        <v>706</v>
      </c>
      <c r="AJ1885">
        <v>1</v>
      </c>
      <c r="AM1885" t="str">
        <f t="shared" si="217"/>
        <v>Possession</v>
      </c>
      <c r="AN1885" t="str">
        <f t="shared" si="218"/>
        <v/>
      </c>
      <c r="AP1885" t="str">
        <f t="shared" si="219"/>
        <v>Defensive</v>
      </c>
      <c r="BB1885" s="23"/>
      <c r="BD1885" s="21"/>
      <c r="BE1885" s="21"/>
      <c r="BF1885" s="21"/>
      <c r="BG1885" s="21"/>
      <c r="BH1885" s="21"/>
      <c r="BI1885" s="21"/>
    </row>
    <row r="1886" spans="1:61" x14ac:dyDescent="0.2">
      <c r="A1886">
        <v>970</v>
      </c>
      <c r="B1886" t="s">
        <v>887</v>
      </c>
      <c r="C1886" t="str">
        <f t="shared" si="215"/>
        <v/>
      </c>
      <c r="D1886" t="str">
        <f t="shared" si="220"/>
        <v/>
      </c>
      <c r="H1886">
        <f t="shared" si="216"/>
        <v>2</v>
      </c>
      <c r="I1886" s="5" t="s">
        <v>816</v>
      </c>
      <c r="J1886" s="5" t="s">
        <v>779</v>
      </c>
      <c r="Q1886" t="s">
        <v>620</v>
      </c>
      <c r="R1886">
        <v>91</v>
      </c>
      <c r="S1886">
        <v>1</v>
      </c>
      <c r="T1886" t="str">
        <f t="shared" si="214"/>
        <v>e</v>
      </c>
      <c r="U1886" t="s">
        <v>247</v>
      </c>
      <c r="V1886" t="s">
        <v>422</v>
      </c>
      <c r="W1886" t="s">
        <v>467</v>
      </c>
      <c r="X1886" t="s">
        <v>706</v>
      </c>
      <c r="Y1886" t="s">
        <v>714</v>
      </c>
      <c r="AA1886" t="s">
        <v>706</v>
      </c>
      <c r="AF1886" t="s">
        <v>623</v>
      </c>
      <c r="AJ1886">
        <v>1</v>
      </c>
      <c r="AM1886" t="str">
        <f t="shared" si="217"/>
        <v>Play</v>
      </c>
      <c r="AN1886" t="str">
        <f t="shared" si="218"/>
        <v>Play_Defensive</v>
      </c>
      <c r="AP1886" t="str">
        <f t="shared" si="219"/>
        <v>Defensive</v>
      </c>
      <c r="BB1886" s="23"/>
      <c r="BD1886" s="21"/>
      <c r="BE1886" s="21"/>
      <c r="BF1886" s="21"/>
      <c r="BG1886" s="21"/>
      <c r="BH1886" s="21"/>
      <c r="BI1886" s="21"/>
    </row>
    <row r="1887" spans="1:61" x14ac:dyDescent="0.2">
      <c r="A1887">
        <v>970</v>
      </c>
      <c r="B1887" t="s">
        <v>887</v>
      </c>
      <c r="C1887" t="str">
        <f t="shared" si="215"/>
        <v/>
      </c>
      <c r="D1887" t="str">
        <f t="shared" si="220"/>
        <v/>
      </c>
      <c r="H1887">
        <f t="shared" si="216"/>
        <v>2</v>
      </c>
      <c r="R1887">
        <v>13</v>
      </c>
      <c r="T1887" t="str">
        <f t="shared" si="214"/>
        <v>o</v>
      </c>
      <c r="AJ1887">
        <v>1</v>
      </c>
      <c r="AM1887" t="str">
        <f t="shared" si="217"/>
        <v>Play</v>
      </c>
      <c r="AN1887" t="str">
        <f t="shared" si="218"/>
        <v>Play_Defensive</v>
      </c>
      <c r="AP1887" t="str">
        <f t="shared" si="219"/>
        <v>Offensive</v>
      </c>
      <c r="BB1887" s="23"/>
      <c r="BD1887" s="21"/>
      <c r="BE1887" s="21"/>
      <c r="BF1887" s="21"/>
      <c r="BG1887" s="21"/>
      <c r="BH1887" s="21"/>
      <c r="BI1887" s="21"/>
    </row>
    <row r="1888" spans="1:61" x14ac:dyDescent="0.2">
      <c r="A1888">
        <v>971</v>
      </c>
      <c r="B1888" t="s">
        <v>887</v>
      </c>
      <c r="C1888" t="str">
        <f t="shared" si="215"/>
        <v/>
      </c>
      <c r="D1888" t="str">
        <f t="shared" si="220"/>
        <v/>
      </c>
      <c r="H1888">
        <f t="shared" si="216"/>
        <v>2</v>
      </c>
      <c r="I1888" s="5" t="s">
        <v>816</v>
      </c>
      <c r="J1888" s="5" t="s">
        <v>730</v>
      </c>
      <c r="K1888" s="5" t="s">
        <v>816</v>
      </c>
      <c r="L1888" s="7" t="s">
        <v>782</v>
      </c>
      <c r="Q1888" t="s">
        <v>619</v>
      </c>
      <c r="R1888">
        <v>77</v>
      </c>
      <c r="S1888">
        <v>1</v>
      </c>
      <c r="T1888" t="str">
        <f t="shared" si="214"/>
        <v>e</v>
      </c>
      <c r="U1888" t="s">
        <v>15</v>
      </c>
      <c r="V1888" t="s">
        <v>698</v>
      </c>
      <c r="X1888" t="s">
        <v>705</v>
      </c>
      <c r="Y1888" t="s">
        <v>752</v>
      </c>
      <c r="AA1888" t="s">
        <v>705</v>
      </c>
      <c r="AF1888" t="s">
        <v>401</v>
      </c>
      <c r="AJ1888">
        <v>1</v>
      </c>
      <c r="AM1888" t="str">
        <f t="shared" si="217"/>
        <v>Possession</v>
      </c>
      <c r="AN1888" t="str">
        <f t="shared" si="218"/>
        <v>PuckRecovery</v>
      </c>
      <c r="AP1888" t="str">
        <f t="shared" si="219"/>
        <v>Offensive</v>
      </c>
      <c r="BB1888" s="23"/>
      <c r="BD1888" s="21"/>
      <c r="BE1888" s="21"/>
      <c r="BF1888" s="21"/>
      <c r="BG1888" s="21"/>
      <c r="BH1888" s="21"/>
      <c r="BI1888" s="21"/>
    </row>
    <row r="1889" spans="1:61" x14ac:dyDescent="0.2">
      <c r="A1889">
        <v>971</v>
      </c>
      <c r="B1889" t="s">
        <v>887</v>
      </c>
      <c r="C1889" t="str">
        <f t="shared" si="215"/>
        <v/>
      </c>
      <c r="D1889" t="str">
        <f t="shared" si="220"/>
        <v/>
      </c>
      <c r="H1889">
        <f t="shared" si="216"/>
        <v>2</v>
      </c>
      <c r="R1889">
        <v>68</v>
      </c>
      <c r="S1889">
        <v>1</v>
      </c>
      <c r="T1889" t="str">
        <f t="shared" si="214"/>
        <v>e</v>
      </c>
      <c r="Y1889" t="s">
        <v>752</v>
      </c>
      <c r="AA1889" t="s">
        <v>705</v>
      </c>
      <c r="AJ1889">
        <v>1</v>
      </c>
      <c r="AM1889" t="str">
        <f t="shared" si="217"/>
        <v>Possession</v>
      </c>
      <c r="AN1889" t="str">
        <f t="shared" si="218"/>
        <v>PuckRecovery</v>
      </c>
      <c r="AP1889" t="str">
        <f t="shared" si="219"/>
        <v>Offensive</v>
      </c>
      <c r="BB1889" s="23"/>
      <c r="BD1889" s="21"/>
      <c r="BE1889" s="21"/>
      <c r="BF1889" s="21"/>
      <c r="BG1889" s="21"/>
      <c r="BH1889" s="21"/>
      <c r="BI1889" s="21"/>
    </row>
    <row r="1890" spans="1:61" x14ac:dyDescent="0.2">
      <c r="A1890">
        <v>971</v>
      </c>
      <c r="B1890" t="s">
        <v>887</v>
      </c>
      <c r="C1890" t="str">
        <f t="shared" si="215"/>
        <v/>
      </c>
      <c r="D1890" t="str">
        <f t="shared" si="220"/>
        <v/>
      </c>
      <c r="H1890">
        <f t="shared" si="216"/>
        <v>2</v>
      </c>
      <c r="R1890">
        <v>84</v>
      </c>
      <c r="T1890" t="str">
        <f t="shared" si="214"/>
        <v>o</v>
      </c>
      <c r="Y1890" t="s">
        <v>847</v>
      </c>
      <c r="AA1890" t="s">
        <v>705</v>
      </c>
      <c r="AJ1890">
        <v>1</v>
      </c>
      <c r="AM1890" t="str">
        <f t="shared" si="217"/>
        <v>Possession</v>
      </c>
      <c r="AN1890" t="str">
        <f t="shared" si="218"/>
        <v>PuckRecovery</v>
      </c>
      <c r="AP1890" t="str">
        <f t="shared" si="219"/>
        <v>Defensive</v>
      </c>
      <c r="BB1890" s="23"/>
      <c r="BD1890" s="21"/>
      <c r="BE1890" s="21"/>
      <c r="BF1890" s="21"/>
      <c r="BG1890" s="21"/>
      <c r="BH1890" s="21"/>
      <c r="BI1890" s="21"/>
    </row>
    <row r="1891" spans="1:61" x14ac:dyDescent="0.2">
      <c r="A1891">
        <v>972</v>
      </c>
      <c r="B1891" t="s">
        <v>887</v>
      </c>
      <c r="C1891" t="str">
        <f t="shared" si="215"/>
        <v/>
      </c>
      <c r="D1891" t="str">
        <f t="shared" si="220"/>
        <v/>
      </c>
      <c r="H1891">
        <f t="shared" si="216"/>
        <v>2</v>
      </c>
      <c r="I1891" s="5" t="s">
        <v>816</v>
      </c>
      <c r="J1891" s="5" t="s">
        <v>782</v>
      </c>
      <c r="Q1891" t="s">
        <v>620</v>
      </c>
      <c r="R1891">
        <v>70</v>
      </c>
      <c r="S1891">
        <v>1</v>
      </c>
      <c r="T1891" t="str">
        <f t="shared" si="214"/>
        <v>e</v>
      </c>
      <c r="U1891" t="s">
        <v>10</v>
      </c>
      <c r="V1891" t="s">
        <v>200</v>
      </c>
      <c r="W1891" t="s">
        <v>81</v>
      </c>
      <c r="X1891" t="s">
        <v>706</v>
      </c>
      <c r="Y1891" t="s">
        <v>774</v>
      </c>
      <c r="AA1891" t="s">
        <v>706</v>
      </c>
      <c r="AF1891" t="s">
        <v>623</v>
      </c>
      <c r="AJ1891">
        <v>1</v>
      </c>
      <c r="AM1891" t="str">
        <f t="shared" si="217"/>
        <v>Turnover</v>
      </c>
      <c r="AN1891" t="str">
        <f t="shared" si="218"/>
        <v>Turnover_Takeaway</v>
      </c>
      <c r="AP1891" t="str">
        <f t="shared" si="219"/>
        <v>Defensive</v>
      </c>
      <c r="BB1891" s="23"/>
      <c r="BD1891" s="21"/>
      <c r="BE1891" s="21"/>
      <c r="BF1891" s="21"/>
      <c r="BG1891" s="21"/>
      <c r="BH1891" s="21"/>
      <c r="BI1891" s="21"/>
    </row>
    <row r="1892" spans="1:61" x14ac:dyDescent="0.2">
      <c r="A1892">
        <v>972</v>
      </c>
      <c r="B1892" t="s">
        <v>887</v>
      </c>
      <c r="C1892" t="str">
        <f t="shared" si="215"/>
        <v/>
      </c>
      <c r="D1892" t="str">
        <f t="shared" si="220"/>
        <v/>
      </c>
      <c r="H1892">
        <f t="shared" si="216"/>
        <v>2</v>
      </c>
      <c r="R1892">
        <v>77</v>
      </c>
      <c r="T1892" t="str">
        <f t="shared" si="214"/>
        <v>o</v>
      </c>
      <c r="AJ1892">
        <v>1</v>
      </c>
      <c r="AM1892" t="str">
        <f t="shared" si="217"/>
        <v>Turnover</v>
      </c>
      <c r="AN1892" t="str">
        <f t="shared" si="218"/>
        <v>Turnover_Takeaway</v>
      </c>
      <c r="AP1892" t="str">
        <f t="shared" si="219"/>
        <v>Offensive</v>
      </c>
      <c r="BB1892" s="23"/>
      <c r="BD1892" s="21"/>
      <c r="BE1892" s="21"/>
      <c r="BF1892" s="21"/>
      <c r="BG1892" s="21"/>
      <c r="BH1892" s="21"/>
      <c r="BI1892" s="21"/>
    </row>
    <row r="1893" spans="1:61" x14ac:dyDescent="0.2">
      <c r="A1893">
        <v>973</v>
      </c>
      <c r="B1893" t="s">
        <v>887</v>
      </c>
      <c r="C1893" t="str">
        <f t="shared" si="215"/>
        <v/>
      </c>
      <c r="D1893" t="str">
        <f t="shared" si="220"/>
        <v/>
      </c>
      <c r="H1893">
        <f t="shared" si="216"/>
        <v>2</v>
      </c>
      <c r="I1893" s="5" t="s">
        <v>816</v>
      </c>
      <c r="J1893" s="5" t="s">
        <v>732</v>
      </c>
      <c r="Q1893" t="s">
        <v>620</v>
      </c>
      <c r="R1893">
        <v>84</v>
      </c>
      <c r="S1893">
        <v>1</v>
      </c>
      <c r="T1893" t="str">
        <f t="shared" si="214"/>
        <v>e</v>
      </c>
      <c r="U1893" t="s">
        <v>15</v>
      </c>
      <c r="V1893" t="s">
        <v>697</v>
      </c>
      <c r="X1893" t="s">
        <v>706</v>
      </c>
      <c r="Y1893" t="s">
        <v>712</v>
      </c>
      <c r="AA1893" t="s">
        <v>706</v>
      </c>
      <c r="AF1893" t="s">
        <v>623</v>
      </c>
      <c r="AM1893" t="str">
        <f t="shared" si="217"/>
        <v>Possession</v>
      </c>
      <c r="AN1893" t="str">
        <f t="shared" si="218"/>
        <v>PuckRetrieval</v>
      </c>
      <c r="AP1893" t="str">
        <f t="shared" si="219"/>
        <v>Offensive</v>
      </c>
      <c r="BB1893" s="23"/>
      <c r="BD1893" s="21"/>
      <c r="BE1893" s="21"/>
      <c r="BF1893" s="21"/>
      <c r="BG1893" s="21"/>
      <c r="BH1893" s="21"/>
      <c r="BI1893" s="21"/>
    </row>
    <row r="1894" spans="1:61" x14ac:dyDescent="0.2">
      <c r="A1894">
        <v>974</v>
      </c>
      <c r="B1894" t="s">
        <v>887</v>
      </c>
      <c r="C1894" t="str">
        <f t="shared" si="215"/>
        <v/>
      </c>
      <c r="D1894" t="str">
        <f t="shared" si="220"/>
        <v/>
      </c>
      <c r="H1894">
        <f t="shared" si="216"/>
        <v>2</v>
      </c>
      <c r="I1894" s="5" t="s">
        <v>816</v>
      </c>
      <c r="J1894" s="5" t="s">
        <v>732</v>
      </c>
      <c r="Q1894" t="s">
        <v>620</v>
      </c>
      <c r="R1894">
        <v>84</v>
      </c>
      <c r="S1894">
        <v>1</v>
      </c>
      <c r="T1894" t="str">
        <f t="shared" si="214"/>
        <v>e</v>
      </c>
      <c r="U1894" t="s">
        <v>8</v>
      </c>
      <c r="V1894" t="s">
        <v>189</v>
      </c>
      <c r="W1894" t="s">
        <v>68</v>
      </c>
      <c r="X1894" t="s">
        <v>706</v>
      </c>
      <c r="Y1894" t="s">
        <v>814</v>
      </c>
      <c r="AA1894" t="s">
        <v>706</v>
      </c>
      <c r="AF1894" t="s">
        <v>623</v>
      </c>
      <c r="AM1894" t="str">
        <f t="shared" si="217"/>
        <v>Pass</v>
      </c>
      <c r="AN1894" t="str">
        <f t="shared" si="218"/>
        <v>Pass_Completed</v>
      </c>
      <c r="AP1894" t="str">
        <f t="shared" si="219"/>
        <v>Offensive</v>
      </c>
      <c r="BB1894" s="23"/>
      <c r="BD1894" s="21"/>
      <c r="BE1894" s="21"/>
      <c r="BF1894" s="21"/>
      <c r="BG1894" s="21"/>
      <c r="BH1894" s="21"/>
      <c r="BI1894" s="21"/>
    </row>
    <row r="1895" spans="1:61" x14ac:dyDescent="0.2">
      <c r="A1895">
        <v>974</v>
      </c>
      <c r="B1895" t="s">
        <v>887</v>
      </c>
      <c r="C1895" t="str">
        <f t="shared" si="215"/>
        <v/>
      </c>
      <c r="D1895" t="str">
        <f t="shared" si="220"/>
        <v/>
      </c>
      <c r="H1895">
        <f t="shared" si="216"/>
        <v>2</v>
      </c>
      <c r="R1895">
        <v>55</v>
      </c>
      <c r="S1895">
        <v>1</v>
      </c>
      <c r="T1895" t="str">
        <f t="shared" si="214"/>
        <v>e</v>
      </c>
      <c r="AM1895" t="str">
        <f t="shared" si="217"/>
        <v>Pass</v>
      </c>
      <c r="AN1895" t="str">
        <f t="shared" si="218"/>
        <v>Pass_Completed</v>
      </c>
      <c r="AP1895" t="str">
        <f t="shared" si="219"/>
        <v>Offensive</v>
      </c>
      <c r="BB1895" s="23"/>
      <c r="BD1895" s="21"/>
      <c r="BE1895" s="21"/>
      <c r="BF1895" s="21"/>
      <c r="BG1895" s="21"/>
      <c r="BH1895" s="21"/>
      <c r="BI1895" s="21"/>
    </row>
    <row r="1896" spans="1:61" x14ac:dyDescent="0.2">
      <c r="A1896">
        <v>975</v>
      </c>
      <c r="B1896" t="s">
        <v>887</v>
      </c>
      <c r="C1896" t="str">
        <f t="shared" si="215"/>
        <v/>
      </c>
      <c r="D1896" t="str">
        <f t="shared" si="220"/>
        <v/>
      </c>
      <c r="H1896">
        <f t="shared" si="216"/>
        <v>2</v>
      </c>
      <c r="I1896" s="5" t="s">
        <v>816</v>
      </c>
      <c r="J1896" s="5" t="s">
        <v>768</v>
      </c>
      <c r="K1896" s="5" t="s">
        <v>816</v>
      </c>
      <c r="L1896" s="7" t="s">
        <v>742</v>
      </c>
      <c r="Q1896" t="s">
        <v>620</v>
      </c>
      <c r="R1896">
        <v>55</v>
      </c>
      <c r="S1896">
        <v>1</v>
      </c>
      <c r="T1896" t="str">
        <f t="shared" si="214"/>
        <v>e</v>
      </c>
      <c r="U1896" t="s">
        <v>257</v>
      </c>
      <c r="V1896" t="s">
        <v>201</v>
      </c>
      <c r="W1896" t="s">
        <v>90</v>
      </c>
      <c r="X1896" t="s">
        <v>706</v>
      </c>
      <c r="Y1896" t="s">
        <v>678</v>
      </c>
      <c r="AA1896" t="s">
        <v>706</v>
      </c>
      <c r="AF1896" t="s">
        <v>623</v>
      </c>
      <c r="AM1896" t="str">
        <f t="shared" si="217"/>
        <v>Zone_Entry_Exit</v>
      </c>
      <c r="AN1896" t="str">
        <f t="shared" si="218"/>
        <v>Zone_Exit</v>
      </c>
      <c r="AP1896" t="str">
        <f t="shared" si="219"/>
        <v>Offensive</v>
      </c>
      <c r="BB1896" s="23"/>
      <c r="BD1896" s="21"/>
      <c r="BE1896" s="21"/>
      <c r="BF1896" s="21"/>
      <c r="BG1896" s="21"/>
      <c r="BH1896" s="21"/>
      <c r="BI1896" s="21"/>
    </row>
    <row r="1897" spans="1:61" x14ac:dyDescent="0.2">
      <c r="A1897">
        <v>976</v>
      </c>
      <c r="B1897" t="s">
        <v>887</v>
      </c>
      <c r="C1897" t="str">
        <f t="shared" si="215"/>
        <v/>
      </c>
      <c r="D1897" t="str">
        <f t="shared" si="220"/>
        <v/>
      </c>
      <c r="H1897">
        <f t="shared" si="216"/>
        <v>2</v>
      </c>
      <c r="I1897" s="5" t="s">
        <v>816</v>
      </c>
      <c r="J1897" s="5" t="s">
        <v>742</v>
      </c>
      <c r="K1897" s="5" t="s">
        <v>816</v>
      </c>
      <c r="L1897" s="7" t="s">
        <v>735</v>
      </c>
      <c r="Q1897" t="s">
        <v>620</v>
      </c>
      <c r="R1897">
        <v>55</v>
      </c>
      <c r="S1897">
        <v>1</v>
      </c>
      <c r="T1897" t="str">
        <f t="shared" si="214"/>
        <v>e</v>
      </c>
      <c r="U1897" t="s">
        <v>15</v>
      </c>
      <c r="AF1897" t="s">
        <v>635</v>
      </c>
      <c r="AM1897" t="str">
        <f t="shared" si="217"/>
        <v>Possession</v>
      </c>
      <c r="AN1897" t="str">
        <f t="shared" si="218"/>
        <v/>
      </c>
      <c r="AP1897" t="str">
        <f t="shared" si="219"/>
        <v>Offensive</v>
      </c>
      <c r="BB1897" s="23"/>
      <c r="BD1897" s="21"/>
      <c r="BE1897" s="21"/>
      <c r="BF1897" s="21"/>
      <c r="BG1897" s="21"/>
      <c r="BH1897" s="21"/>
      <c r="BI1897" s="21"/>
    </row>
    <row r="1898" spans="1:61" x14ac:dyDescent="0.2">
      <c r="A1898">
        <v>977</v>
      </c>
      <c r="B1898" t="s">
        <v>887</v>
      </c>
      <c r="C1898" t="str">
        <f t="shared" si="215"/>
        <v/>
      </c>
      <c r="D1898" t="str">
        <f t="shared" si="220"/>
        <v/>
      </c>
      <c r="H1898">
        <f t="shared" si="216"/>
        <v>2</v>
      </c>
      <c r="I1898" s="5" t="s">
        <v>816</v>
      </c>
      <c r="J1898" s="5" t="s">
        <v>735</v>
      </c>
      <c r="K1898" s="5" t="s">
        <v>816</v>
      </c>
      <c r="L1898" s="7" t="s">
        <v>447</v>
      </c>
      <c r="Q1898" t="s">
        <v>620</v>
      </c>
      <c r="R1898">
        <v>55</v>
      </c>
      <c r="S1898">
        <v>1</v>
      </c>
      <c r="T1898" t="str">
        <f t="shared" si="214"/>
        <v>e</v>
      </c>
      <c r="U1898" t="s">
        <v>257</v>
      </c>
      <c r="V1898" t="s">
        <v>191</v>
      </c>
      <c r="W1898" t="s">
        <v>87</v>
      </c>
      <c r="X1898" t="s">
        <v>705</v>
      </c>
      <c r="AF1898" t="s">
        <v>401</v>
      </c>
      <c r="AM1898" t="str">
        <f t="shared" si="217"/>
        <v>Zone_Entry_Exit</v>
      </c>
      <c r="AN1898" t="str">
        <f t="shared" si="218"/>
        <v>Zone_Entry</v>
      </c>
      <c r="AP1898" t="str">
        <f t="shared" si="219"/>
        <v>Offensive</v>
      </c>
      <c r="BB1898" s="23"/>
      <c r="BD1898" s="21"/>
      <c r="BE1898" s="21"/>
      <c r="BF1898" s="21"/>
      <c r="BG1898" s="21"/>
      <c r="BH1898" s="21"/>
      <c r="BI1898" s="21"/>
    </row>
    <row r="1899" spans="1:61" x14ac:dyDescent="0.2">
      <c r="A1899">
        <v>977</v>
      </c>
      <c r="B1899" t="s">
        <v>887</v>
      </c>
      <c r="C1899" t="str">
        <f t="shared" si="215"/>
        <v/>
      </c>
      <c r="D1899" t="str">
        <f t="shared" si="220"/>
        <v/>
      </c>
      <c r="H1899">
        <f t="shared" si="216"/>
        <v>2</v>
      </c>
      <c r="R1899">
        <v>75</v>
      </c>
      <c r="S1899">
        <v>1</v>
      </c>
      <c r="T1899" t="str">
        <f t="shared" si="214"/>
        <v>e</v>
      </c>
      <c r="AM1899" t="str">
        <f t="shared" si="217"/>
        <v>Zone_Entry_Exit</v>
      </c>
      <c r="AN1899" t="str">
        <f t="shared" si="218"/>
        <v>Zone_Entry</v>
      </c>
      <c r="AP1899" t="str">
        <f t="shared" si="219"/>
        <v>Offensive</v>
      </c>
      <c r="BB1899" s="23"/>
      <c r="BD1899" s="21"/>
      <c r="BE1899" s="21"/>
      <c r="BF1899" s="21"/>
      <c r="BG1899" s="21"/>
      <c r="BH1899" s="21"/>
      <c r="BI1899" s="21"/>
    </row>
    <row r="1900" spans="1:61" x14ac:dyDescent="0.2">
      <c r="A1900">
        <v>977</v>
      </c>
      <c r="B1900" t="s">
        <v>887</v>
      </c>
      <c r="C1900" t="str">
        <f t="shared" si="215"/>
        <v/>
      </c>
      <c r="D1900" t="str">
        <f t="shared" si="220"/>
        <v/>
      </c>
      <c r="H1900">
        <f t="shared" si="216"/>
        <v>2</v>
      </c>
      <c r="R1900">
        <v>70</v>
      </c>
      <c r="S1900">
        <v>1</v>
      </c>
      <c r="T1900" t="str">
        <f t="shared" si="214"/>
        <v>e</v>
      </c>
      <c r="AM1900" t="str">
        <f t="shared" si="217"/>
        <v>Zone_Entry_Exit</v>
      </c>
      <c r="AN1900" t="str">
        <f t="shared" si="218"/>
        <v>Zone_Entry</v>
      </c>
      <c r="AP1900" t="str">
        <f t="shared" si="219"/>
        <v>Offensive</v>
      </c>
      <c r="BB1900" s="23"/>
      <c r="BD1900" s="21"/>
      <c r="BE1900" s="21"/>
      <c r="BF1900" s="21"/>
      <c r="BG1900" s="21"/>
      <c r="BH1900" s="21"/>
      <c r="BI1900" s="21"/>
    </row>
    <row r="1901" spans="1:61" x14ac:dyDescent="0.2">
      <c r="A1901">
        <v>977</v>
      </c>
      <c r="B1901" t="s">
        <v>887</v>
      </c>
      <c r="C1901" t="str">
        <f t="shared" si="215"/>
        <v/>
      </c>
      <c r="D1901" t="str">
        <f t="shared" si="220"/>
        <v/>
      </c>
      <c r="H1901">
        <f t="shared" si="216"/>
        <v>2</v>
      </c>
      <c r="R1901">
        <v>44</v>
      </c>
      <c r="T1901" t="str">
        <f t="shared" si="214"/>
        <v>o</v>
      </c>
      <c r="AM1901" t="str">
        <f t="shared" si="217"/>
        <v>Zone_Entry_Exit</v>
      </c>
      <c r="AN1901" t="str">
        <f t="shared" si="218"/>
        <v>Zone_Entry</v>
      </c>
      <c r="AP1901" t="str">
        <f t="shared" si="219"/>
        <v>Defensive</v>
      </c>
      <c r="BB1901" s="23"/>
      <c r="BD1901" s="21"/>
      <c r="BE1901" s="21"/>
      <c r="BF1901" s="21"/>
      <c r="BG1901" s="21"/>
      <c r="BH1901" s="21"/>
      <c r="BI1901" s="21"/>
    </row>
    <row r="1902" spans="1:61" x14ac:dyDescent="0.2">
      <c r="A1902">
        <v>977</v>
      </c>
      <c r="B1902" t="s">
        <v>887</v>
      </c>
      <c r="C1902" t="str">
        <f t="shared" si="215"/>
        <v/>
      </c>
      <c r="D1902" t="str">
        <f t="shared" si="220"/>
        <v/>
      </c>
      <c r="H1902">
        <f t="shared" si="216"/>
        <v>2</v>
      </c>
      <c r="R1902">
        <v>18</v>
      </c>
      <c r="T1902" t="str">
        <f t="shared" si="214"/>
        <v>o</v>
      </c>
      <c r="AM1902" t="str">
        <f t="shared" si="217"/>
        <v>Zone_Entry_Exit</v>
      </c>
      <c r="AN1902" t="str">
        <f t="shared" si="218"/>
        <v>Zone_Entry</v>
      </c>
      <c r="AP1902" t="str">
        <f t="shared" si="219"/>
        <v>Defensive</v>
      </c>
      <c r="BB1902" s="23"/>
      <c r="BD1902" s="21"/>
      <c r="BE1902" s="21"/>
      <c r="BF1902" s="21"/>
      <c r="BG1902" s="21"/>
      <c r="BH1902" s="21"/>
      <c r="BI1902" s="21"/>
    </row>
    <row r="1903" spans="1:61" x14ac:dyDescent="0.2">
      <c r="A1903">
        <v>978</v>
      </c>
      <c r="B1903">
        <v>160</v>
      </c>
      <c r="C1903">
        <f t="shared" si="215"/>
        <v>9160</v>
      </c>
      <c r="D1903">
        <f t="shared" si="220"/>
        <v>9160</v>
      </c>
      <c r="H1903">
        <f t="shared" si="216"/>
        <v>2</v>
      </c>
      <c r="I1903" s="5" t="s">
        <v>816</v>
      </c>
      <c r="J1903" s="5" t="s">
        <v>447</v>
      </c>
      <c r="Q1903" t="s">
        <v>620</v>
      </c>
      <c r="R1903">
        <v>55</v>
      </c>
      <c r="S1903">
        <v>1</v>
      </c>
      <c r="T1903" t="str">
        <f t="shared" si="214"/>
        <v>e</v>
      </c>
      <c r="U1903" t="s">
        <v>7</v>
      </c>
      <c r="V1903" t="s">
        <v>208</v>
      </c>
      <c r="W1903" t="s">
        <v>53</v>
      </c>
      <c r="X1903" t="s">
        <v>705</v>
      </c>
      <c r="AF1903" t="s">
        <v>401</v>
      </c>
      <c r="AM1903" t="str">
        <f t="shared" si="217"/>
        <v>Shot</v>
      </c>
      <c r="AN1903" t="str">
        <f t="shared" si="218"/>
        <v>Shot_Blocked</v>
      </c>
      <c r="AP1903" t="str">
        <f t="shared" si="219"/>
        <v>Offensive</v>
      </c>
      <c r="BB1903" s="23"/>
      <c r="BD1903" s="21"/>
      <c r="BE1903" s="21"/>
      <c r="BF1903" s="21"/>
      <c r="BG1903" s="21"/>
      <c r="BH1903" s="21"/>
      <c r="BI1903" s="21"/>
    </row>
    <row r="1904" spans="1:61" x14ac:dyDescent="0.2">
      <c r="A1904">
        <v>978</v>
      </c>
      <c r="B1904">
        <v>160</v>
      </c>
      <c r="C1904">
        <f t="shared" si="215"/>
        <v>9160</v>
      </c>
      <c r="D1904">
        <f t="shared" si="220"/>
        <v>9160</v>
      </c>
      <c r="H1904">
        <f t="shared" si="216"/>
        <v>2</v>
      </c>
      <c r="R1904">
        <v>44</v>
      </c>
      <c r="T1904" t="str">
        <f t="shared" si="214"/>
        <v>o</v>
      </c>
      <c r="Y1904" t="s">
        <v>681</v>
      </c>
      <c r="AA1904" t="s">
        <v>706</v>
      </c>
      <c r="AM1904" t="str">
        <f t="shared" si="217"/>
        <v>Shot</v>
      </c>
      <c r="AN1904" t="str">
        <f t="shared" si="218"/>
        <v>Shot_Blocked</v>
      </c>
      <c r="AP1904" t="str">
        <f t="shared" si="219"/>
        <v>Defensive</v>
      </c>
      <c r="BB1904" s="23"/>
      <c r="BD1904" s="21"/>
      <c r="BE1904" s="21"/>
      <c r="BF1904" s="21"/>
      <c r="BG1904" s="21"/>
      <c r="BH1904" s="21"/>
      <c r="BI1904" s="21"/>
    </row>
    <row r="1905" spans="1:61" x14ac:dyDescent="0.2">
      <c r="A1905">
        <v>979</v>
      </c>
      <c r="B1905">
        <v>160</v>
      </c>
      <c r="C1905">
        <f t="shared" si="215"/>
        <v>9160</v>
      </c>
      <c r="D1905">
        <f t="shared" si="220"/>
        <v>9160</v>
      </c>
      <c r="H1905">
        <f t="shared" si="216"/>
        <v>2</v>
      </c>
      <c r="I1905" s="5" t="s">
        <v>816</v>
      </c>
      <c r="J1905" s="5" t="s">
        <v>447</v>
      </c>
      <c r="Q1905" t="s">
        <v>620</v>
      </c>
      <c r="R1905">
        <v>55</v>
      </c>
      <c r="S1905">
        <v>1</v>
      </c>
      <c r="T1905" t="str">
        <f t="shared" si="214"/>
        <v>e</v>
      </c>
      <c r="U1905" t="s">
        <v>10</v>
      </c>
      <c r="V1905" t="s">
        <v>190</v>
      </c>
      <c r="W1905" t="s">
        <v>78</v>
      </c>
      <c r="X1905" t="s">
        <v>705</v>
      </c>
      <c r="AF1905" t="s">
        <v>401</v>
      </c>
      <c r="AM1905" t="str">
        <f t="shared" si="217"/>
        <v>Turnover</v>
      </c>
      <c r="AN1905" t="str">
        <f t="shared" si="218"/>
        <v>Turnover_Giveaway</v>
      </c>
      <c r="AP1905" t="str">
        <f t="shared" si="219"/>
        <v>Offensive</v>
      </c>
      <c r="BB1905" s="23"/>
      <c r="BD1905" s="21"/>
      <c r="BE1905" s="21"/>
      <c r="BF1905" s="21"/>
      <c r="BG1905" s="21"/>
      <c r="BH1905" s="21"/>
      <c r="BI1905" s="21"/>
    </row>
    <row r="1906" spans="1:61" x14ac:dyDescent="0.2">
      <c r="A1906">
        <v>979</v>
      </c>
      <c r="B1906">
        <v>160</v>
      </c>
      <c r="C1906">
        <f t="shared" si="215"/>
        <v>9160</v>
      </c>
      <c r="D1906">
        <f t="shared" si="220"/>
        <v>9160</v>
      </c>
      <c r="H1906">
        <f t="shared" si="216"/>
        <v>2</v>
      </c>
      <c r="R1906">
        <v>44</v>
      </c>
      <c r="T1906" t="str">
        <f t="shared" si="214"/>
        <v>o</v>
      </c>
      <c r="Y1906" t="s">
        <v>681</v>
      </c>
      <c r="AA1906" t="s">
        <v>706</v>
      </c>
      <c r="AM1906" t="str">
        <f t="shared" si="217"/>
        <v>Turnover</v>
      </c>
      <c r="AN1906" t="str">
        <f t="shared" si="218"/>
        <v>Turnover_Giveaway</v>
      </c>
      <c r="AP1906" t="str">
        <f t="shared" si="219"/>
        <v>Defensive</v>
      </c>
      <c r="BB1906" s="23"/>
      <c r="BD1906" s="21"/>
      <c r="BE1906" s="21"/>
      <c r="BF1906" s="21"/>
      <c r="BG1906" s="21"/>
      <c r="BH1906" s="21"/>
      <c r="BI1906" s="21"/>
    </row>
    <row r="1907" spans="1:61" x14ac:dyDescent="0.2">
      <c r="A1907">
        <v>980</v>
      </c>
      <c r="C1907" t="str">
        <f t="shared" si="215"/>
        <v/>
      </c>
      <c r="D1907">
        <f t="shared" si="220"/>
        <v>0</v>
      </c>
      <c r="H1907">
        <f t="shared" si="216"/>
        <v>2</v>
      </c>
      <c r="I1907" s="5" t="s">
        <v>816</v>
      </c>
      <c r="J1907" s="5" t="s">
        <v>740</v>
      </c>
      <c r="K1907" s="5" t="s">
        <v>816</v>
      </c>
      <c r="L1907" s="7" t="s">
        <v>786</v>
      </c>
      <c r="Q1907" t="s">
        <v>619</v>
      </c>
      <c r="R1907">
        <v>44</v>
      </c>
      <c r="S1907">
        <v>1</v>
      </c>
      <c r="T1907" t="str">
        <f>IF(S1907="x","",IF(S1907=1,"e","o"))</f>
        <v>e</v>
      </c>
      <c r="U1907" t="s">
        <v>15</v>
      </c>
      <c r="V1907" t="s">
        <v>697</v>
      </c>
      <c r="X1907" t="s">
        <v>706</v>
      </c>
      <c r="Y1907" t="s">
        <v>683</v>
      </c>
      <c r="AA1907" t="s">
        <v>706</v>
      </c>
      <c r="AF1907" t="s">
        <v>623</v>
      </c>
      <c r="AJ1907">
        <v>1</v>
      </c>
      <c r="AM1907" t="str">
        <f t="shared" si="217"/>
        <v>Possession</v>
      </c>
      <c r="AN1907" t="str">
        <f t="shared" si="218"/>
        <v>PuckRetrieval</v>
      </c>
      <c r="AP1907" t="str">
        <f t="shared" si="219"/>
        <v>Offensive</v>
      </c>
      <c r="BB1907" s="23"/>
      <c r="BD1907" s="21"/>
      <c r="BE1907" s="21"/>
      <c r="BF1907" s="21"/>
      <c r="BG1907" s="21"/>
      <c r="BH1907" s="21"/>
      <c r="BI1907" s="21"/>
    </row>
    <row r="1908" spans="1:61" x14ac:dyDescent="0.2">
      <c r="A1908">
        <v>980</v>
      </c>
      <c r="C1908" t="str">
        <f t="shared" si="215"/>
        <v/>
      </c>
      <c r="D1908">
        <f t="shared" si="220"/>
        <v>0</v>
      </c>
      <c r="H1908">
        <f t="shared" si="216"/>
        <v>2</v>
      </c>
      <c r="R1908">
        <v>55</v>
      </c>
      <c r="T1908" t="str">
        <f>IF(S1908="x","",IF(S1908=1,"e","o"))</f>
        <v>o</v>
      </c>
      <c r="AJ1908">
        <v>1</v>
      </c>
      <c r="AM1908" t="str">
        <f t="shared" si="217"/>
        <v>Possession</v>
      </c>
      <c r="AN1908" t="str">
        <f t="shared" si="218"/>
        <v>PuckRetrieval</v>
      </c>
      <c r="AP1908" t="str">
        <f t="shared" si="219"/>
        <v>Defensive</v>
      </c>
      <c r="BB1908" s="23"/>
      <c r="BD1908" s="21"/>
      <c r="BE1908" s="21"/>
      <c r="BF1908" s="21"/>
      <c r="BG1908" s="21"/>
      <c r="BH1908" s="21"/>
      <c r="BI1908" s="21"/>
    </row>
    <row r="1909" spans="1:61" x14ac:dyDescent="0.2">
      <c r="A1909">
        <v>981</v>
      </c>
      <c r="B1909" t="s">
        <v>887</v>
      </c>
      <c r="C1909" t="str">
        <f t="shared" si="215"/>
        <v/>
      </c>
      <c r="D1909" t="str">
        <f t="shared" si="220"/>
        <v/>
      </c>
      <c r="H1909">
        <f t="shared" si="216"/>
        <v>2</v>
      </c>
      <c r="I1909" s="5" t="s">
        <v>816</v>
      </c>
      <c r="J1909" s="5" t="s">
        <v>786</v>
      </c>
      <c r="K1909" s="5" t="s">
        <v>899</v>
      </c>
      <c r="L1909" s="7" t="s">
        <v>622</v>
      </c>
      <c r="Q1909" t="s">
        <v>619</v>
      </c>
      <c r="R1909">
        <v>44</v>
      </c>
      <c r="S1909">
        <v>1</v>
      </c>
      <c r="T1909" t="str">
        <f t="shared" si="214"/>
        <v>e</v>
      </c>
      <c r="U1909" t="s">
        <v>257</v>
      </c>
      <c r="V1909" t="s">
        <v>201</v>
      </c>
      <c r="W1909" t="s">
        <v>90</v>
      </c>
      <c r="X1909" t="s">
        <v>706</v>
      </c>
      <c r="Y1909" t="s">
        <v>678</v>
      </c>
      <c r="AA1909" t="s">
        <v>706</v>
      </c>
      <c r="AF1909" t="s">
        <v>623</v>
      </c>
      <c r="AM1909" t="str">
        <f t="shared" si="217"/>
        <v>Zone_Entry_Exit</v>
      </c>
      <c r="AN1909" t="str">
        <f t="shared" si="218"/>
        <v>Zone_Exit</v>
      </c>
      <c r="AP1909" t="str">
        <f t="shared" si="219"/>
        <v>Offensive</v>
      </c>
      <c r="BB1909" s="23"/>
      <c r="BD1909" s="21"/>
      <c r="BE1909" s="21"/>
      <c r="BF1909" s="21"/>
      <c r="BG1909" s="21"/>
      <c r="BH1909" s="21"/>
      <c r="BI1909" s="21"/>
    </row>
    <row r="1910" spans="1:61" x14ac:dyDescent="0.2">
      <c r="A1910">
        <v>982</v>
      </c>
      <c r="B1910" t="s">
        <v>887</v>
      </c>
      <c r="C1910" t="str">
        <f t="shared" si="215"/>
        <v/>
      </c>
      <c r="D1910" t="str">
        <f t="shared" si="220"/>
        <v/>
      </c>
      <c r="H1910">
        <f t="shared" si="216"/>
        <v>2</v>
      </c>
      <c r="I1910" s="5" t="s">
        <v>899</v>
      </c>
      <c r="J1910" s="5" t="s">
        <v>622</v>
      </c>
      <c r="K1910" s="5" t="s">
        <v>899</v>
      </c>
      <c r="L1910" s="7" t="s">
        <v>638</v>
      </c>
      <c r="Q1910" t="s">
        <v>619</v>
      </c>
      <c r="R1910">
        <v>44</v>
      </c>
      <c r="S1910">
        <v>1</v>
      </c>
      <c r="T1910" t="str">
        <f t="shared" si="214"/>
        <v>e</v>
      </c>
      <c r="U1910" t="s">
        <v>15</v>
      </c>
      <c r="AF1910" t="s">
        <v>635</v>
      </c>
      <c r="AM1910" t="str">
        <f t="shared" si="217"/>
        <v>Possession</v>
      </c>
      <c r="AN1910" t="str">
        <f t="shared" si="218"/>
        <v/>
      </c>
      <c r="AP1910" t="str">
        <f t="shared" si="219"/>
        <v>Offensive</v>
      </c>
      <c r="BB1910" s="23"/>
      <c r="BD1910" s="21"/>
      <c r="BE1910" s="21"/>
      <c r="BF1910" s="21"/>
      <c r="BG1910" s="21"/>
      <c r="BH1910" s="21"/>
      <c r="BI1910" s="21"/>
    </row>
    <row r="1911" spans="1:61" x14ac:dyDescent="0.2">
      <c r="A1911">
        <v>982</v>
      </c>
      <c r="B1911" t="s">
        <v>887</v>
      </c>
      <c r="C1911" t="str">
        <f t="shared" si="215"/>
        <v/>
      </c>
      <c r="D1911" t="str">
        <f t="shared" si="220"/>
        <v/>
      </c>
      <c r="H1911">
        <f t="shared" si="216"/>
        <v>2</v>
      </c>
      <c r="R1911">
        <v>84</v>
      </c>
      <c r="T1911" t="str">
        <f t="shared" si="214"/>
        <v>o</v>
      </c>
      <c r="AM1911" t="str">
        <f t="shared" si="217"/>
        <v>Possession</v>
      </c>
      <c r="AN1911" t="str">
        <f t="shared" si="218"/>
        <v/>
      </c>
      <c r="AP1911" t="str">
        <f t="shared" si="219"/>
        <v>Defensive</v>
      </c>
      <c r="BB1911" s="23"/>
      <c r="BD1911" s="21"/>
      <c r="BE1911" s="21"/>
      <c r="BF1911" s="21"/>
      <c r="BG1911" s="21"/>
      <c r="BH1911" s="21"/>
      <c r="BI1911" s="21"/>
    </row>
    <row r="1912" spans="1:61" x14ac:dyDescent="0.2">
      <c r="A1912">
        <v>983</v>
      </c>
      <c r="B1912" t="s">
        <v>887</v>
      </c>
      <c r="C1912" t="str">
        <f t="shared" si="215"/>
        <v/>
      </c>
      <c r="D1912" t="str">
        <f t="shared" si="220"/>
        <v/>
      </c>
      <c r="H1912">
        <f t="shared" si="216"/>
        <v>2</v>
      </c>
      <c r="I1912" s="5" t="s">
        <v>899</v>
      </c>
      <c r="J1912" s="5" t="s">
        <v>638</v>
      </c>
      <c r="Q1912" t="s">
        <v>619</v>
      </c>
      <c r="R1912">
        <v>44</v>
      </c>
      <c r="S1912">
        <v>1</v>
      </c>
      <c r="T1912" t="str">
        <f t="shared" si="214"/>
        <v>e</v>
      </c>
      <c r="U1912" t="s">
        <v>257</v>
      </c>
      <c r="V1912" t="s">
        <v>191</v>
      </c>
      <c r="W1912" t="s">
        <v>89</v>
      </c>
      <c r="X1912" t="s">
        <v>706</v>
      </c>
      <c r="Y1912" t="s">
        <v>718</v>
      </c>
      <c r="AA1912" t="s">
        <v>706</v>
      </c>
      <c r="AF1912" t="s">
        <v>635</v>
      </c>
      <c r="AJ1912">
        <v>1</v>
      </c>
      <c r="AM1912" t="str">
        <f t="shared" si="217"/>
        <v>Zone_Entry_Exit</v>
      </c>
      <c r="AN1912" t="str">
        <f t="shared" si="218"/>
        <v>Zone_Entry</v>
      </c>
      <c r="AP1912" t="str">
        <f t="shared" si="219"/>
        <v>Offensive</v>
      </c>
      <c r="BB1912" s="23"/>
      <c r="BD1912" s="21"/>
      <c r="BE1912" s="21"/>
      <c r="BF1912" s="21"/>
      <c r="BG1912" s="21"/>
      <c r="BH1912" s="21"/>
      <c r="BI1912" s="21"/>
    </row>
    <row r="1913" spans="1:61" x14ac:dyDescent="0.2">
      <c r="A1913">
        <v>983</v>
      </c>
      <c r="B1913" t="s">
        <v>887</v>
      </c>
      <c r="C1913" t="str">
        <f t="shared" si="215"/>
        <v/>
      </c>
      <c r="D1913" t="str">
        <f t="shared" si="220"/>
        <v/>
      </c>
      <c r="H1913">
        <f t="shared" si="216"/>
        <v>2</v>
      </c>
      <c r="R1913">
        <v>84</v>
      </c>
      <c r="T1913" t="str">
        <f t="shared" si="214"/>
        <v>o</v>
      </c>
      <c r="AJ1913">
        <v>1</v>
      </c>
      <c r="AM1913" t="str">
        <f t="shared" si="217"/>
        <v>Zone_Entry_Exit</v>
      </c>
      <c r="AN1913" t="str">
        <f t="shared" si="218"/>
        <v>Zone_Entry</v>
      </c>
      <c r="AP1913" t="str">
        <f t="shared" si="219"/>
        <v>Defensive</v>
      </c>
      <c r="BB1913" s="23"/>
      <c r="BD1913" s="21"/>
      <c r="BE1913" s="21"/>
      <c r="BF1913" s="21"/>
      <c r="BG1913" s="21"/>
      <c r="BH1913" s="21"/>
      <c r="BI1913" s="21"/>
    </row>
    <row r="1914" spans="1:61" x14ac:dyDescent="0.2">
      <c r="A1914">
        <v>984</v>
      </c>
      <c r="B1914" t="s">
        <v>887</v>
      </c>
      <c r="C1914" t="str">
        <f t="shared" si="215"/>
        <v/>
      </c>
      <c r="D1914" t="str">
        <f t="shared" si="220"/>
        <v/>
      </c>
      <c r="H1914">
        <f t="shared" si="216"/>
        <v>2</v>
      </c>
      <c r="I1914" s="5" t="s">
        <v>899</v>
      </c>
      <c r="J1914" s="5" t="s">
        <v>773</v>
      </c>
      <c r="K1914" s="5" t="s">
        <v>899</v>
      </c>
      <c r="L1914" s="7" t="s">
        <v>753</v>
      </c>
      <c r="Q1914" t="s">
        <v>619</v>
      </c>
      <c r="R1914">
        <v>68</v>
      </c>
      <c r="S1914">
        <v>1</v>
      </c>
      <c r="T1914" t="str">
        <f t="shared" si="214"/>
        <v>e</v>
      </c>
      <c r="U1914" t="s">
        <v>15</v>
      </c>
      <c r="V1914" t="s">
        <v>698</v>
      </c>
      <c r="X1914" t="s">
        <v>706</v>
      </c>
      <c r="Y1914" t="s">
        <v>858</v>
      </c>
      <c r="AA1914" t="s">
        <v>706</v>
      </c>
      <c r="AF1914" t="s">
        <v>401</v>
      </c>
      <c r="AM1914" t="str">
        <f t="shared" si="217"/>
        <v>Possession</v>
      </c>
      <c r="AN1914" t="str">
        <f t="shared" si="218"/>
        <v>PuckRecovery</v>
      </c>
      <c r="AP1914" t="str">
        <f t="shared" si="219"/>
        <v>Offensive</v>
      </c>
      <c r="BB1914" s="23"/>
      <c r="BD1914" s="21"/>
      <c r="BE1914" s="21"/>
      <c r="BF1914" s="21"/>
      <c r="BG1914" s="21"/>
      <c r="BH1914" s="21"/>
      <c r="BI1914" s="21"/>
    </row>
    <row r="1915" spans="1:61" x14ac:dyDescent="0.2">
      <c r="A1915">
        <v>985</v>
      </c>
      <c r="B1915" t="s">
        <v>887</v>
      </c>
      <c r="C1915" t="str">
        <f t="shared" si="215"/>
        <v/>
      </c>
      <c r="D1915" t="str">
        <f t="shared" si="220"/>
        <v/>
      </c>
      <c r="H1915">
        <f t="shared" si="216"/>
        <v>2</v>
      </c>
      <c r="I1915" s="5" t="s">
        <v>899</v>
      </c>
      <c r="J1915" s="5" t="s">
        <v>753</v>
      </c>
      <c r="Q1915" t="s">
        <v>619</v>
      </c>
      <c r="R1915">
        <v>68</v>
      </c>
      <c r="S1915">
        <v>1</v>
      </c>
      <c r="T1915" t="str">
        <f t="shared" si="214"/>
        <v>e</v>
      </c>
      <c r="U1915" t="s">
        <v>8</v>
      </c>
      <c r="V1915" t="s">
        <v>189</v>
      </c>
      <c r="W1915" t="s">
        <v>69</v>
      </c>
      <c r="X1915" t="s">
        <v>706</v>
      </c>
      <c r="AF1915" t="s">
        <v>401</v>
      </c>
      <c r="AJ1915">
        <v>1</v>
      </c>
      <c r="AM1915" t="str">
        <f t="shared" si="217"/>
        <v>Pass</v>
      </c>
      <c r="AN1915" t="str">
        <f t="shared" si="218"/>
        <v>Pass_Completed</v>
      </c>
      <c r="AP1915" t="str">
        <f t="shared" si="219"/>
        <v>Offensive</v>
      </c>
      <c r="BB1915" s="23"/>
      <c r="BD1915" s="21"/>
      <c r="BE1915" s="21"/>
      <c r="BF1915" s="21"/>
      <c r="BG1915" s="21"/>
      <c r="BH1915" s="21"/>
      <c r="BI1915" s="21"/>
    </row>
    <row r="1916" spans="1:61" x14ac:dyDescent="0.2">
      <c r="A1916">
        <v>985</v>
      </c>
      <c r="B1916" t="s">
        <v>887</v>
      </c>
      <c r="C1916" t="str">
        <f t="shared" si="215"/>
        <v/>
      </c>
      <c r="D1916" t="str">
        <f t="shared" si="220"/>
        <v/>
      </c>
      <c r="H1916">
        <f t="shared" si="216"/>
        <v>2</v>
      </c>
      <c r="R1916">
        <v>18</v>
      </c>
      <c r="S1916">
        <v>1</v>
      </c>
      <c r="T1916" t="str">
        <f t="shared" si="214"/>
        <v>e</v>
      </c>
      <c r="AM1916" t="str">
        <f t="shared" si="217"/>
        <v>Pass</v>
      </c>
      <c r="AN1916" t="str">
        <f t="shared" si="218"/>
        <v>Pass_Completed</v>
      </c>
      <c r="AP1916" t="str">
        <f t="shared" si="219"/>
        <v>Offensive</v>
      </c>
      <c r="BB1916" s="23"/>
      <c r="BD1916" s="21"/>
      <c r="BE1916" s="21"/>
      <c r="BF1916" s="21"/>
      <c r="BG1916" s="21"/>
      <c r="BH1916" s="21"/>
      <c r="BI1916" s="21"/>
    </row>
    <row r="1917" spans="1:61" x14ac:dyDescent="0.2">
      <c r="A1917">
        <v>985</v>
      </c>
      <c r="B1917" t="s">
        <v>887</v>
      </c>
      <c r="C1917" t="str">
        <f t="shared" si="215"/>
        <v/>
      </c>
      <c r="D1917" t="str">
        <f t="shared" si="220"/>
        <v/>
      </c>
      <c r="H1917">
        <f t="shared" si="216"/>
        <v>2</v>
      </c>
      <c r="R1917">
        <v>22</v>
      </c>
      <c r="T1917" t="str">
        <f t="shared" si="214"/>
        <v>o</v>
      </c>
      <c r="AJ1917">
        <v>1</v>
      </c>
      <c r="AM1917" t="str">
        <f t="shared" si="217"/>
        <v>Pass</v>
      </c>
      <c r="AN1917" t="str">
        <f t="shared" si="218"/>
        <v>Pass_Completed</v>
      </c>
      <c r="AP1917" t="str">
        <f t="shared" si="219"/>
        <v>Defensive</v>
      </c>
      <c r="BB1917" s="23"/>
      <c r="BD1917" s="21"/>
      <c r="BE1917" s="21"/>
      <c r="BF1917" s="21"/>
      <c r="BG1917" s="21"/>
      <c r="BH1917" s="21"/>
      <c r="BI1917" s="21"/>
    </row>
    <row r="1918" spans="1:61" x14ac:dyDescent="0.2">
      <c r="A1918">
        <v>986</v>
      </c>
      <c r="B1918">
        <v>161</v>
      </c>
      <c r="C1918">
        <f t="shared" si="215"/>
        <v>9161</v>
      </c>
      <c r="D1918">
        <f t="shared" si="220"/>
        <v>9161</v>
      </c>
      <c r="H1918">
        <f t="shared" si="216"/>
        <v>2</v>
      </c>
      <c r="I1918" s="5" t="s">
        <v>899</v>
      </c>
      <c r="J1918" s="5" t="s">
        <v>640</v>
      </c>
      <c r="Q1918" t="s">
        <v>619</v>
      </c>
      <c r="R1918">
        <v>18</v>
      </c>
      <c r="S1918">
        <v>1</v>
      </c>
      <c r="T1918" t="str">
        <f t="shared" si="214"/>
        <v>e</v>
      </c>
      <c r="U1918" t="s">
        <v>8</v>
      </c>
      <c r="V1918" t="s">
        <v>189</v>
      </c>
      <c r="W1918" t="s">
        <v>405</v>
      </c>
      <c r="X1918" t="s">
        <v>706</v>
      </c>
      <c r="Y1918" t="s">
        <v>814</v>
      </c>
      <c r="AA1918" t="s">
        <v>706</v>
      </c>
      <c r="AF1918" t="s">
        <v>401</v>
      </c>
      <c r="AM1918" t="str">
        <f t="shared" si="217"/>
        <v>Pass</v>
      </c>
      <c r="AN1918" t="str">
        <f t="shared" si="218"/>
        <v>Pass_Completed</v>
      </c>
      <c r="AP1918" t="str">
        <f t="shared" si="219"/>
        <v>Offensive</v>
      </c>
      <c r="BB1918" s="23"/>
      <c r="BD1918" s="21"/>
      <c r="BE1918" s="21"/>
      <c r="BF1918" s="21"/>
      <c r="BG1918" s="21"/>
      <c r="BH1918" s="21"/>
      <c r="BI1918" s="21"/>
    </row>
    <row r="1919" spans="1:61" x14ac:dyDescent="0.2">
      <c r="A1919">
        <v>986</v>
      </c>
      <c r="B1919">
        <v>161</v>
      </c>
      <c r="C1919">
        <f t="shared" si="215"/>
        <v>9161</v>
      </c>
      <c r="D1919">
        <f t="shared" si="220"/>
        <v>9161</v>
      </c>
      <c r="H1919">
        <f t="shared" si="216"/>
        <v>2</v>
      </c>
      <c r="R1919">
        <v>3</v>
      </c>
      <c r="S1919">
        <v>1</v>
      </c>
      <c r="T1919" t="str">
        <f t="shared" si="214"/>
        <v>e</v>
      </c>
      <c r="AJ1919">
        <v>1</v>
      </c>
      <c r="AM1919" t="str">
        <f t="shared" si="217"/>
        <v>Pass</v>
      </c>
      <c r="AN1919" t="str">
        <f t="shared" si="218"/>
        <v>Pass_Completed</v>
      </c>
      <c r="AP1919" t="str">
        <f t="shared" si="219"/>
        <v>Offensive</v>
      </c>
      <c r="BB1919" s="23"/>
      <c r="BD1919" s="21"/>
      <c r="BE1919" s="21"/>
      <c r="BF1919" s="21"/>
      <c r="BG1919" s="21"/>
      <c r="BH1919" s="21"/>
      <c r="BI1919" s="21"/>
    </row>
    <row r="1920" spans="1:61" x14ac:dyDescent="0.2">
      <c r="A1920">
        <v>986</v>
      </c>
      <c r="B1920">
        <v>161</v>
      </c>
      <c r="C1920">
        <f t="shared" si="215"/>
        <v>9161</v>
      </c>
      <c r="D1920">
        <f t="shared" si="220"/>
        <v>9161</v>
      </c>
      <c r="H1920">
        <f t="shared" si="216"/>
        <v>2</v>
      </c>
      <c r="R1920">
        <v>91</v>
      </c>
      <c r="T1920" t="str">
        <f t="shared" si="214"/>
        <v>o</v>
      </c>
      <c r="AJ1920">
        <v>1</v>
      </c>
      <c r="AM1920" t="str">
        <f t="shared" si="217"/>
        <v>Pass</v>
      </c>
      <c r="AN1920" t="str">
        <f t="shared" si="218"/>
        <v>Pass_Completed</v>
      </c>
      <c r="AP1920" t="str">
        <f t="shared" si="219"/>
        <v>Defensive</v>
      </c>
      <c r="BB1920" s="23"/>
      <c r="BD1920" s="21"/>
      <c r="BE1920" s="21"/>
      <c r="BF1920" s="21"/>
      <c r="BG1920" s="21"/>
      <c r="BH1920" s="21"/>
      <c r="BI1920" s="21"/>
    </row>
    <row r="1921" spans="1:61" x14ac:dyDescent="0.2">
      <c r="A1921">
        <v>987</v>
      </c>
      <c r="B1921">
        <v>161</v>
      </c>
      <c r="C1921">
        <f t="shared" si="215"/>
        <v>9161</v>
      </c>
      <c r="D1921">
        <f t="shared" si="220"/>
        <v>9161</v>
      </c>
      <c r="H1921">
        <f t="shared" si="216"/>
        <v>2</v>
      </c>
      <c r="I1921" s="5" t="s">
        <v>899</v>
      </c>
      <c r="J1921" s="5" t="s">
        <v>640</v>
      </c>
      <c r="Q1921" t="s">
        <v>619</v>
      </c>
      <c r="R1921">
        <v>3</v>
      </c>
      <c r="S1921">
        <v>1</v>
      </c>
      <c r="T1921" t="str">
        <f t="shared" si="214"/>
        <v>e</v>
      </c>
      <c r="U1921" t="s">
        <v>7</v>
      </c>
      <c r="V1921" t="s">
        <v>224</v>
      </c>
      <c r="W1921" t="s">
        <v>56</v>
      </c>
      <c r="X1921" t="s">
        <v>706</v>
      </c>
      <c r="AF1921" t="s">
        <v>401</v>
      </c>
      <c r="AM1921" t="str">
        <f t="shared" si="217"/>
        <v>Shot</v>
      </c>
      <c r="AN1921" t="str">
        <f t="shared" si="218"/>
        <v>Shot_TippedOnNetSaved</v>
      </c>
      <c r="AP1921" t="str">
        <f t="shared" si="219"/>
        <v>Offensive</v>
      </c>
      <c r="BB1921" s="23"/>
      <c r="BD1921" s="21"/>
      <c r="BE1921" s="21"/>
      <c r="BF1921" s="21"/>
      <c r="BG1921" s="21"/>
      <c r="BH1921" s="21"/>
      <c r="BI1921" s="21"/>
    </row>
    <row r="1922" spans="1:61" x14ac:dyDescent="0.2">
      <c r="A1922">
        <v>987</v>
      </c>
      <c r="B1922">
        <v>161</v>
      </c>
      <c r="C1922">
        <f t="shared" si="215"/>
        <v>9161</v>
      </c>
      <c r="D1922">
        <f t="shared" si="220"/>
        <v>9161</v>
      </c>
      <c r="H1922">
        <f t="shared" si="216"/>
        <v>2</v>
      </c>
      <c r="R1922">
        <v>18</v>
      </c>
      <c r="S1922">
        <v>1</v>
      </c>
      <c r="T1922" t="str">
        <f t="shared" si="214"/>
        <v>e</v>
      </c>
      <c r="AM1922" t="str">
        <f t="shared" si="217"/>
        <v>Shot</v>
      </c>
      <c r="AN1922" t="str">
        <f t="shared" si="218"/>
        <v>Shot_TippedOnNetSaved</v>
      </c>
      <c r="AP1922" t="str">
        <f t="shared" si="219"/>
        <v>Offensive</v>
      </c>
      <c r="BB1922" s="23"/>
      <c r="BD1922" s="21"/>
      <c r="BE1922" s="21"/>
      <c r="BF1922" s="21"/>
      <c r="BG1922" s="21"/>
      <c r="BH1922" s="21"/>
      <c r="BI1922" s="21"/>
    </row>
    <row r="1923" spans="1:61" x14ac:dyDescent="0.2">
      <c r="A1923">
        <v>987</v>
      </c>
      <c r="B1923">
        <v>161</v>
      </c>
      <c r="C1923">
        <f t="shared" si="215"/>
        <v>9161</v>
      </c>
      <c r="D1923">
        <f t="shared" si="220"/>
        <v>9161</v>
      </c>
      <c r="H1923">
        <f t="shared" si="216"/>
        <v>2</v>
      </c>
      <c r="R1923">
        <v>39</v>
      </c>
      <c r="T1923" t="str">
        <f t="shared" ref="T1923:T1986" si="221">IF(S1923="x","",IF(S1923=1,"e","o"))</f>
        <v>o</v>
      </c>
      <c r="AM1923" t="str">
        <f t="shared" si="217"/>
        <v>Shot</v>
      </c>
      <c r="AN1923" t="str">
        <f t="shared" si="218"/>
        <v>Shot_TippedOnNetSaved</v>
      </c>
      <c r="AP1923" t="str">
        <f t="shared" si="219"/>
        <v>Defensive</v>
      </c>
      <c r="BB1923" s="23"/>
      <c r="BD1923" s="21"/>
      <c r="BE1923" s="21"/>
      <c r="BF1923" s="21"/>
      <c r="BG1923" s="21"/>
      <c r="BH1923" s="21"/>
      <c r="BI1923" s="21"/>
    </row>
    <row r="1924" spans="1:61" x14ac:dyDescent="0.2">
      <c r="A1924">
        <v>988</v>
      </c>
      <c r="B1924">
        <v>161</v>
      </c>
      <c r="C1924">
        <f t="shared" ref="C1924:C1987" si="222">IF(B1924&lt;&gt;"",9000+B1924,"")</f>
        <v>9161</v>
      </c>
      <c r="D1924">
        <f t="shared" si="220"/>
        <v>9161</v>
      </c>
      <c r="H1924">
        <f t="shared" si="216"/>
        <v>2</v>
      </c>
      <c r="I1924" s="5" t="s">
        <v>899</v>
      </c>
      <c r="J1924" s="5" t="s">
        <v>640</v>
      </c>
      <c r="Q1924" t="s">
        <v>620</v>
      </c>
      <c r="R1924">
        <v>39</v>
      </c>
      <c r="S1924">
        <v>1</v>
      </c>
      <c r="T1924" t="str">
        <f t="shared" si="221"/>
        <v>e</v>
      </c>
      <c r="U1924" t="s">
        <v>17</v>
      </c>
      <c r="V1924" t="s">
        <v>196</v>
      </c>
      <c r="W1924" t="s">
        <v>451</v>
      </c>
      <c r="AF1924" t="s">
        <v>623</v>
      </c>
      <c r="AM1924" t="str">
        <f t="shared" si="217"/>
        <v>Save</v>
      </c>
      <c r="AN1924" t="str">
        <f t="shared" si="218"/>
        <v>Save_Rebound</v>
      </c>
      <c r="AP1924" t="str">
        <f t="shared" si="219"/>
        <v>Defensive</v>
      </c>
      <c r="BB1924" s="23"/>
      <c r="BD1924" s="21"/>
      <c r="BE1924" s="21"/>
      <c r="BF1924" s="21"/>
      <c r="BG1924" s="21"/>
      <c r="BH1924" s="21"/>
      <c r="BI1924" s="21"/>
    </row>
    <row r="1925" spans="1:61" x14ac:dyDescent="0.2">
      <c r="A1925">
        <v>988</v>
      </c>
      <c r="B1925">
        <v>161</v>
      </c>
      <c r="C1925">
        <f t="shared" si="222"/>
        <v>9161</v>
      </c>
      <c r="D1925">
        <f t="shared" si="220"/>
        <v>9161</v>
      </c>
      <c r="H1925">
        <f t="shared" ref="H1925:H1988" si="223">IF(U1925="Intermission",H1924+1,H1924)</f>
        <v>2</v>
      </c>
      <c r="R1925">
        <v>3</v>
      </c>
      <c r="T1925" t="str">
        <f t="shared" si="221"/>
        <v>o</v>
      </c>
      <c r="AM1925" t="str">
        <f t="shared" ref="AM1925:AM1988" si="224">IF(U1925&lt;&gt;"",U1925,IF($A1925=$A1924,AM1924,""))</f>
        <v>Save</v>
      </c>
      <c r="AN1925" t="str">
        <f t="shared" ref="AN1925:AN1988" si="225">IF(V1925&lt;&gt;"",V1925,IF($A1925=$A1924,AN1924,""))</f>
        <v>Save_Rebound</v>
      </c>
      <c r="AP1925" t="str">
        <f t="shared" si="219"/>
        <v>Offensive</v>
      </c>
      <c r="BB1925" s="23"/>
      <c r="BD1925" s="21"/>
      <c r="BE1925" s="21"/>
      <c r="BF1925" s="21"/>
      <c r="BG1925" s="21"/>
      <c r="BH1925" s="21"/>
      <c r="BI1925" s="21"/>
    </row>
    <row r="1926" spans="1:61" x14ac:dyDescent="0.2">
      <c r="A1926">
        <v>988</v>
      </c>
      <c r="B1926">
        <v>161</v>
      </c>
      <c r="C1926">
        <f t="shared" si="222"/>
        <v>9161</v>
      </c>
      <c r="D1926">
        <f t="shared" si="220"/>
        <v>9161</v>
      </c>
      <c r="H1926">
        <f t="shared" si="223"/>
        <v>2</v>
      </c>
      <c r="R1926">
        <v>18</v>
      </c>
      <c r="T1926" t="str">
        <f t="shared" si="221"/>
        <v>o</v>
      </c>
      <c r="AM1926" t="str">
        <f t="shared" si="224"/>
        <v>Save</v>
      </c>
      <c r="AN1926" t="str">
        <f t="shared" si="225"/>
        <v>Save_Rebound</v>
      </c>
      <c r="AP1926" t="str">
        <f t="shared" ref="AP1926:AP1989" si="226">IF(AND(T1926="e",OR(AM1926="Save",AN1926="Turnover_Takeaway",AN1926="Play_Defensive")),"Defensive",IF(AND(T1926="o",OR(AM1926="Save",AN1926="Turnover_Takeaway",AN1926="Play_Defensive")),"Offensive",IF(OR(AM1926="Deadice",AM1926="Stoppage",AM1926="Intermission"),"",IF(T1926="e","Offensive",IF(T1926="o","Defensive","")))))</f>
        <v>Offensive</v>
      </c>
      <c r="BB1926" s="23"/>
      <c r="BD1926" s="21"/>
      <c r="BE1926" s="21"/>
      <c r="BF1926" s="21"/>
      <c r="BG1926" s="21"/>
      <c r="BH1926" s="21"/>
      <c r="BI1926" s="21"/>
    </row>
    <row r="1927" spans="1:61" x14ac:dyDescent="0.2">
      <c r="A1927">
        <v>989</v>
      </c>
      <c r="B1927">
        <v>161</v>
      </c>
      <c r="C1927">
        <f t="shared" si="222"/>
        <v>9161</v>
      </c>
      <c r="D1927">
        <f t="shared" si="220"/>
        <v>9161</v>
      </c>
      <c r="H1927">
        <f t="shared" si="223"/>
        <v>2</v>
      </c>
      <c r="I1927" s="5" t="s">
        <v>899</v>
      </c>
      <c r="J1927" s="5" t="s">
        <v>640</v>
      </c>
      <c r="Q1927" t="s">
        <v>620</v>
      </c>
      <c r="R1927">
        <v>39</v>
      </c>
      <c r="S1927">
        <v>1</v>
      </c>
      <c r="T1927" t="str">
        <f t="shared" si="221"/>
        <v>e</v>
      </c>
      <c r="U1927" t="s">
        <v>250</v>
      </c>
      <c r="V1927" t="s">
        <v>251</v>
      </c>
      <c r="AF1927" t="s">
        <v>623</v>
      </c>
      <c r="AM1927" t="str">
        <f t="shared" si="224"/>
        <v>Rebound</v>
      </c>
      <c r="AN1927" t="str">
        <f t="shared" si="225"/>
        <v>Rebound_TeamRecovered</v>
      </c>
      <c r="AP1927" t="str">
        <f t="shared" si="226"/>
        <v>Offensive</v>
      </c>
      <c r="BB1927" s="23"/>
      <c r="BD1927" s="21"/>
      <c r="BE1927" s="21"/>
      <c r="BF1927" s="21"/>
      <c r="BG1927" s="21"/>
      <c r="BH1927" s="21"/>
      <c r="BI1927" s="21"/>
    </row>
    <row r="1928" spans="1:61" x14ac:dyDescent="0.2">
      <c r="A1928">
        <v>990</v>
      </c>
      <c r="B1928" t="s">
        <v>887</v>
      </c>
      <c r="C1928" t="str">
        <f t="shared" si="222"/>
        <v/>
      </c>
      <c r="D1928" t="str">
        <f t="shared" si="220"/>
        <v/>
      </c>
      <c r="H1928">
        <f t="shared" si="223"/>
        <v>2</v>
      </c>
      <c r="I1928" s="5" t="s">
        <v>899</v>
      </c>
      <c r="J1928" s="5" t="s">
        <v>672</v>
      </c>
      <c r="Q1928" t="s">
        <v>620</v>
      </c>
      <c r="R1928">
        <v>84</v>
      </c>
      <c r="S1928">
        <v>1</v>
      </c>
      <c r="T1928" t="str">
        <f t="shared" si="221"/>
        <v>e</v>
      </c>
      <c r="U1928" t="s">
        <v>15</v>
      </c>
      <c r="V1928" t="s">
        <v>698</v>
      </c>
      <c r="X1928" t="s">
        <v>705</v>
      </c>
      <c r="Y1928" t="s">
        <v>808</v>
      </c>
      <c r="AA1928" t="s">
        <v>705</v>
      </c>
      <c r="AF1928" t="s">
        <v>623</v>
      </c>
      <c r="AJ1928">
        <v>1</v>
      </c>
      <c r="AM1928" t="str">
        <f t="shared" si="224"/>
        <v>Possession</v>
      </c>
      <c r="AN1928" t="str">
        <f t="shared" si="225"/>
        <v>PuckRecovery</v>
      </c>
      <c r="AP1928" t="str">
        <f t="shared" si="226"/>
        <v>Offensive</v>
      </c>
      <c r="BB1928" s="23"/>
      <c r="BD1928" s="21"/>
      <c r="BE1928" s="21"/>
      <c r="BF1928" s="21"/>
      <c r="BG1928" s="21"/>
      <c r="BH1928" s="21"/>
      <c r="BI1928" s="21"/>
    </row>
    <row r="1929" spans="1:61" x14ac:dyDescent="0.2">
      <c r="A1929">
        <v>990</v>
      </c>
      <c r="B1929" t="s">
        <v>887</v>
      </c>
      <c r="C1929" t="str">
        <f t="shared" si="222"/>
        <v/>
      </c>
      <c r="D1929" t="str">
        <f t="shared" ref="D1929:D1992" si="227">IF(C1929&lt;&gt;"",C1929,B1929)</f>
        <v/>
      </c>
      <c r="H1929">
        <f t="shared" si="223"/>
        <v>2</v>
      </c>
      <c r="R1929">
        <v>68</v>
      </c>
      <c r="T1929" t="str">
        <f t="shared" si="221"/>
        <v>o</v>
      </c>
      <c r="Y1929" t="s">
        <v>850</v>
      </c>
      <c r="AA1929" t="s">
        <v>705</v>
      </c>
      <c r="AJ1929">
        <v>1</v>
      </c>
      <c r="AM1929" t="str">
        <f t="shared" si="224"/>
        <v>Possession</v>
      </c>
      <c r="AN1929" t="str">
        <f t="shared" si="225"/>
        <v>PuckRecovery</v>
      </c>
      <c r="AP1929" t="str">
        <f t="shared" si="226"/>
        <v>Defensive</v>
      </c>
      <c r="BB1929" s="23"/>
      <c r="BD1929" s="21"/>
      <c r="BE1929" s="21"/>
      <c r="BF1929" s="21"/>
      <c r="BG1929" s="21"/>
      <c r="BH1929" s="21"/>
      <c r="BI1929" s="21"/>
    </row>
    <row r="1930" spans="1:61" x14ac:dyDescent="0.2">
      <c r="A1930">
        <v>991</v>
      </c>
      <c r="B1930">
        <v>162</v>
      </c>
      <c r="C1930">
        <f t="shared" si="222"/>
        <v>9162</v>
      </c>
      <c r="D1930">
        <f t="shared" si="227"/>
        <v>9162</v>
      </c>
      <c r="H1930">
        <f t="shared" si="223"/>
        <v>2</v>
      </c>
      <c r="I1930" s="5" t="s">
        <v>899</v>
      </c>
      <c r="J1930" s="5" t="s">
        <v>755</v>
      </c>
      <c r="Q1930" t="s">
        <v>620</v>
      </c>
      <c r="R1930">
        <v>70</v>
      </c>
      <c r="S1930">
        <v>1</v>
      </c>
      <c r="T1930" t="str">
        <f t="shared" si="221"/>
        <v>e</v>
      </c>
      <c r="U1930" t="s">
        <v>8</v>
      </c>
      <c r="V1930" t="s">
        <v>189</v>
      </c>
      <c r="W1930" t="s">
        <v>69</v>
      </c>
      <c r="X1930" t="s">
        <v>706</v>
      </c>
      <c r="Y1930" t="s">
        <v>678</v>
      </c>
      <c r="AA1930" t="s">
        <v>706</v>
      </c>
      <c r="AF1930" t="s">
        <v>623</v>
      </c>
      <c r="AM1930" t="str">
        <f t="shared" si="224"/>
        <v>Pass</v>
      </c>
      <c r="AN1930" t="str">
        <f t="shared" si="225"/>
        <v>Pass_Completed</v>
      </c>
      <c r="AP1930" t="str">
        <f t="shared" si="226"/>
        <v>Offensive</v>
      </c>
      <c r="BB1930" s="23"/>
      <c r="BD1930" s="21"/>
      <c r="BE1930" s="21"/>
      <c r="BF1930" s="21"/>
      <c r="BG1930" s="21"/>
      <c r="BH1930" s="21"/>
      <c r="BI1930" s="21"/>
    </row>
    <row r="1931" spans="1:61" x14ac:dyDescent="0.2">
      <c r="A1931">
        <v>991</v>
      </c>
      <c r="B1931">
        <v>162</v>
      </c>
      <c r="C1931">
        <f t="shared" si="222"/>
        <v>9162</v>
      </c>
      <c r="D1931">
        <f t="shared" si="227"/>
        <v>9162</v>
      </c>
      <c r="H1931">
        <f t="shared" si="223"/>
        <v>2</v>
      </c>
      <c r="R1931">
        <v>55</v>
      </c>
      <c r="S1931">
        <v>1</v>
      </c>
      <c r="T1931" t="str">
        <f t="shared" si="221"/>
        <v>e</v>
      </c>
      <c r="AM1931" t="str">
        <f t="shared" si="224"/>
        <v>Pass</v>
      </c>
      <c r="AN1931" t="str">
        <f t="shared" si="225"/>
        <v>Pass_Completed</v>
      </c>
      <c r="AP1931" t="str">
        <f t="shared" si="226"/>
        <v>Offensive</v>
      </c>
      <c r="BB1931" s="23"/>
      <c r="BD1931" s="21"/>
      <c r="BE1931" s="21"/>
      <c r="BF1931" s="21"/>
      <c r="BG1931" s="21"/>
      <c r="BH1931" s="21"/>
      <c r="BI1931" s="21"/>
    </row>
    <row r="1932" spans="1:61" x14ac:dyDescent="0.2">
      <c r="A1932">
        <v>992</v>
      </c>
      <c r="B1932">
        <v>162</v>
      </c>
      <c r="C1932">
        <f t="shared" si="222"/>
        <v>9162</v>
      </c>
      <c r="D1932">
        <f t="shared" si="227"/>
        <v>9162</v>
      </c>
      <c r="H1932">
        <f t="shared" si="223"/>
        <v>2</v>
      </c>
      <c r="I1932" s="5" t="s">
        <v>899</v>
      </c>
      <c r="J1932" s="5" t="s">
        <v>755</v>
      </c>
      <c r="Q1932" t="s">
        <v>620</v>
      </c>
      <c r="R1932">
        <v>70</v>
      </c>
      <c r="S1932">
        <v>1</v>
      </c>
      <c r="T1932" t="str">
        <f t="shared" si="221"/>
        <v>e</v>
      </c>
      <c r="U1932" t="s">
        <v>257</v>
      </c>
      <c r="V1932" t="s">
        <v>201</v>
      </c>
      <c r="W1932" t="s">
        <v>91</v>
      </c>
      <c r="X1932" t="s">
        <v>706</v>
      </c>
      <c r="Y1932" t="s">
        <v>678</v>
      </c>
      <c r="AA1932" t="s">
        <v>706</v>
      </c>
      <c r="AF1932" t="s">
        <v>623</v>
      </c>
      <c r="AM1932" t="str">
        <f t="shared" si="224"/>
        <v>Zone_Entry_Exit</v>
      </c>
      <c r="AN1932" t="str">
        <f t="shared" si="225"/>
        <v>Zone_Exit</v>
      </c>
      <c r="AP1932" t="str">
        <f t="shared" si="226"/>
        <v>Offensive</v>
      </c>
      <c r="BB1932" s="23"/>
      <c r="BD1932" s="21"/>
      <c r="BE1932" s="21"/>
      <c r="BF1932" s="21"/>
      <c r="BG1932" s="21"/>
      <c r="BH1932" s="21"/>
      <c r="BI1932" s="21"/>
    </row>
    <row r="1933" spans="1:61" x14ac:dyDescent="0.2">
      <c r="A1933">
        <v>992</v>
      </c>
      <c r="B1933">
        <v>162</v>
      </c>
      <c r="C1933">
        <f t="shared" si="222"/>
        <v>9162</v>
      </c>
      <c r="D1933">
        <f t="shared" si="227"/>
        <v>9162</v>
      </c>
      <c r="H1933">
        <f t="shared" si="223"/>
        <v>2</v>
      </c>
      <c r="R1933">
        <v>55</v>
      </c>
      <c r="S1933">
        <v>1</v>
      </c>
      <c r="T1933" t="str">
        <f t="shared" si="221"/>
        <v>e</v>
      </c>
      <c r="AM1933" t="str">
        <f t="shared" si="224"/>
        <v>Zone_Entry_Exit</v>
      </c>
      <c r="AN1933" t="str">
        <f t="shared" si="225"/>
        <v>Zone_Exit</v>
      </c>
      <c r="AP1933" t="str">
        <f t="shared" si="226"/>
        <v>Offensive</v>
      </c>
      <c r="BB1933" s="23"/>
      <c r="BD1933" s="21"/>
      <c r="BE1933" s="21"/>
      <c r="BF1933" s="21"/>
      <c r="BG1933" s="21"/>
      <c r="BH1933" s="21"/>
      <c r="BI1933" s="21"/>
    </row>
    <row r="1934" spans="1:61" x14ac:dyDescent="0.2">
      <c r="A1934">
        <v>993</v>
      </c>
      <c r="B1934" t="s">
        <v>887</v>
      </c>
      <c r="C1934" t="str">
        <f t="shared" si="222"/>
        <v/>
      </c>
      <c r="D1934" t="str">
        <f t="shared" si="227"/>
        <v/>
      </c>
      <c r="H1934">
        <f t="shared" si="223"/>
        <v>2</v>
      </c>
      <c r="I1934" s="5" t="s">
        <v>899</v>
      </c>
      <c r="J1934" s="5" t="s">
        <v>711</v>
      </c>
      <c r="K1934" s="5" t="s">
        <v>899</v>
      </c>
      <c r="L1934" s="7" t="s">
        <v>716</v>
      </c>
      <c r="Q1934" t="s">
        <v>620</v>
      </c>
      <c r="R1934">
        <v>55</v>
      </c>
      <c r="S1934">
        <v>1</v>
      </c>
      <c r="T1934" t="str">
        <f t="shared" si="221"/>
        <v>e</v>
      </c>
      <c r="U1934" t="s">
        <v>15</v>
      </c>
      <c r="AF1934" t="s">
        <v>635</v>
      </c>
      <c r="AM1934" t="str">
        <f t="shared" si="224"/>
        <v>Possession</v>
      </c>
      <c r="AN1934" t="str">
        <f t="shared" si="225"/>
        <v/>
      </c>
      <c r="AP1934" t="str">
        <f t="shared" si="226"/>
        <v>Offensive</v>
      </c>
      <c r="BB1934" s="23"/>
      <c r="BD1934" s="21"/>
      <c r="BE1934" s="21"/>
      <c r="BF1934" s="21"/>
      <c r="BG1934" s="21"/>
      <c r="BH1934" s="21"/>
      <c r="BI1934" s="21"/>
    </row>
    <row r="1935" spans="1:61" x14ac:dyDescent="0.2">
      <c r="A1935">
        <v>994</v>
      </c>
      <c r="B1935" t="s">
        <v>887</v>
      </c>
      <c r="C1935" t="str">
        <f t="shared" si="222"/>
        <v/>
      </c>
      <c r="D1935" t="str">
        <f t="shared" si="227"/>
        <v/>
      </c>
      <c r="H1935">
        <f t="shared" si="223"/>
        <v>2</v>
      </c>
      <c r="I1935" s="5" t="s">
        <v>899</v>
      </c>
      <c r="J1935" s="5" t="s">
        <v>716</v>
      </c>
      <c r="K1935" s="5" t="s">
        <v>899</v>
      </c>
      <c r="L1935" s="7" t="s">
        <v>790</v>
      </c>
      <c r="Q1935" t="s">
        <v>620</v>
      </c>
      <c r="R1935">
        <v>55</v>
      </c>
      <c r="S1935">
        <v>1</v>
      </c>
      <c r="T1935" t="str">
        <f t="shared" si="221"/>
        <v>e</v>
      </c>
      <c r="U1935" t="s">
        <v>257</v>
      </c>
      <c r="V1935" t="s">
        <v>191</v>
      </c>
      <c r="W1935" t="s">
        <v>87</v>
      </c>
      <c r="X1935" t="s">
        <v>706</v>
      </c>
      <c r="AF1935" t="s">
        <v>401</v>
      </c>
      <c r="AM1935" t="str">
        <f t="shared" si="224"/>
        <v>Zone_Entry_Exit</v>
      </c>
      <c r="AN1935" t="str">
        <f t="shared" si="225"/>
        <v>Zone_Entry</v>
      </c>
      <c r="AP1935" t="str">
        <f t="shared" si="226"/>
        <v>Offensive</v>
      </c>
      <c r="BB1935" s="23"/>
      <c r="BD1935" s="21"/>
      <c r="BE1935" s="21"/>
      <c r="BF1935" s="21"/>
      <c r="BG1935" s="21"/>
      <c r="BH1935" s="21"/>
      <c r="BI1935" s="21"/>
    </row>
    <row r="1936" spans="1:61" x14ac:dyDescent="0.2">
      <c r="A1936">
        <v>994</v>
      </c>
      <c r="B1936" t="s">
        <v>887</v>
      </c>
      <c r="C1936" t="str">
        <f t="shared" si="222"/>
        <v/>
      </c>
      <c r="D1936" t="str">
        <f t="shared" si="227"/>
        <v/>
      </c>
      <c r="H1936">
        <f t="shared" si="223"/>
        <v>2</v>
      </c>
      <c r="R1936">
        <v>13</v>
      </c>
      <c r="T1936" t="str">
        <f t="shared" si="221"/>
        <v>o</v>
      </c>
      <c r="AM1936" t="str">
        <f t="shared" si="224"/>
        <v>Zone_Entry_Exit</v>
      </c>
      <c r="AN1936" t="str">
        <f t="shared" si="225"/>
        <v>Zone_Entry</v>
      </c>
      <c r="AP1936" t="str">
        <f t="shared" si="226"/>
        <v>Defensive</v>
      </c>
      <c r="BB1936" s="23"/>
      <c r="BD1936" s="21"/>
      <c r="BE1936" s="21"/>
      <c r="BF1936" s="21"/>
      <c r="BG1936" s="21"/>
      <c r="BH1936" s="21"/>
      <c r="BI1936" s="21"/>
    </row>
    <row r="1937" spans="1:61" x14ac:dyDescent="0.2">
      <c r="A1937">
        <v>995</v>
      </c>
      <c r="B1937">
        <v>163</v>
      </c>
      <c r="C1937">
        <f t="shared" si="222"/>
        <v>9163</v>
      </c>
      <c r="D1937">
        <f t="shared" si="227"/>
        <v>9163</v>
      </c>
      <c r="H1937">
        <f t="shared" si="223"/>
        <v>2</v>
      </c>
      <c r="I1937" s="5" t="s">
        <v>899</v>
      </c>
      <c r="J1937" s="5" t="s">
        <v>790</v>
      </c>
      <c r="Q1937" t="s">
        <v>620</v>
      </c>
      <c r="R1937">
        <v>55</v>
      </c>
      <c r="S1937">
        <v>1</v>
      </c>
      <c r="T1937" t="str">
        <f t="shared" si="221"/>
        <v>e</v>
      </c>
      <c r="U1937" t="s">
        <v>7</v>
      </c>
      <c r="V1937" t="s">
        <v>222</v>
      </c>
      <c r="W1937" t="s">
        <v>53</v>
      </c>
      <c r="X1937" t="s">
        <v>706</v>
      </c>
      <c r="AF1937" t="s">
        <v>401</v>
      </c>
      <c r="AM1937" t="str">
        <f t="shared" si="224"/>
        <v>Shot</v>
      </c>
      <c r="AN1937" t="str">
        <f t="shared" si="225"/>
        <v>Shot_OnNetSaved</v>
      </c>
      <c r="AP1937" t="str">
        <f t="shared" si="226"/>
        <v>Offensive</v>
      </c>
      <c r="BB1937" s="23"/>
      <c r="BD1937" s="21"/>
      <c r="BE1937" s="21"/>
      <c r="BF1937" s="21"/>
      <c r="BG1937" s="21"/>
      <c r="BH1937" s="21"/>
      <c r="BI1937" s="21"/>
    </row>
    <row r="1938" spans="1:61" x14ac:dyDescent="0.2">
      <c r="A1938">
        <v>995</v>
      </c>
      <c r="B1938">
        <v>163</v>
      </c>
      <c r="C1938">
        <f t="shared" si="222"/>
        <v>9163</v>
      </c>
      <c r="D1938">
        <f t="shared" si="227"/>
        <v>9163</v>
      </c>
      <c r="H1938">
        <f t="shared" si="223"/>
        <v>2</v>
      </c>
      <c r="R1938">
        <v>30</v>
      </c>
      <c r="T1938" t="str">
        <f t="shared" si="221"/>
        <v>o</v>
      </c>
      <c r="AM1938" t="str">
        <f t="shared" si="224"/>
        <v>Shot</v>
      </c>
      <c r="AN1938" t="str">
        <f t="shared" si="225"/>
        <v>Shot_OnNetSaved</v>
      </c>
      <c r="AP1938" t="str">
        <f t="shared" si="226"/>
        <v>Defensive</v>
      </c>
      <c r="BB1938" s="23"/>
      <c r="BD1938" s="21"/>
      <c r="BE1938" s="21"/>
      <c r="BF1938" s="21"/>
      <c r="BG1938" s="21"/>
      <c r="BH1938" s="21"/>
      <c r="BI1938" s="21"/>
    </row>
    <row r="1939" spans="1:61" x14ac:dyDescent="0.2">
      <c r="A1939">
        <v>995</v>
      </c>
      <c r="B1939">
        <v>163</v>
      </c>
      <c r="C1939">
        <f t="shared" si="222"/>
        <v>9163</v>
      </c>
      <c r="D1939">
        <f t="shared" si="227"/>
        <v>9163</v>
      </c>
      <c r="H1939">
        <f t="shared" si="223"/>
        <v>2</v>
      </c>
      <c r="R1939">
        <v>13</v>
      </c>
      <c r="T1939" t="str">
        <f t="shared" si="221"/>
        <v>o</v>
      </c>
      <c r="AM1939" t="str">
        <f t="shared" si="224"/>
        <v>Shot</v>
      </c>
      <c r="AN1939" t="str">
        <f t="shared" si="225"/>
        <v>Shot_OnNetSaved</v>
      </c>
      <c r="AP1939" t="str">
        <f t="shared" si="226"/>
        <v>Defensive</v>
      </c>
      <c r="BB1939" s="23"/>
      <c r="BD1939" s="21"/>
      <c r="BE1939" s="21"/>
      <c r="BF1939" s="21"/>
      <c r="BG1939" s="21"/>
      <c r="BH1939" s="21"/>
      <c r="BI1939" s="21"/>
    </row>
    <row r="1940" spans="1:61" x14ac:dyDescent="0.2">
      <c r="A1940">
        <v>996</v>
      </c>
      <c r="B1940">
        <v>163</v>
      </c>
      <c r="C1940">
        <f t="shared" si="222"/>
        <v>9163</v>
      </c>
      <c r="D1940">
        <f t="shared" si="227"/>
        <v>9163</v>
      </c>
      <c r="H1940">
        <f t="shared" si="223"/>
        <v>2</v>
      </c>
      <c r="I1940" s="5" t="s">
        <v>899</v>
      </c>
      <c r="J1940" s="5" t="s">
        <v>790</v>
      </c>
      <c r="Q1940" t="s">
        <v>619</v>
      </c>
      <c r="R1940">
        <v>30</v>
      </c>
      <c r="S1940">
        <v>1</v>
      </c>
      <c r="T1940" t="str">
        <f t="shared" si="221"/>
        <v>e</v>
      </c>
      <c r="U1940" t="s">
        <v>17</v>
      </c>
      <c r="V1940" t="s">
        <v>206</v>
      </c>
      <c r="W1940" t="s">
        <v>102</v>
      </c>
      <c r="AF1940" t="s">
        <v>623</v>
      </c>
      <c r="AM1940" t="str">
        <f t="shared" si="224"/>
        <v>Save</v>
      </c>
      <c r="AN1940" t="str">
        <f t="shared" si="225"/>
        <v>Save_Freeze</v>
      </c>
      <c r="AP1940" t="str">
        <f t="shared" si="226"/>
        <v>Defensive</v>
      </c>
      <c r="BB1940" s="23"/>
      <c r="BD1940" s="21"/>
      <c r="BE1940" s="21"/>
      <c r="BF1940" s="21"/>
      <c r="BG1940" s="21"/>
      <c r="BH1940" s="21"/>
      <c r="BI1940" s="21"/>
    </row>
    <row r="1941" spans="1:61" x14ac:dyDescent="0.2">
      <c r="A1941">
        <v>996</v>
      </c>
      <c r="B1941">
        <v>163</v>
      </c>
      <c r="C1941">
        <f t="shared" si="222"/>
        <v>9163</v>
      </c>
      <c r="D1941">
        <f t="shared" si="227"/>
        <v>9163</v>
      </c>
      <c r="H1941">
        <f t="shared" si="223"/>
        <v>2</v>
      </c>
      <c r="R1941">
        <v>13</v>
      </c>
      <c r="S1941">
        <v>1</v>
      </c>
      <c r="T1941" t="str">
        <f t="shared" si="221"/>
        <v>e</v>
      </c>
      <c r="AM1941" t="str">
        <f t="shared" si="224"/>
        <v>Save</v>
      </c>
      <c r="AN1941" t="str">
        <f t="shared" si="225"/>
        <v>Save_Freeze</v>
      </c>
      <c r="AP1941" t="str">
        <f t="shared" si="226"/>
        <v>Defensive</v>
      </c>
      <c r="BB1941" s="23"/>
      <c r="BD1941" s="21"/>
      <c r="BE1941" s="21"/>
      <c r="BF1941" s="21"/>
      <c r="BG1941" s="21"/>
      <c r="BH1941" s="21"/>
      <c r="BI1941" s="21"/>
    </row>
    <row r="1942" spans="1:61" x14ac:dyDescent="0.2">
      <c r="A1942">
        <v>996</v>
      </c>
      <c r="B1942">
        <v>163</v>
      </c>
      <c r="C1942">
        <f t="shared" si="222"/>
        <v>9163</v>
      </c>
      <c r="D1942">
        <f t="shared" si="227"/>
        <v>9163</v>
      </c>
      <c r="H1942">
        <f t="shared" si="223"/>
        <v>2</v>
      </c>
      <c r="R1942">
        <v>55</v>
      </c>
      <c r="T1942" t="str">
        <f t="shared" si="221"/>
        <v>o</v>
      </c>
      <c r="AM1942" t="str">
        <f t="shared" si="224"/>
        <v>Save</v>
      </c>
      <c r="AN1942" t="str">
        <f t="shared" si="225"/>
        <v>Save_Freeze</v>
      </c>
      <c r="AP1942" t="str">
        <f t="shared" si="226"/>
        <v>Offensive</v>
      </c>
      <c r="BB1942" s="23"/>
      <c r="BD1942" s="21"/>
      <c r="BE1942" s="21"/>
      <c r="BF1942" s="21"/>
      <c r="BG1942" s="21"/>
      <c r="BH1942" s="21"/>
      <c r="BI1942" s="21"/>
    </row>
    <row r="1943" spans="1:61" x14ac:dyDescent="0.2">
      <c r="A1943">
        <v>997</v>
      </c>
      <c r="B1943">
        <v>163</v>
      </c>
      <c r="C1943">
        <f t="shared" si="222"/>
        <v>9163</v>
      </c>
      <c r="D1943">
        <f t="shared" si="227"/>
        <v>9163</v>
      </c>
      <c r="H1943">
        <f t="shared" si="223"/>
        <v>2</v>
      </c>
      <c r="I1943" s="5" t="s">
        <v>899</v>
      </c>
      <c r="J1943" s="5" t="s">
        <v>776</v>
      </c>
      <c r="Q1943" t="s">
        <v>619</v>
      </c>
      <c r="R1943">
        <v>30</v>
      </c>
      <c r="S1943">
        <v>1</v>
      </c>
      <c r="T1943" t="str">
        <f t="shared" si="221"/>
        <v>e</v>
      </c>
      <c r="U1943" t="s">
        <v>13</v>
      </c>
      <c r="V1943" t="s">
        <v>204</v>
      </c>
      <c r="W1943" t="s">
        <v>110</v>
      </c>
      <c r="AF1943" t="s">
        <v>623</v>
      </c>
      <c r="AM1943" t="str">
        <f t="shared" si="224"/>
        <v>Stoppage</v>
      </c>
      <c r="AN1943" t="str">
        <f t="shared" si="225"/>
        <v>Stoppage_Play</v>
      </c>
      <c r="AP1943" t="str">
        <f t="shared" si="226"/>
        <v/>
      </c>
      <c r="BB1943" s="23"/>
      <c r="BD1943" s="21"/>
      <c r="BE1943" s="21"/>
      <c r="BF1943" s="21"/>
      <c r="BG1943" s="21"/>
      <c r="BH1943" s="21"/>
      <c r="BI1943" s="21"/>
    </row>
    <row r="1944" spans="1:61" x14ac:dyDescent="0.2">
      <c r="A1944">
        <v>998</v>
      </c>
      <c r="B1944">
        <v>163</v>
      </c>
      <c r="C1944">
        <f t="shared" si="222"/>
        <v>9163</v>
      </c>
      <c r="D1944">
        <f t="shared" si="227"/>
        <v>9163</v>
      </c>
      <c r="H1944">
        <f t="shared" si="223"/>
        <v>2</v>
      </c>
      <c r="I1944" s="5" t="s">
        <v>899</v>
      </c>
      <c r="J1944" s="5" t="s">
        <v>776</v>
      </c>
      <c r="K1944" s="5" t="s">
        <v>899</v>
      </c>
      <c r="L1944" s="7" t="s">
        <v>768</v>
      </c>
      <c r="Q1944" t="s">
        <v>619</v>
      </c>
      <c r="R1944">
        <v>30</v>
      </c>
      <c r="S1944">
        <v>1</v>
      </c>
      <c r="T1944" t="str">
        <f t="shared" si="221"/>
        <v>e</v>
      </c>
      <c r="U1944" t="s">
        <v>262</v>
      </c>
      <c r="AF1944" t="s">
        <v>623</v>
      </c>
      <c r="AM1944" t="str">
        <f t="shared" si="224"/>
        <v>DeadIce</v>
      </c>
      <c r="AN1944" t="str">
        <f t="shared" si="225"/>
        <v/>
      </c>
      <c r="AP1944" t="str">
        <f t="shared" si="226"/>
        <v/>
      </c>
      <c r="BB1944" s="23"/>
      <c r="BD1944" s="21"/>
      <c r="BE1944" s="21"/>
      <c r="BF1944" s="21"/>
      <c r="BG1944" s="21"/>
      <c r="BH1944" s="21"/>
      <c r="BI1944" s="21"/>
    </row>
    <row r="1945" spans="1:61" x14ac:dyDescent="0.2">
      <c r="A1945">
        <v>999</v>
      </c>
      <c r="B1945" t="s">
        <v>887</v>
      </c>
      <c r="C1945" t="str">
        <f t="shared" si="222"/>
        <v/>
      </c>
      <c r="D1945" t="str">
        <f t="shared" si="227"/>
        <v/>
      </c>
      <c r="H1945">
        <f t="shared" si="223"/>
        <v>2</v>
      </c>
      <c r="I1945" s="5" t="s">
        <v>899</v>
      </c>
      <c r="J1945" s="5" t="s">
        <v>768</v>
      </c>
      <c r="Q1945" t="s">
        <v>620</v>
      </c>
      <c r="R1945">
        <v>70</v>
      </c>
      <c r="S1945">
        <v>1</v>
      </c>
      <c r="T1945" t="str">
        <f t="shared" si="221"/>
        <v>e</v>
      </c>
      <c r="U1945" t="s">
        <v>6</v>
      </c>
      <c r="V1945" t="s">
        <v>255</v>
      </c>
      <c r="AF1945" t="s">
        <v>401</v>
      </c>
      <c r="AM1945" t="str">
        <f t="shared" si="224"/>
        <v>Faceoff</v>
      </c>
      <c r="AN1945" t="str">
        <f t="shared" si="225"/>
        <v>Faceoff_AfterStoppage</v>
      </c>
      <c r="AP1945" t="str">
        <f t="shared" si="226"/>
        <v>Offensive</v>
      </c>
      <c r="BB1945" s="23"/>
      <c r="BD1945" s="21"/>
      <c r="BE1945" s="21"/>
      <c r="BF1945" s="21"/>
      <c r="BG1945" s="21"/>
      <c r="BH1945" s="21"/>
      <c r="BI1945" s="21"/>
    </row>
    <row r="1946" spans="1:61" x14ac:dyDescent="0.2">
      <c r="A1946">
        <v>999</v>
      </c>
      <c r="B1946" t="s">
        <v>887</v>
      </c>
      <c r="C1946" t="str">
        <f t="shared" si="222"/>
        <v/>
      </c>
      <c r="D1946" t="str">
        <f t="shared" si="227"/>
        <v/>
      </c>
      <c r="H1946">
        <f t="shared" si="223"/>
        <v>2</v>
      </c>
      <c r="R1946">
        <v>22</v>
      </c>
      <c r="S1946">
        <v>1</v>
      </c>
      <c r="T1946" t="str">
        <f t="shared" si="221"/>
        <v>e</v>
      </c>
      <c r="AM1946" t="str">
        <f t="shared" si="224"/>
        <v>Faceoff</v>
      </c>
      <c r="AN1946" t="str">
        <f t="shared" si="225"/>
        <v>Faceoff_AfterStoppage</v>
      </c>
      <c r="AP1946" t="str">
        <f t="shared" si="226"/>
        <v>Offensive</v>
      </c>
      <c r="BB1946" s="23"/>
      <c r="BD1946" s="21"/>
      <c r="BE1946" s="21"/>
      <c r="BF1946" s="21"/>
      <c r="BG1946" s="21"/>
      <c r="BH1946" s="21"/>
      <c r="BI1946" s="21"/>
    </row>
    <row r="1947" spans="1:61" x14ac:dyDescent="0.2">
      <c r="A1947">
        <v>999</v>
      </c>
      <c r="B1947" t="s">
        <v>887</v>
      </c>
      <c r="C1947" t="str">
        <f t="shared" si="222"/>
        <v/>
      </c>
      <c r="D1947" t="str">
        <f t="shared" si="227"/>
        <v/>
      </c>
      <c r="H1947">
        <f t="shared" si="223"/>
        <v>2</v>
      </c>
      <c r="R1947">
        <v>30</v>
      </c>
      <c r="T1947" t="str">
        <f t="shared" si="221"/>
        <v>o</v>
      </c>
      <c r="AM1947" t="str">
        <f t="shared" si="224"/>
        <v>Faceoff</v>
      </c>
      <c r="AN1947" t="str">
        <f t="shared" si="225"/>
        <v>Faceoff_AfterStoppage</v>
      </c>
      <c r="AP1947" t="str">
        <f t="shared" si="226"/>
        <v>Defensive</v>
      </c>
      <c r="BB1947" s="23"/>
      <c r="BD1947" s="21"/>
      <c r="BE1947" s="21"/>
      <c r="BF1947" s="21"/>
      <c r="BG1947" s="21"/>
      <c r="BH1947" s="21"/>
      <c r="BI1947" s="21"/>
    </row>
    <row r="1948" spans="1:61" x14ac:dyDescent="0.2">
      <c r="A1948">
        <v>1000</v>
      </c>
      <c r="B1948" t="s">
        <v>887</v>
      </c>
      <c r="C1948" t="str">
        <f t="shared" si="222"/>
        <v/>
      </c>
      <c r="D1948" t="str">
        <f t="shared" si="227"/>
        <v/>
      </c>
      <c r="H1948">
        <f t="shared" si="223"/>
        <v>2</v>
      </c>
      <c r="I1948" s="5" t="s">
        <v>899</v>
      </c>
      <c r="J1948" s="5" t="s">
        <v>733</v>
      </c>
      <c r="Q1948" t="s">
        <v>620</v>
      </c>
      <c r="R1948">
        <v>22</v>
      </c>
      <c r="S1948">
        <v>1</v>
      </c>
      <c r="T1948" t="str">
        <f t="shared" si="221"/>
        <v>e</v>
      </c>
      <c r="U1948" t="s">
        <v>247</v>
      </c>
      <c r="V1948" t="s">
        <v>421</v>
      </c>
      <c r="W1948" t="s">
        <v>466</v>
      </c>
      <c r="X1948" t="s">
        <v>706</v>
      </c>
      <c r="Y1948" t="s">
        <v>680</v>
      </c>
      <c r="AA1948" t="s">
        <v>706</v>
      </c>
      <c r="AF1948" t="s">
        <v>401</v>
      </c>
      <c r="AJ1948">
        <v>1</v>
      </c>
      <c r="AM1948" t="str">
        <f t="shared" si="224"/>
        <v>Play</v>
      </c>
      <c r="AN1948" t="str">
        <f t="shared" si="225"/>
        <v>Play_Offensive</v>
      </c>
      <c r="AP1948" t="str">
        <f t="shared" si="226"/>
        <v>Offensive</v>
      </c>
      <c r="BB1948" s="23"/>
      <c r="BD1948" s="21"/>
      <c r="BE1948" s="21"/>
      <c r="BF1948" s="21"/>
      <c r="BG1948" s="21"/>
      <c r="BH1948" s="21"/>
      <c r="BI1948" s="21"/>
    </row>
    <row r="1949" spans="1:61" x14ac:dyDescent="0.2">
      <c r="A1949">
        <v>1000</v>
      </c>
      <c r="B1949" t="s">
        <v>887</v>
      </c>
      <c r="C1949" t="str">
        <f t="shared" si="222"/>
        <v/>
      </c>
      <c r="D1949" t="str">
        <f t="shared" si="227"/>
        <v/>
      </c>
      <c r="H1949">
        <f t="shared" si="223"/>
        <v>2</v>
      </c>
      <c r="R1949">
        <v>56</v>
      </c>
      <c r="T1949" t="str">
        <f t="shared" si="221"/>
        <v>o</v>
      </c>
      <c r="AJ1949">
        <v>1</v>
      </c>
      <c r="AM1949" t="str">
        <f t="shared" si="224"/>
        <v>Play</v>
      </c>
      <c r="AN1949" t="str">
        <f t="shared" si="225"/>
        <v>Play_Offensive</v>
      </c>
      <c r="AP1949" t="str">
        <f t="shared" si="226"/>
        <v>Defensive</v>
      </c>
      <c r="BB1949" s="23"/>
      <c r="BD1949" s="21"/>
      <c r="BE1949" s="21"/>
      <c r="BF1949" s="21"/>
      <c r="BG1949" s="21"/>
      <c r="BH1949" s="21"/>
      <c r="BI1949" s="21"/>
    </row>
    <row r="1950" spans="1:61" x14ac:dyDescent="0.2">
      <c r="A1950">
        <v>1001</v>
      </c>
      <c r="B1950" t="s">
        <v>887</v>
      </c>
      <c r="C1950" t="str">
        <f t="shared" si="222"/>
        <v/>
      </c>
      <c r="D1950" t="str">
        <f t="shared" si="227"/>
        <v/>
      </c>
      <c r="H1950">
        <f t="shared" si="223"/>
        <v>2</v>
      </c>
      <c r="I1950" s="5" t="s">
        <v>898</v>
      </c>
      <c r="J1950" s="5" t="s">
        <v>622</v>
      </c>
      <c r="Q1950" t="s">
        <v>619</v>
      </c>
      <c r="R1950">
        <v>3</v>
      </c>
      <c r="S1950">
        <v>1</v>
      </c>
      <c r="T1950" t="str">
        <f t="shared" si="221"/>
        <v>e</v>
      </c>
      <c r="U1950" t="s">
        <v>15</v>
      </c>
      <c r="V1950" t="s">
        <v>697</v>
      </c>
      <c r="X1950" t="s">
        <v>705</v>
      </c>
      <c r="Y1950" t="s">
        <v>720</v>
      </c>
      <c r="AA1950" t="s">
        <v>705</v>
      </c>
      <c r="AF1950" t="s">
        <v>623</v>
      </c>
      <c r="AJ1950">
        <v>1</v>
      </c>
      <c r="AM1950" t="str">
        <f t="shared" si="224"/>
        <v>Possession</v>
      </c>
      <c r="AN1950" t="str">
        <f t="shared" si="225"/>
        <v>PuckRetrieval</v>
      </c>
      <c r="AP1950" t="str">
        <f t="shared" si="226"/>
        <v>Offensive</v>
      </c>
      <c r="BB1950" s="23"/>
      <c r="BD1950" s="21"/>
      <c r="BE1950" s="21"/>
      <c r="BF1950" s="21"/>
      <c r="BG1950" s="21"/>
      <c r="BH1950" s="21"/>
      <c r="BI1950" s="21"/>
    </row>
    <row r="1951" spans="1:61" x14ac:dyDescent="0.2">
      <c r="A1951">
        <v>1001</v>
      </c>
      <c r="B1951" t="s">
        <v>887</v>
      </c>
      <c r="C1951" t="str">
        <f t="shared" si="222"/>
        <v/>
      </c>
      <c r="D1951" t="str">
        <f t="shared" si="227"/>
        <v/>
      </c>
      <c r="H1951">
        <f t="shared" si="223"/>
        <v>2</v>
      </c>
      <c r="R1951">
        <v>25</v>
      </c>
      <c r="S1951">
        <v>1</v>
      </c>
      <c r="T1951" t="str">
        <f t="shared" si="221"/>
        <v>e</v>
      </c>
      <c r="Y1951" t="s">
        <v>720</v>
      </c>
      <c r="AA1951" t="s">
        <v>705</v>
      </c>
      <c r="AJ1951">
        <v>1</v>
      </c>
      <c r="AM1951" t="str">
        <f t="shared" si="224"/>
        <v>Possession</v>
      </c>
      <c r="AN1951" t="str">
        <f t="shared" si="225"/>
        <v>PuckRetrieval</v>
      </c>
      <c r="AP1951" t="str">
        <f t="shared" si="226"/>
        <v>Offensive</v>
      </c>
      <c r="BB1951" s="23"/>
      <c r="BD1951" s="21"/>
      <c r="BE1951" s="21"/>
      <c r="BF1951" s="21"/>
      <c r="BG1951" s="21"/>
      <c r="BH1951" s="21"/>
      <c r="BI1951" s="21"/>
    </row>
    <row r="1952" spans="1:61" x14ac:dyDescent="0.2">
      <c r="A1952">
        <v>1001</v>
      </c>
      <c r="B1952" t="s">
        <v>887</v>
      </c>
      <c r="C1952" t="str">
        <f t="shared" si="222"/>
        <v/>
      </c>
      <c r="D1952" t="str">
        <f t="shared" si="227"/>
        <v/>
      </c>
      <c r="H1952">
        <f t="shared" si="223"/>
        <v>2</v>
      </c>
      <c r="R1952">
        <v>75</v>
      </c>
      <c r="T1952" t="str">
        <f t="shared" si="221"/>
        <v>o</v>
      </c>
      <c r="Y1952" t="s">
        <v>761</v>
      </c>
      <c r="AA1952" t="s">
        <v>705</v>
      </c>
      <c r="AJ1952">
        <v>1</v>
      </c>
      <c r="AM1952" t="str">
        <f t="shared" si="224"/>
        <v>Possession</v>
      </c>
      <c r="AN1952" t="str">
        <f t="shared" si="225"/>
        <v>PuckRetrieval</v>
      </c>
      <c r="AP1952" t="str">
        <f t="shared" si="226"/>
        <v>Defensive</v>
      </c>
      <c r="BB1952" s="23"/>
      <c r="BD1952" s="21"/>
      <c r="BE1952" s="21"/>
      <c r="BF1952" s="21"/>
      <c r="BG1952" s="21"/>
      <c r="BH1952" s="21"/>
      <c r="BI1952" s="21"/>
    </row>
    <row r="1953" spans="1:61" x14ac:dyDescent="0.2">
      <c r="A1953">
        <v>1001</v>
      </c>
      <c r="B1953" t="s">
        <v>887</v>
      </c>
      <c r="C1953" t="str">
        <f t="shared" si="222"/>
        <v/>
      </c>
      <c r="D1953" t="str">
        <f t="shared" si="227"/>
        <v/>
      </c>
      <c r="H1953">
        <f t="shared" si="223"/>
        <v>2</v>
      </c>
      <c r="R1953">
        <v>24</v>
      </c>
      <c r="T1953" t="str">
        <f t="shared" si="221"/>
        <v>o</v>
      </c>
      <c r="Y1953" t="s">
        <v>761</v>
      </c>
      <c r="AA1953" t="s">
        <v>705</v>
      </c>
      <c r="AJ1953">
        <v>1</v>
      </c>
      <c r="AM1953" t="str">
        <f t="shared" si="224"/>
        <v>Possession</v>
      </c>
      <c r="AN1953" t="str">
        <f t="shared" si="225"/>
        <v>PuckRetrieval</v>
      </c>
      <c r="AP1953" t="str">
        <f t="shared" si="226"/>
        <v>Defensive</v>
      </c>
      <c r="BB1953" s="23"/>
      <c r="BD1953" s="21"/>
      <c r="BE1953" s="21"/>
      <c r="BF1953" s="21"/>
      <c r="BG1953" s="21"/>
      <c r="BH1953" s="21"/>
      <c r="BI1953" s="21"/>
    </row>
    <row r="1954" spans="1:61" x14ac:dyDescent="0.2">
      <c r="A1954">
        <v>1002</v>
      </c>
      <c r="B1954" t="s">
        <v>887</v>
      </c>
      <c r="C1954" t="str">
        <f t="shared" si="222"/>
        <v/>
      </c>
      <c r="D1954" t="str">
        <f t="shared" si="227"/>
        <v/>
      </c>
      <c r="H1954">
        <f t="shared" si="223"/>
        <v>2</v>
      </c>
      <c r="I1954" s="5" t="s">
        <v>898</v>
      </c>
      <c r="J1954" s="5" t="s">
        <v>622</v>
      </c>
      <c r="Q1954" t="s">
        <v>619</v>
      </c>
      <c r="R1954">
        <v>3</v>
      </c>
      <c r="S1954">
        <v>1</v>
      </c>
      <c r="T1954" t="str">
        <f t="shared" si="221"/>
        <v>e</v>
      </c>
      <c r="U1954" t="s">
        <v>10</v>
      </c>
      <c r="V1954" t="s">
        <v>190</v>
      </c>
      <c r="W1954" t="s">
        <v>398</v>
      </c>
      <c r="X1954" t="s">
        <v>705</v>
      </c>
      <c r="Y1954" t="s">
        <v>746</v>
      </c>
      <c r="AA1954" t="s">
        <v>705</v>
      </c>
      <c r="AF1954" t="s">
        <v>623</v>
      </c>
      <c r="AJ1954">
        <v>1</v>
      </c>
      <c r="AM1954" t="str">
        <f t="shared" si="224"/>
        <v>Turnover</v>
      </c>
      <c r="AN1954" t="str">
        <f t="shared" si="225"/>
        <v>Turnover_Giveaway</v>
      </c>
      <c r="AP1954" t="str">
        <f t="shared" si="226"/>
        <v>Offensive</v>
      </c>
      <c r="BB1954" s="23"/>
      <c r="BD1954" s="21"/>
      <c r="BE1954" s="21"/>
      <c r="BF1954" s="21"/>
      <c r="BG1954" s="21"/>
      <c r="BH1954" s="21"/>
      <c r="BI1954" s="21"/>
    </row>
    <row r="1955" spans="1:61" x14ac:dyDescent="0.2">
      <c r="A1955">
        <v>1002</v>
      </c>
      <c r="B1955" t="s">
        <v>887</v>
      </c>
      <c r="C1955" t="str">
        <f t="shared" si="222"/>
        <v/>
      </c>
      <c r="D1955" t="str">
        <f t="shared" si="227"/>
        <v/>
      </c>
      <c r="H1955">
        <f t="shared" si="223"/>
        <v>2</v>
      </c>
      <c r="R1955">
        <v>70</v>
      </c>
      <c r="T1955" t="str">
        <f t="shared" si="221"/>
        <v>o</v>
      </c>
      <c r="AJ1955">
        <v>1</v>
      </c>
      <c r="AM1955" t="str">
        <f t="shared" si="224"/>
        <v>Turnover</v>
      </c>
      <c r="AN1955" t="str">
        <f t="shared" si="225"/>
        <v>Turnover_Giveaway</v>
      </c>
      <c r="AP1955" t="str">
        <f t="shared" si="226"/>
        <v>Defensive</v>
      </c>
      <c r="BB1955" s="23"/>
      <c r="BD1955" s="21"/>
      <c r="BE1955" s="21"/>
      <c r="BF1955" s="21"/>
      <c r="BG1955" s="21"/>
      <c r="BH1955" s="21"/>
      <c r="BI1955" s="21"/>
    </row>
    <row r="1956" spans="1:61" x14ac:dyDescent="0.2">
      <c r="A1956">
        <v>1003</v>
      </c>
      <c r="B1956" t="s">
        <v>887</v>
      </c>
      <c r="C1956" t="str">
        <f t="shared" si="222"/>
        <v/>
      </c>
      <c r="D1956" t="str">
        <f t="shared" si="227"/>
        <v/>
      </c>
      <c r="H1956">
        <f t="shared" si="223"/>
        <v>2</v>
      </c>
      <c r="I1956" s="5" t="s">
        <v>898</v>
      </c>
      <c r="J1956" s="5" t="s">
        <v>638</v>
      </c>
      <c r="Q1956" t="s">
        <v>620</v>
      </c>
      <c r="R1956">
        <v>22</v>
      </c>
      <c r="S1956">
        <v>1</v>
      </c>
      <c r="T1956" t="str">
        <f t="shared" si="221"/>
        <v>e</v>
      </c>
      <c r="U1956" t="s">
        <v>257</v>
      </c>
      <c r="V1956" t="s">
        <v>210</v>
      </c>
      <c r="W1956" t="s">
        <v>93</v>
      </c>
      <c r="X1956" t="s">
        <v>706</v>
      </c>
      <c r="AF1956" t="s">
        <v>401</v>
      </c>
      <c r="AJ1956">
        <v>1</v>
      </c>
      <c r="AM1956" t="str">
        <f t="shared" si="224"/>
        <v>Zone_Entry_Exit</v>
      </c>
      <c r="AN1956" t="str">
        <f t="shared" si="225"/>
        <v>Zone_Keepin</v>
      </c>
      <c r="AP1956" t="str">
        <f t="shared" si="226"/>
        <v>Offensive</v>
      </c>
      <c r="BB1956" s="23"/>
      <c r="BD1956" s="21"/>
      <c r="BE1956" s="21"/>
      <c r="BF1956" s="21"/>
      <c r="BG1956" s="21"/>
      <c r="BH1956" s="21"/>
      <c r="BI1956" s="21"/>
    </row>
    <row r="1957" spans="1:61" x14ac:dyDescent="0.2">
      <c r="A1957">
        <v>1003</v>
      </c>
      <c r="B1957" t="s">
        <v>887</v>
      </c>
      <c r="C1957" t="str">
        <f t="shared" si="222"/>
        <v/>
      </c>
      <c r="D1957" t="str">
        <f t="shared" si="227"/>
        <v/>
      </c>
      <c r="H1957">
        <f t="shared" si="223"/>
        <v>2</v>
      </c>
      <c r="R1957">
        <v>12</v>
      </c>
      <c r="T1957" t="str">
        <f t="shared" si="221"/>
        <v>o</v>
      </c>
      <c r="AJ1957">
        <v>1</v>
      </c>
      <c r="AM1957" t="str">
        <f t="shared" si="224"/>
        <v>Zone_Entry_Exit</v>
      </c>
      <c r="AN1957" t="str">
        <f t="shared" si="225"/>
        <v>Zone_Keepin</v>
      </c>
      <c r="AP1957" t="str">
        <f t="shared" si="226"/>
        <v>Defensive</v>
      </c>
      <c r="BB1957" s="23"/>
      <c r="BD1957" s="21"/>
      <c r="BE1957" s="21"/>
      <c r="BF1957" s="21"/>
      <c r="BG1957" s="21"/>
      <c r="BH1957" s="21"/>
      <c r="BI1957" s="21"/>
    </row>
    <row r="1958" spans="1:61" x14ac:dyDescent="0.2">
      <c r="A1958">
        <v>1004</v>
      </c>
      <c r="B1958">
        <v>164</v>
      </c>
      <c r="C1958">
        <f t="shared" si="222"/>
        <v>9164</v>
      </c>
      <c r="D1958">
        <f t="shared" si="227"/>
        <v>9164</v>
      </c>
      <c r="H1958">
        <f t="shared" si="223"/>
        <v>2</v>
      </c>
      <c r="I1958" s="5" t="s">
        <v>898</v>
      </c>
      <c r="J1958" s="5" t="s">
        <v>762</v>
      </c>
      <c r="Q1958" t="s">
        <v>619</v>
      </c>
      <c r="R1958">
        <v>3</v>
      </c>
      <c r="S1958">
        <v>1</v>
      </c>
      <c r="T1958" t="str">
        <f t="shared" si="221"/>
        <v>e</v>
      </c>
      <c r="U1958" t="s">
        <v>13</v>
      </c>
      <c r="V1958" t="s">
        <v>204</v>
      </c>
      <c r="W1958" t="s">
        <v>108</v>
      </c>
      <c r="AF1958" t="s">
        <v>623</v>
      </c>
      <c r="AM1958" t="str">
        <f t="shared" si="224"/>
        <v>Stoppage</v>
      </c>
      <c r="AN1958" t="str">
        <f t="shared" si="225"/>
        <v>Stoppage_Play</v>
      </c>
      <c r="AP1958" t="str">
        <f t="shared" si="226"/>
        <v/>
      </c>
      <c r="BB1958" s="23"/>
      <c r="BD1958" s="21"/>
      <c r="BE1958" s="21"/>
      <c r="BF1958" s="21"/>
      <c r="BG1958" s="21"/>
      <c r="BH1958" s="21"/>
      <c r="BI1958" s="21"/>
    </row>
    <row r="1959" spans="1:61" x14ac:dyDescent="0.2">
      <c r="A1959">
        <v>1005</v>
      </c>
      <c r="B1959">
        <v>164</v>
      </c>
      <c r="C1959">
        <f t="shared" si="222"/>
        <v>9164</v>
      </c>
      <c r="D1959">
        <f t="shared" si="227"/>
        <v>9164</v>
      </c>
      <c r="H1959">
        <f t="shared" si="223"/>
        <v>2</v>
      </c>
      <c r="I1959" s="5" t="s">
        <v>898</v>
      </c>
      <c r="J1959" s="5" t="s">
        <v>762</v>
      </c>
      <c r="K1959" s="5" t="s">
        <v>898</v>
      </c>
      <c r="L1959" s="7" t="s">
        <v>791</v>
      </c>
      <c r="Q1959" t="s">
        <v>619</v>
      </c>
      <c r="R1959">
        <v>3</v>
      </c>
      <c r="S1959">
        <v>1</v>
      </c>
      <c r="T1959" t="str">
        <f t="shared" si="221"/>
        <v>e</v>
      </c>
      <c r="U1959" t="s">
        <v>262</v>
      </c>
      <c r="AF1959" t="s">
        <v>623</v>
      </c>
      <c r="AM1959" t="str">
        <f t="shared" si="224"/>
        <v>DeadIce</v>
      </c>
      <c r="AN1959" t="str">
        <f t="shared" si="225"/>
        <v/>
      </c>
      <c r="AP1959" t="str">
        <f t="shared" si="226"/>
        <v/>
      </c>
      <c r="BB1959" s="23"/>
      <c r="BD1959" s="21"/>
      <c r="BE1959" s="21"/>
      <c r="BF1959" s="21"/>
      <c r="BG1959" s="21"/>
      <c r="BH1959" s="21"/>
      <c r="BI1959" s="21"/>
    </row>
    <row r="1960" spans="1:61" x14ac:dyDescent="0.2">
      <c r="A1960">
        <v>1006</v>
      </c>
      <c r="B1960" t="s">
        <v>887</v>
      </c>
      <c r="C1960" t="str">
        <f t="shared" si="222"/>
        <v/>
      </c>
      <c r="D1960" t="str">
        <f t="shared" si="227"/>
        <v/>
      </c>
      <c r="H1960">
        <f t="shared" si="223"/>
        <v>2</v>
      </c>
      <c r="I1960" s="5" t="s">
        <v>898</v>
      </c>
      <c r="J1960" s="5" t="s">
        <v>791</v>
      </c>
      <c r="Q1960" t="s">
        <v>619</v>
      </c>
      <c r="R1960">
        <v>3</v>
      </c>
      <c r="S1960">
        <v>1</v>
      </c>
      <c r="T1960" t="str">
        <f t="shared" si="221"/>
        <v>e</v>
      </c>
      <c r="U1960" t="s">
        <v>6</v>
      </c>
      <c r="V1960" t="s">
        <v>255</v>
      </c>
      <c r="AF1960" t="s">
        <v>623</v>
      </c>
      <c r="AM1960" t="str">
        <f t="shared" si="224"/>
        <v>Faceoff</v>
      </c>
      <c r="AN1960" t="str">
        <f t="shared" si="225"/>
        <v>Faceoff_AfterStoppage</v>
      </c>
      <c r="AP1960" t="str">
        <f t="shared" si="226"/>
        <v>Offensive</v>
      </c>
      <c r="BB1960" s="23"/>
      <c r="BD1960" s="21"/>
      <c r="BE1960" s="21"/>
      <c r="BF1960" s="21"/>
      <c r="BG1960" s="21"/>
      <c r="BH1960" s="21"/>
      <c r="BI1960" s="21"/>
    </row>
    <row r="1961" spans="1:61" x14ac:dyDescent="0.2">
      <c r="A1961">
        <v>1006</v>
      </c>
      <c r="B1961" t="s">
        <v>887</v>
      </c>
      <c r="C1961" t="str">
        <f t="shared" si="222"/>
        <v/>
      </c>
      <c r="D1961" t="str">
        <f t="shared" si="227"/>
        <v/>
      </c>
      <c r="H1961">
        <f t="shared" si="223"/>
        <v>2</v>
      </c>
      <c r="R1961">
        <v>4</v>
      </c>
      <c r="S1961">
        <v>1</v>
      </c>
      <c r="T1961" t="str">
        <f t="shared" si="221"/>
        <v>e</v>
      </c>
      <c r="AM1961" t="str">
        <f t="shared" si="224"/>
        <v>Faceoff</v>
      </c>
      <c r="AN1961" t="str">
        <f t="shared" si="225"/>
        <v>Faceoff_AfterStoppage</v>
      </c>
      <c r="AP1961" t="str">
        <f t="shared" si="226"/>
        <v>Offensive</v>
      </c>
      <c r="BB1961" s="23"/>
      <c r="BD1961" s="21"/>
      <c r="BE1961" s="21"/>
      <c r="BF1961" s="21"/>
      <c r="BG1961" s="21"/>
      <c r="BH1961" s="21"/>
      <c r="BI1961" s="21"/>
    </row>
    <row r="1962" spans="1:61" x14ac:dyDescent="0.2">
      <c r="A1962">
        <v>1006</v>
      </c>
      <c r="B1962" t="s">
        <v>887</v>
      </c>
      <c r="C1962" t="str">
        <f t="shared" si="222"/>
        <v/>
      </c>
      <c r="D1962" t="str">
        <f t="shared" si="227"/>
        <v/>
      </c>
      <c r="H1962">
        <f t="shared" si="223"/>
        <v>2</v>
      </c>
      <c r="R1962">
        <v>70</v>
      </c>
      <c r="T1962" t="str">
        <f t="shared" si="221"/>
        <v>o</v>
      </c>
      <c r="AM1962" t="str">
        <f t="shared" si="224"/>
        <v>Faceoff</v>
      </c>
      <c r="AN1962" t="str">
        <f t="shared" si="225"/>
        <v>Faceoff_AfterStoppage</v>
      </c>
      <c r="AP1962" t="str">
        <f t="shared" si="226"/>
        <v>Defensive</v>
      </c>
      <c r="BB1962" s="23"/>
      <c r="BD1962" s="21"/>
      <c r="BE1962" s="21"/>
      <c r="BF1962" s="21"/>
      <c r="BG1962" s="21"/>
      <c r="BH1962" s="21"/>
      <c r="BI1962" s="21"/>
    </row>
    <row r="1963" spans="1:61" x14ac:dyDescent="0.2">
      <c r="A1963">
        <v>1007</v>
      </c>
      <c r="B1963" t="s">
        <v>887</v>
      </c>
      <c r="C1963" t="str">
        <f t="shared" si="222"/>
        <v/>
      </c>
      <c r="D1963" t="str">
        <f t="shared" si="227"/>
        <v/>
      </c>
      <c r="H1963">
        <f t="shared" si="223"/>
        <v>2</v>
      </c>
      <c r="I1963" s="5" t="s">
        <v>898</v>
      </c>
      <c r="J1963" s="5" t="s">
        <v>721</v>
      </c>
      <c r="K1963" s="5" t="s">
        <v>898</v>
      </c>
      <c r="L1963" s="7" t="s">
        <v>812</v>
      </c>
      <c r="Q1963" t="s">
        <v>619</v>
      </c>
      <c r="R1963">
        <v>4</v>
      </c>
      <c r="S1963">
        <v>1</v>
      </c>
      <c r="T1963" t="str">
        <f t="shared" si="221"/>
        <v>e</v>
      </c>
      <c r="U1963" t="s">
        <v>15</v>
      </c>
      <c r="AF1963" t="s">
        <v>623</v>
      </c>
      <c r="AM1963" t="str">
        <f t="shared" si="224"/>
        <v>Possession</v>
      </c>
      <c r="AN1963" t="str">
        <f t="shared" si="225"/>
        <v/>
      </c>
      <c r="AP1963" t="str">
        <f t="shared" si="226"/>
        <v>Offensive</v>
      </c>
      <c r="BB1963" s="23"/>
      <c r="BD1963" s="21"/>
      <c r="BE1963" s="21"/>
      <c r="BF1963" s="21"/>
      <c r="BG1963" s="21"/>
      <c r="BH1963" s="21"/>
      <c r="BI1963" s="21"/>
    </row>
    <row r="1964" spans="1:61" x14ac:dyDescent="0.2">
      <c r="A1964">
        <v>1008</v>
      </c>
      <c r="B1964">
        <v>165</v>
      </c>
      <c r="C1964">
        <f t="shared" si="222"/>
        <v>9165</v>
      </c>
      <c r="D1964">
        <f t="shared" si="227"/>
        <v>9165</v>
      </c>
      <c r="H1964">
        <f t="shared" si="223"/>
        <v>2</v>
      </c>
      <c r="I1964" s="5" t="s">
        <v>898</v>
      </c>
      <c r="J1964" s="5" t="s">
        <v>812</v>
      </c>
      <c r="Q1964" t="s">
        <v>619</v>
      </c>
      <c r="R1964">
        <v>4</v>
      </c>
      <c r="S1964">
        <v>1</v>
      </c>
      <c r="T1964" t="str">
        <f t="shared" si="221"/>
        <v>e</v>
      </c>
      <c r="U1964" t="s">
        <v>8</v>
      </c>
      <c r="V1964" t="s">
        <v>189</v>
      </c>
      <c r="W1964" t="s">
        <v>67</v>
      </c>
      <c r="X1964" t="s">
        <v>706</v>
      </c>
      <c r="Y1964" t="s">
        <v>678</v>
      </c>
      <c r="AA1964" t="s">
        <v>706</v>
      </c>
      <c r="AF1964" t="s">
        <v>623</v>
      </c>
      <c r="AJ1964">
        <v>1</v>
      </c>
      <c r="AM1964" t="str">
        <f t="shared" si="224"/>
        <v>Pass</v>
      </c>
      <c r="AN1964" t="str">
        <f t="shared" si="225"/>
        <v>Pass_Completed</v>
      </c>
      <c r="AP1964" t="str">
        <f t="shared" si="226"/>
        <v>Offensive</v>
      </c>
      <c r="BB1964" s="23"/>
      <c r="BD1964" s="21"/>
      <c r="BE1964" s="21"/>
      <c r="BF1964" s="21"/>
      <c r="BG1964" s="21"/>
      <c r="BH1964" s="21"/>
      <c r="BI1964" s="21"/>
    </row>
    <row r="1965" spans="1:61" x14ac:dyDescent="0.2">
      <c r="A1965">
        <v>1008</v>
      </c>
      <c r="B1965">
        <v>165</v>
      </c>
      <c r="C1965">
        <f t="shared" si="222"/>
        <v>9165</v>
      </c>
      <c r="D1965">
        <f t="shared" si="227"/>
        <v>9165</v>
      </c>
      <c r="H1965">
        <f t="shared" si="223"/>
        <v>2</v>
      </c>
      <c r="R1965">
        <v>56</v>
      </c>
      <c r="S1965">
        <v>1</v>
      </c>
      <c r="T1965" t="str">
        <f t="shared" si="221"/>
        <v>e</v>
      </c>
      <c r="AM1965" t="str">
        <f t="shared" si="224"/>
        <v>Pass</v>
      </c>
      <c r="AN1965" t="str">
        <f t="shared" si="225"/>
        <v>Pass_Completed</v>
      </c>
      <c r="AP1965" t="str">
        <f t="shared" si="226"/>
        <v>Offensive</v>
      </c>
      <c r="BB1965" s="23"/>
      <c r="BD1965" s="21"/>
      <c r="BE1965" s="21"/>
      <c r="BF1965" s="21"/>
      <c r="BG1965" s="21"/>
      <c r="BH1965" s="21"/>
      <c r="BI1965" s="21"/>
    </row>
    <row r="1966" spans="1:61" x14ac:dyDescent="0.2">
      <c r="A1966">
        <v>1008</v>
      </c>
      <c r="B1966">
        <v>165</v>
      </c>
      <c r="C1966">
        <f t="shared" si="222"/>
        <v>9165</v>
      </c>
      <c r="D1966">
        <f t="shared" si="227"/>
        <v>9165</v>
      </c>
      <c r="H1966">
        <f t="shared" si="223"/>
        <v>2</v>
      </c>
      <c r="R1966">
        <v>24</v>
      </c>
      <c r="T1966" t="str">
        <f t="shared" si="221"/>
        <v>o</v>
      </c>
      <c r="AJ1966">
        <v>1</v>
      </c>
      <c r="AM1966" t="str">
        <f t="shared" si="224"/>
        <v>Pass</v>
      </c>
      <c r="AN1966" t="str">
        <f t="shared" si="225"/>
        <v>Pass_Completed</v>
      </c>
      <c r="AP1966" t="str">
        <f t="shared" si="226"/>
        <v>Defensive</v>
      </c>
      <c r="BB1966" s="23"/>
      <c r="BD1966" s="21"/>
      <c r="BE1966" s="21"/>
      <c r="BF1966" s="21"/>
      <c r="BG1966" s="21"/>
      <c r="BH1966" s="21"/>
      <c r="BI1966" s="21"/>
    </row>
    <row r="1967" spans="1:61" x14ac:dyDescent="0.2">
      <c r="A1967">
        <v>1009</v>
      </c>
      <c r="B1967">
        <v>165</v>
      </c>
      <c r="C1967">
        <f t="shared" si="222"/>
        <v>9165</v>
      </c>
      <c r="D1967">
        <f t="shared" si="227"/>
        <v>9165</v>
      </c>
      <c r="H1967">
        <f t="shared" si="223"/>
        <v>2</v>
      </c>
      <c r="I1967" s="5" t="s">
        <v>898</v>
      </c>
      <c r="J1967" s="5" t="s">
        <v>812</v>
      </c>
      <c r="Q1967" t="s">
        <v>619</v>
      </c>
      <c r="R1967">
        <v>4</v>
      </c>
      <c r="S1967">
        <v>1</v>
      </c>
      <c r="T1967" t="str">
        <f t="shared" si="221"/>
        <v>e</v>
      </c>
      <c r="U1967" t="s">
        <v>257</v>
      </c>
      <c r="V1967" t="s">
        <v>201</v>
      </c>
      <c r="W1967" t="s">
        <v>91</v>
      </c>
      <c r="X1967" t="s">
        <v>706</v>
      </c>
      <c r="AF1967" t="s">
        <v>623</v>
      </c>
      <c r="AJ1967">
        <v>1</v>
      </c>
      <c r="AM1967" t="str">
        <f t="shared" si="224"/>
        <v>Zone_Entry_Exit</v>
      </c>
      <c r="AN1967" t="str">
        <f t="shared" si="225"/>
        <v>Zone_Exit</v>
      </c>
      <c r="AP1967" t="str">
        <f t="shared" si="226"/>
        <v>Offensive</v>
      </c>
      <c r="BB1967" s="23"/>
      <c r="BD1967" s="21"/>
      <c r="BE1967" s="21"/>
      <c r="BF1967" s="21"/>
      <c r="BG1967" s="21"/>
      <c r="BH1967" s="21"/>
      <c r="BI1967" s="21"/>
    </row>
    <row r="1968" spans="1:61" x14ac:dyDescent="0.2">
      <c r="A1968">
        <v>1009</v>
      </c>
      <c r="B1968">
        <v>165</v>
      </c>
      <c r="C1968">
        <f t="shared" si="222"/>
        <v>9165</v>
      </c>
      <c r="D1968">
        <f t="shared" si="227"/>
        <v>9165</v>
      </c>
      <c r="H1968">
        <f t="shared" si="223"/>
        <v>2</v>
      </c>
      <c r="R1968">
        <v>56</v>
      </c>
      <c r="S1968">
        <v>1</v>
      </c>
      <c r="T1968" t="str">
        <f t="shared" si="221"/>
        <v>e</v>
      </c>
      <c r="AM1968" t="str">
        <f t="shared" si="224"/>
        <v>Zone_Entry_Exit</v>
      </c>
      <c r="AN1968" t="str">
        <f t="shared" si="225"/>
        <v>Zone_Exit</v>
      </c>
      <c r="AP1968" t="str">
        <f t="shared" si="226"/>
        <v>Offensive</v>
      </c>
      <c r="BB1968" s="23"/>
      <c r="BD1968" s="21"/>
      <c r="BE1968" s="21"/>
      <c r="BF1968" s="21"/>
      <c r="BG1968" s="21"/>
      <c r="BH1968" s="21"/>
      <c r="BI1968" s="21"/>
    </row>
    <row r="1969" spans="1:61" x14ac:dyDescent="0.2">
      <c r="A1969">
        <v>1009</v>
      </c>
      <c r="B1969">
        <v>165</v>
      </c>
      <c r="C1969">
        <f t="shared" si="222"/>
        <v>9165</v>
      </c>
      <c r="D1969">
        <f t="shared" si="227"/>
        <v>9165</v>
      </c>
      <c r="H1969">
        <f t="shared" si="223"/>
        <v>2</v>
      </c>
      <c r="R1969">
        <v>24</v>
      </c>
      <c r="T1969" t="str">
        <f t="shared" si="221"/>
        <v>o</v>
      </c>
      <c r="AJ1969">
        <v>1</v>
      </c>
      <c r="AM1969" t="str">
        <f t="shared" si="224"/>
        <v>Zone_Entry_Exit</v>
      </c>
      <c r="AN1969" t="str">
        <f t="shared" si="225"/>
        <v>Zone_Exit</v>
      </c>
      <c r="AP1969" t="str">
        <f t="shared" si="226"/>
        <v>Defensive</v>
      </c>
      <c r="BB1969" s="23"/>
      <c r="BD1969" s="21"/>
      <c r="BE1969" s="21"/>
      <c r="BF1969" s="21"/>
      <c r="BG1969" s="21"/>
      <c r="BH1969" s="21"/>
      <c r="BI1969" s="21"/>
    </row>
    <row r="1970" spans="1:61" x14ac:dyDescent="0.2">
      <c r="A1970">
        <v>1010</v>
      </c>
      <c r="B1970">
        <v>166</v>
      </c>
      <c r="C1970">
        <f t="shared" si="222"/>
        <v>9166</v>
      </c>
      <c r="D1970">
        <f t="shared" si="227"/>
        <v>9166</v>
      </c>
      <c r="H1970">
        <f t="shared" si="223"/>
        <v>2</v>
      </c>
      <c r="I1970" s="5" t="s">
        <v>898</v>
      </c>
      <c r="J1970" s="5" t="s">
        <v>766</v>
      </c>
      <c r="Q1970" t="s">
        <v>619</v>
      </c>
      <c r="R1970">
        <v>56</v>
      </c>
      <c r="S1970">
        <v>1</v>
      </c>
      <c r="T1970" t="str">
        <f t="shared" si="221"/>
        <v>e</v>
      </c>
      <c r="U1970" t="s">
        <v>257</v>
      </c>
      <c r="V1970" t="s">
        <v>818</v>
      </c>
      <c r="W1970" t="s">
        <v>87</v>
      </c>
      <c r="X1970" t="s">
        <v>705</v>
      </c>
      <c r="Y1970" t="s">
        <v>749</v>
      </c>
      <c r="AA1970" t="s">
        <v>705</v>
      </c>
      <c r="AF1970" t="s">
        <v>635</v>
      </c>
      <c r="AJ1970">
        <v>1</v>
      </c>
      <c r="AM1970" t="str">
        <f t="shared" si="224"/>
        <v>Zone_Entry_Exit</v>
      </c>
      <c r="AN1970" t="str">
        <f t="shared" si="225"/>
        <v>Zone_Entryfailed</v>
      </c>
      <c r="AP1970" t="str">
        <f t="shared" si="226"/>
        <v>Offensive</v>
      </c>
      <c r="BB1970" s="23"/>
      <c r="BD1970" s="21"/>
      <c r="BE1970" s="21"/>
      <c r="BF1970" s="21"/>
      <c r="BG1970" s="21"/>
      <c r="BH1970" s="21"/>
      <c r="BI1970" s="21"/>
    </row>
    <row r="1971" spans="1:61" x14ac:dyDescent="0.2">
      <c r="A1971">
        <v>1010</v>
      </c>
      <c r="B1971">
        <v>166</v>
      </c>
      <c r="C1971">
        <f t="shared" si="222"/>
        <v>9166</v>
      </c>
      <c r="D1971">
        <f t="shared" si="227"/>
        <v>9166</v>
      </c>
      <c r="H1971">
        <f t="shared" si="223"/>
        <v>2</v>
      </c>
      <c r="R1971">
        <v>9</v>
      </c>
      <c r="T1971" t="str">
        <f t="shared" si="221"/>
        <v>o</v>
      </c>
      <c r="Y1971" t="s">
        <v>842</v>
      </c>
      <c r="AA1971" t="s">
        <v>706</v>
      </c>
      <c r="AJ1971">
        <v>1</v>
      </c>
      <c r="AM1971" t="str">
        <f t="shared" si="224"/>
        <v>Zone_Entry_Exit</v>
      </c>
      <c r="AN1971" t="str">
        <f t="shared" si="225"/>
        <v>Zone_Entryfailed</v>
      </c>
      <c r="AP1971" t="str">
        <f t="shared" si="226"/>
        <v>Defensive</v>
      </c>
      <c r="BB1971" s="23"/>
      <c r="BD1971" s="21"/>
      <c r="BE1971" s="21"/>
      <c r="BF1971" s="21"/>
      <c r="BG1971" s="21"/>
      <c r="BH1971" s="21"/>
      <c r="BI1971" s="21"/>
    </row>
    <row r="1972" spans="1:61" x14ac:dyDescent="0.2">
      <c r="A1972">
        <v>1011</v>
      </c>
      <c r="B1972">
        <v>166</v>
      </c>
      <c r="C1972">
        <f t="shared" si="222"/>
        <v>9166</v>
      </c>
      <c r="D1972">
        <f t="shared" si="227"/>
        <v>9166</v>
      </c>
      <c r="H1972">
        <f t="shared" si="223"/>
        <v>2</v>
      </c>
      <c r="I1972" s="5" t="s">
        <v>898</v>
      </c>
      <c r="J1972" s="5" t="s">
        <v>766</v>
      </c>
      <c r="Q1972" t="s">
        <v>620</v>
      </c>
      <c r="R1972">
        <v>9</v>
      </c>
      <c r="S1972">
        <v>1</v>
      </c>
      <c r="T1972" t="str">
        <f t="shared" si="221"/>
        <v>e</v>
      </c>
      <c r="U1972" t="s">
        <v>10</v>
      </c>
      <c r="V1972" t="s">
        <v>200</v>
      </c>
      <c r="W1972" t="s">
        <v>82</v>
      </c>
      <c r="X1972" t="s">
        <v>706</v>
      </c>
      <c r="Y1972" t="s">
        <v>842</v>
      </c>
      <c r="Z1972" t="s">
        <v>715</v>
      </c>
      <c r="AA1972" t="s">
        <v>706</v>
      </c>
      <c r="AF1972" t="s">
        <v>623</v>
      </c>
      <c r="AJ1972">
        <v>1</v>
      </c>
      <c r="AM1972" t="str">
        <f t="shared" si="224"/>
        <v>Turnover</v>
      </c>
      <c r="AN1972" t="str">
        <f t="shared" si="225"/>
        <v>Turnover_Takeaway</v>
      </c>
      <c r="AP1972" t="str">
        <f t="shared" si="226"/>
        <v>Defensive</v>
      </c>
      <c r="BB1972" s="23"/>
      <c r="BD1972" s="21"/>
      <c r="BE1972" s="21"/>
      <c r="BF1972" s="21"/>
      <c r="BG1972" s="21"/>
      <c r="BH1972" s="21"/>
      <c r="BI1972" s="21"/>
    </row>
    <row r="1973" spans="1:61" x14ac:dyDescent="0.2">
      <c r="A1973">
        <v>1011</v>
      </c>
      <c r="B1973">
        <v>166</v>
      </c>
      <c r="C1973">
        <f t="shared" si="222"/>
        <v>9166</v>
      </c>
      <c r="D1973">
        <f t="shared" si="227"/>
        <v>9166</v>
      </c>
      <c r="H1973">
        <f t="shared" si="223"/>
        <v>2</v>
      </c>
      <c r="R1973">
        <v>56</v>
      </c>
      <c r="T1973" t="str">
        <f t="shared" si="221"/>
        <v>o</v>
      </c>
      <c r="Y1973" t="s">
        <v>749</v>
      </c>
      <c r="AA1973" t="s">
        <v>705</v>
      </c>
      <c r="AJ1973">
        <v>1</v>
      </c>
      <c r="AM1973" t="str">
        <f t="shared" si="224"/>
        <v>Turnover</v>
      </c>
      <c r="AN1973" t="str">
        <f t="shared" si="225"/>
        <v>Turnover_Takeaway</v>
      </c>
      <c r="AP1973" t="str">
        <f t="shared" si="226"/>
        <v>Offensive</v>
      </c>
      <c r="BB1973" s="23"/>
      <c r="BD1973" s="21"/>
      <c r="BE1973" s="21"/>
      <c r="BF1973" s="21"/>
      <c r="BG1973" s="21"/>
      <c r="BH1973" s="21"/>
      <c r="BI1973" s="21"/>
    </row>
    <row r="1974" spans="1:61" x14ac:dyDescent="0.2">
      <c r="A1974">
        <v>1012</v>
      </c>
      <c r="B1974" t="s">
        <v>887</v>
      </c>
      <c r="C1974" t="str">
        <f t="shared" si="222"/>
        <v/>
      </c>
      <c r="D1974" t="str">
        <f t="shared" si="227"/>
        <v/>
      </c>
      <c r="H1974">
        <f t="shared" si="223"/>
        <v>2</v>
      </c>
      <c r="I1974" s="5" t="s">
        <v>898</v>
      </c>
      <c r="J1974" s="5" t="s">
        <v>730</v>
      </c>
      <c r="Q1974" t="s">
        <v>620</v>
      </c>
      <c r="R1974">
        <v>9</v>
      </c>
      <c r="S1974">
        <v>1</v>
      </c>
      <c r="T1974" t="str">
        <f t="shared" si="221"/>
        <v>e</v>
      </c>
      <c r="U1974" t="s">
        <v>8</v>
      </c>
      <c r="V1974" t="s">
        <v>189</v>
      </c>
      <c r="W1974" t="s">
        <v>68</v>
      </c>
      <c r="X1974" t="s">
        <v>706</v>
      </c>
      <c r="Y1974" t="s">
        <v>814</v>
      </c>
      <c r="AA1974" t="s">
        <v>706</v>
      </c>
      <c r="AF1974" t="s">
        <v>623</v>
      </c>
      <c r="AM1974" t="str">
        <f t="shared" si="224"/>
        <v>Pass</v>
      </c>
      <c r="AN1974" t="str">
        <f t="shared" si="225"/>
        <v>Pass_Completed</v>
      </c>
      <c r="AP1974" t="str">
        <f t="shared" si="226"/>
        <v>Offensive</v>
      </c>
      <c r="BB1974" s="23"/>
      <c r="BD1974" s="21"/>
      <c r="BE1974" s="21"/>
      <c r="BF1974" s="21"/>
      <c r="BG1974" s="21"/>
      <c r="BH1974" s="21"/>
      <c r="BI1974" s="21"/>
    </row>
    <row r="1975" spans="1:61" x14ac:dyDescent="0.2">
      <c r="A1975">
        <v>1012</v>
      </c>
      <c r="B1975" t="s">
        <v>887</v>
      </c>
      <c r="C1975" t="str">
        <f t="shared" si="222"/>
        <v/>
      </c>
      <c r="D1975" t="str">
        <f t="shared" si="227"/>
        <v/>
      </c>
      <c r="H1975">
        <f t="shared" si="223"/>
        <v>2</v>
      </c>
      <c r="R1975">
        <v>14</v>
      </c>
      <c r="S1975">
        <v>1</v>
      </c>
      <c r="T1975" t="str">
        <f t="shared" si="221"/>
        <v>e</v>
      </c>
      <c r="AM1975" t="str">
        <f t="shared" si="224"/>
        <v>Pass</v>
      </c>
      <c r="AN1975" t="str">
        <f t="shared" si="225"/>
        <v>Pass_Completed</v>
      </c>
      <c r="AP1975" t="str">
        <f t="shared" si="226"/>
        <v>Offensive</v>
      </c>
      <c r="BB1975" s="23"/>
      <c r="BD1975" s="21"/>
      <c r="BE1975" s="21"/>
      <c r="BF1975" s="21"/>
      <c r="BG1975" s="21"/>
      <c r="BH1975" s="21"/>
      <c r="BI1975" s="21"/>
    </row>
    <row r="1976" spans="1:61" x14ac:dyDescent="0.2">
      <c r="A1976">
        <v>1013</v>
      </c>
      <c r="B1976" t="s">
        <v>887</v>
      </c>
      <c r="C1976" t="str">
        <f t="shared" si="222"/>
        <v/>
      </c>
      <c r="D1976" t="str">
        <f t="shared" si="227"/>
        <v/>
      </c>
      <c r="H1976">
        <f t="shared" si="223"/>
        <v>2</v>
      </c>
      <c r="I1976" s="5" t="s">
        <v>898</v>
      </c>
      <c r="J1976" s="5" t="s">
        <v>813</v>
      </c>
      <c r="K1976" s="5" t="s">
        <v>898</v>
      </c>
      <c r="L1976" s="7" t="s">
        <v>731</v>
      </c>
      <c r="Q1976" t="s">
        <v>620</v>
      </c>
      <c r="R1976">
        <v>14</v>
      </c>
      <c r="S1976">
        <v>1</v>
      </c>
      <c r="T1976" t="str">
        <f t="shared" si="221"/>
        <v>e</v>
      </c>
      <c r="U1976" t="s">
        <v>15</v>
      </c>
      <c r="Y1976" t="s">
        <v>777</v>
      </c>
      <c r="AA1976" t="s">
        <v>706</v>
      </c>
      <c r="AF1976" t="s">
        <v>635</v>
      </c>
      <c r="AM1976" t="str">
        <f t="shared" si="224"/>
        <v>Possession</v>
      </c>
      <c r="AN1976" t="str">
        <f t="shared" si="225"/>
        <v/>
      </c>
      <c r="AP1976" t="str">
        <f t="shared" si="226"/>
        <v>Offensive</v>
      </c>
      <c r="BB1976" s="23"/>
      <c r="BD1976" s="21"/>
      <c r="BE1976" s="21"/>
      <c r="BF1976" s="21"/>
      <c r="BG1976" s="21"/>
      <c r="BH1976" s="21"/>
      <c r="BI1976" s="21"/>
    </row>
    <row r="1977" spans="1:61" x14ac:dyDescent="0.2">
      <c r="A1977">
        <v>1014</v>
      </c>
      <c r="B1977" t="s">
        <v>887</v>
      </c>
      <c r="C1977" t="str">
        <f t="shared" si="222"/>
        <v/>
      </c>
      <c r="D1977" t="str">
        <f t="shared" si="227"/>
        <v/>
      </c>
      <c r="H1977">
        <f t="shared" si="223"/>
        <v>2</v>
      </c>
      <c r="I1977" s="5" t="s">
        <v>898</v>
      </c>
      <c r="J1977" s="5" t="s">
        <v>782</v>
      </c>
      <c r="Q1977" t="s">
        <v>620</v>
      </c>
      <c r="R1977">
        <v>14</v>
      </c>
      <c r="S1977">
        <v>1</v>
      </c>
      <c r="T1977" t="str">
        <f t="shared" si="221"/>
        <v>e</v>
      </c>
      <c r="U1977" t="s">
        <v>8</v>
      </c>
      <c r="V1977" t="s">
        <v>199</v>
      </c>
      <c r="W1977" t="s">
        <v>480</v>
      </c>
      <c r="X1977" t="s">
        <v>705</v>
      </c>
      <c r="AF1977" t="s">
        <v>635</v>
      </c>
      <c r="AM1977" t="str">
        <f t="shared" si="224"/>
        <v>Pass</v>
      </c>
      <c r="AN1977" t="str">
        <f t="shared" si="225"/>
        <v>Pass_Missed</v>
      </c>
      <c r="AP1977" t="str">
        <f t="shared" si="226"/>
        <v>Offensive</v>
      </c>
      <c r="BB1977" s="23"/>
      <c r="BD1977" s="21"/>
      <c r="BE1977" s="21"/>
      <c r="BF1977" s="21"/>
      <c r="BG1977" s="21"/>
      <c r="BH1977" s="21"/>
      <c r="BI1977" s="21"/>
    </row>
    <row r="1978" spans="1:61" x14ac:dyDescent="0.2">
      <c r="A1978">
        <v>1014</v>
      </c>
      <c r="B1978" t="s">
        <v>887</v>
      </c>
      <c r="C1978" t="str">
        <f t="shared" si="222"/>
        <v/>
      </c>
      <c r="D1978" t="str">
        <f t="shared" si="227"/>
        <v/>
      </c>
      <c r="H1978">
        <f t="shared" si="223"/>
        <v>2</v>
      </c>
      <c r="R1978">
        <v>24</v>
      </c>
      <c r="S1978">
        <v>1</v>
      </c>
      <c r="T1978" t="str">
        <f t="shared" si="221"/>
        <v>e</v>
      </c>
      <c r="Y1978" t="s">
        <v>754</v>
      </c>
      <c r="AA1978" t="s">
        <v>705</v>
      </c>
      <c r="AM1978" t="str">
        <f t="shared" si="224"/>
        <v>Pass</v>
      </c>
      <c r="AN1978" t="str">
        <f t="shared" si="225"/>
        <v>Pass_Missed</v>
      </c>
      <c r="AP1978" t="str">
        <f t="shared" si="226"/>
        <v>Offensive</v>
      </c>
      <c r="BB1978" s="23"/>
      <c r="BD1978" s="21"/>
      <c r="BE1978" s="21"/>
      <c r="BF1978" s="21"/>
      <c r="BG1978" s="21"/>
      <c r="BH1978" s="21"/>
      <c r="BI1978" s="21"/>
    </row>
    <row r="1979" spans="1:61" x14ac:dyDescent="0.2">
      <c r="A1979">
        <v>1015</v>
      </c>
      <c r="B1979" t="s">
        <v>887</v>
      </c>
      <c r="C1979" t="str">
        <f t="shared" si="222"/>
        <v/>
      </c>
      <c r="D1979" t="str">
        <f t="shared" si="227"/>
        <v/>
      </c>
      <c r="H1979">
        <f t="shared" si="223"/>
        <v>2</v>
      </c>
      <c r="I1979" s="5" t="s">
        <v>898</v>
      </c>
      <c r="J1979" s="5" t="s">
        <v>732</v>
      </c>
      <c r="Q1979" t="s">
        <v>620</v>
      </c>
      <c r="R1979">
        <v>14</v>
      </c>
      <c r="S1979">
        <v>1</v>
      </c>
      <c r="T1979" t="str">
        <f t="shared" si="221"/>
        <v>e</v>
      </c>
      <c r="U1979" t="s">
        <v>257</v>
      </c>
      <c r="V1979" t="s">
        <v>191</v>
      </c>
      <c r="W1979" t="s">
        <v>423</v>
      </c>
      <c r="X1979" t="s">
        <v>705</v>
      </c>
      <c r="AF1979" t="s">
        <v>635</v>
      </c>
      <c r="AM1979" t="str">
        <f t="shared" si="224"/>
        <v>Zone_Entry_Exit</v>
      </c>
      <c r="AN1979" t="str">
        <f t="shared" si="225"/>
        <v>Zone_Entry</v>
      </c>
      <c r="AP1979" t="str">
        <f t="shared" si="226"/>
        <v>Offensive</v>
      </c>
      <c r="BB1979" s="23"/>
      <c r="BD1979" s="21"/>
      <c r="BE1979" s="21"/>
      <c r="BF1979" s="21"/>
      <c r="BG1979" s="21"/>
      <c r="BH1979" s="21"/>
      <c r="BI1979" s="21"/>
    </row>
    <row r="1980" spans="1:61" x14ac:dyDescent="0.2">
      <c r="A1980">
        <v>1015</v>
      </c>
      <c r="B1980" t="s">
        <v>887</v>
      </c>
      <c r="C1980" t="str">
        <f t="shared" si="222"/>
        <v/>
      </c>
      <c r="D1980" t="str">
        <f t="shared" si="227"/>
        <v/>
      </c>
      <c r="H1980">
        <f t="shared" si="223"/>
        <v>2</v>
      </c>
      <c r="R1980">
        <v>24</v>
      </c>
      <c r="S1980">
        <v>1</v>
      </c>
      <c r="T1980" t="str">
        <f t="shared" si="221"/>
        <v>e</v>
      </c>
      <c r="AM1980" t="str">
        <f t="shared" si="224"/>
        <v>Zone_Entry_Exit</v>
      </c>
      <c r="AN1980" t="str">
        <f t="shared" si="225"/>
        <v>Zone_Entry</v>
      </c>
      <c r="AP1980" t="str">
        <f t="shared" si="226"/>
        <v>Offensive</v>
      </c>
      <c r="BB1980" s="23"/>
      <c r="BD1980" s="21"/>
      <c r="BE1980" s="21"/>
      <c r="BF1980" s="21"/>
      <c r="BG1980" s="21"/>
      <c r="BH1980" s="21"/>
      <c r="BI1980" s="21"/>
    </row>
    <row r="1981" spans="1:61" x14ac:dyDescent="0.2">
      <c r="A1981">
        <v>1016</v>
      </c>
      <c r="B1981">
        <v>167</v>
      </c>
      <c r="C1981">
        <f t="shared" si="222"/>
        <v>9167</v>
      </c>
      <c r="D1981">
        <f t="shared" si="227"/>
        <v>9167</v>
      </c>
      <c r="H1981">
        <f t="shared" si="223"/>
        <v>2</v>
      </c>
      <c r="I1981" s="5" t="s">
        <v>898</v>
      </c>
      <c r="J1981" s="5" t="s">
        <v>768</v>
      </c>
      <c r="Q1981" t="s">
        <v>620</v>
      </c>
      <c r="R1981">
        <v>24</v>
      </c>
      <c r="S1981">
        <v>1</v>
      </c>
      <c r="T1981" t="str">
        <f t="shared" si="221"/>
        <v>e</v>
      </c>
      <c r="U1981" t="s">
        <v>7</v>
      </c>
      <c r="V1981" t="s">
        <v>208</v>
      </c>
      <c r="W1981" t="s">
        <v>53</v>
      </c>
      <c r="X1981" t="s">
        <v>705</v>
      </c>
      <c r="AF1981" t="s">
        <v>401</v>
      </c>
      <c r="AM1981" t="str">
        <f t="shared" si="224"/>
        <v>Shot</v>
      </c>
      <c r="AN1981" t="str">
        <f t="shared" si="225"/>
        <v>Shot_Blocked</v>
      </c>
      <c r="AP1981" t="str">
        <f t="shared" si="226"/>
        <v>Offensive</v>
      </c>
      <c r="BB1981" s="23"/>
      <c r="BD1981" s="21"/>
      <c r="BE1981" s="21"/>
      <c r="BF1981" s="21"/>
      <c r="BG1981" s="21"/>
      <c r="BH1981" s="21"/>
      <c r="BI1981" s="21"/>
    </row>
    <row r="1982" spans="1:61" x14ac:dyDescent="0.2">
      <c r="A1982">
        <v>1016</v>
      </c>
      <c r="B1982">
        <v>167</v>
      </c>
      <c r="C1982">
        <f t="shared" si="222"/>
        <v>9167</v>
      </c>
      <c r="D1982">
        <f t="shared" si="227"/>
        <v>9167</v>
      </c>
      <c r="H1982">
        <f t="shared" si="223"/>
        <v>2</v>
      </c>
      <c r="R1982">
        <v>4</v>
      </c>
      <c r="T1982" t="str">
        <f t="shared" si="221"/>
        <v>o</v>
      </c>
      <c r="Y1982" t="s">
        <v>681</v>
      </c>
      <c r="AA1982" t="s">
        <v>706</v>
      </c>
      <c r="AM1982" t="str">
        <f t="shared" si="224"/>
        <v>Shot</v>
      </c>
      <c r="AN1982" t="str">
        <f t="shared" si="225"/>
        <v>Shot_Blocked</v>
      </c>
      <c r="AP1982" t="str">
        <f t="shared" si="226"/>
        <v>Defensive</v>
      </c>
      <c r="BB1982" s="23"/>
      <c r="BD1982" s="21"/>
      <c r="BE1982" s="21"/>
      <c r="BF1982" s="21"/>
      <c r="BG1982" s="21"/>
      <c r="BH1982" s="21"/>
      <c r="BI1982" s="21"/>
    </row>
    <row r="1983" spans="1:61" x14ac:dyDescent="0.2">
      <c r="A1983">
        <v>1017</v>
      </c>
      <c r="B1983">
        <v>167</v>
      </c>
      <c r="C1983">
        <f t="shared" si="222"/>
        <v>9167</v>
      </c>
      <c r="D1983">
        <f t="shared" si="227"/>
        <v>9167</v>
      </c>
      <c r="H1983">
        <f t="shared" si="223"/>
        <v>2</v>
      </c>
      <c r="I1983" s="5" t="s">
        <v>898</v>
      </c>
      <c r="J1983" s="5" t="s">
        <v>768</v>
      </c>
      <c r="Q1983" t="s">
        <v>620</v>
      </c>
      <c r="R1983">
        <v>24</v>
      </c>
      <c r="S1983">
        <v>1</v>
      </c>
      <c r="T1983" t="str">
        <f>IF(S1983="x","",IF(S1983=1,"e","o"))</f>
        <v>e</v>
      </c>
      <c r="U1983" t="s">
        <v>10</v>
      </c>
      <c r="V1983" t="s">
        <v>190</v>
      </c>
      <c r="W1983" t="s">
        <v>78</v>
      </c>
      <c r="AF1983" t="s">
        <v>401</v>
      </c>
      <c r="AM1983" t="str">
        <f t="shared" si="224"/>
        <v>Turnover</v>
      </c>
      <c r="AN1983" t="str">
        <f t="shared" si="225"/>
        <v>Turnover_Giveaway</v>
      </c>
      <c r="AP1983" t="str">
        <f t="shared" si="226"/>
        <v>Offensive</v>
      </c>
      <c r="BB1983" s="23"/>
      <c r="BD1983" s="21"/>
      <c r="BE1983" s="21"/>
      <c r="BF1983" s="21"/>
      <c r="BG1983" s="21"/>
      <c r="BH1983" s="21"/>
      <c r="BI1983" s="21"/>
    </row>
    <row r="1984" spans="1:61" x14ac:dyDescent="0.2">
      <c r="A1984">
        <v>1017</v>
      </c>
      <c r="B1984">
        <v>167</v>
      </c>
      <c r="C1984">
        <f t="shared" si="222"/>
        <v>9167</v>
      </c>
      <c r="D1984">
        <f t="shared" si="227"/>
        <v>9167</v>
      </c>
      <c r="H1984">
        <f t="shared" si="223"/>
        <v>2</v>
      </c>
      <c r="R1984">
        <v>4</v>
      </c>
      <c r="T1984" t="str">
        <f>IF(S1984="x","",IF(S1984=1,"e","o"))</f>
        <v>o</v>
      </c>
      <c r="Y1984" t="s">
        <v>681</v>
      </c>
      <c r="AA1984" t="s">
        <v>706</v>
      </c>
      <c r="AM1984" t="str">
        <f t="shared" si="224"/>
        <v>Turnover</v>
      </c>
      <c r="AN1984" t="str">
        <f t="shared" si="225"/>
        <v>Turnover_Giveaway</v>
      </c>
      <c r="AP1984" t="str">
        <f t="shared" si="226"/>
        <v>Defensive</v>
      </c>
      <c r="BB1984" s="23"/>
      <c r="BD1984" s="21"/>
      <c r="BE1984" s="21"/>
      <c r="BF1984" s="21"/>
      <c r="BG1984" s="21"/>
      <c r="BH1984" s="21"/>
      <c r="BI1984" s="21"/>
    </row>
    <row r="1985" spans="1:61" x14ac:dyDescent="0.2">
      <c r="A1985">
        <v>1018</v>
      </c>
      <c r="B1985" t="s">
        <v>887</v>
      </c>
      <c r="C1985" t="str">
        <f t="shared" si="222"/>
        <v/>
      </c>
      <c r="D1985" t="str">
        <f t="shared" si="227"/>
        <v/>
      </c>
      <c r="H1985">
        <f t="shared" si="223"/>
        <v>2</v>
      </c>
      <c r="I1985" s="5" t="s">
        <v>898</v>
      </c>
      <c r="J1985" s="5" t="s">
        <v>733</v>
      </c>
      <c r="K1985" s="5" t="s">
        <v>898</v>
      </c>
      <c r="L1985" s="7" t="s">
        <v>736</v>
      </c>
      <c r="Q1985" t="s">
        <v>619</v>
      </c>
      <c r="R1985">
        <v>56</v>
      </c>
      <c r="S1985">
        <v>1</v>
      </c>
      <c r="T1985" t="str">
        <f t="shared" si="221"/>
        <v>e</v>
      </c>
      <c r="U1985" t="s">
        <v>15</v>
      </c>
      <c r="V1985" t="s">
        <v>697</v>
      </c>
      <c r="X1985" t="s">
        <v>706</v>
      </c>
      <c r="Y1985" t="s">
        <v>857</v>
      </c>
      <c r="AA1985" t="s">
        <v>706</v>
      </c>
      <c r="AF1985" t="s">
        <v>623</v>
      </c>
      <c r="AM1985" t="str">
        <f t="shared" si="224"/>
        <v>Possession</v>
      </c>
      <c r="AN1985" t="str">
        <f t="shared" si="225"/>
        <v>PuckRetrieval</v>
      </c>
      <c r="AP1985" t="str">
        <f t="shared" si="226"/>
        <v>Offensive</v>
      </c>
      <c r="BB1985" s="23"/>
      <c r="BD1985" s="21"/>
      <c r="BE1985" s="21"/>
      <c r="BF1985" s="21"/>
      <c r="BG1985" s="21"/>
      <c r="BH1985" s="21"/>
      <c r="BI1985" s="21"/>
    </row>
    <row r="1986" spans="1:61" x14ac:dyDescent="0.2">
      <c r="A1986">
        <v>1019</v>
      </c>
      <c r="B1986">
        <v>168</v>
      </c>
      <c r="C1986">
        <f t="shared" si="222"/>
        <v>9168</v>
      </c>
      <c r="D1986">
        <f t="shared" si="227"/>
        <v>9168</v>
      </c>
      <c r="H1986">
        <f t="shared" si="223"/>
        <v>2</v>
      </c>
      <c r="I1986" s="5" t="s">
        <v>898</v>
      </c>
      <c r="J1986" s="5" t="s">
        <v>736</v>
      </c>
      <c r="Q1986" t="s">
        <v>619</v>
      </c>
      <c r="R1986">
        <v>56</v>
      </c>
      <c r="S1986">
        <v>1</v>
      </c>
      <c r="T1986" t="str">
        <f t="shared" si="221"/>
        <v>e</v>
      </c>
      <c r="U1986" t="s">
        <v>257</v>
      </c>
      <c r="V1986" t="s">
        <v>201</v>
      </c>
      <c r="W1986" t="s">
        <v>92</v>
      </c>
      <c r="X1986" t="s">
        <v>705</v>
      </c>
      <c r="AF1986" t="s">
        <v>623</v>
      </c>
      <c r="AM1986" t="str">
        <f t="shared" si="224"/>
        <v>Zone_Entry_Exit</v>
      </c>
      <c r="AN1986" t="str">
        <f t="shared" si="225"/>
        <v>Zone_Exit</v>
      </c>
      <c r="AP1986" t="str">
        <f t="shared" si="226"/>
        <v>Offensive</v>
      </c>
      <c r="BB1986" s="23"/>
      <c r="BD1986" s="21"/>
      <c r="BE1986" s="21"/>
      <c r="BF1986" s="21"/>
      <c r="BG1986" s="21"/>
      <c r="BH1986" s="21"/>
      <c r="BI1986" s="21"/>
    </row>
    <row r="1987" spans="1:61" x14ac:dyDescent="0.2">
      <c r="A1987">
        <v>1020</v>
      </c>
      <c r="B1987">
        <v>168</v>
      </c>
      <c r="C1987">
        <f t="shared" si="222"/>
        <v>9168</v>
      </c>
      <c r="D1987">
        <f t="shared" si="227"/>
        <v>9168</v>
      </c>
      <c r="H1987">
        <f t="shared" si="223"/>
        <v>2</v>
      </c>
      <c r="I1987" s="5" t="s">
        <v>898</v>
      </c>
      <c r="J1987" s="5" t="s">
        <v>736</v>
      </c>
      <c r="Q1987" t="s">
        <v>619</v>
      </c>
      <c r="R1987">
        <v>56</v>
      </c>
      <c r="S1987">
        <v>1</v>
      </c>
      <c r="T1987" t="str">
        <f t="shared" ref="T1987:T2050" si="228">IF(S1987="x","",IF(S1987=1,"e","o"))</f>
        <v>e</v>
      </c>
      <c r="U1987" t="s">
        <v>257</v>
      </c>
      <c r="V1987" t="s">
        <v>191</v>
      </c>
      <c r="W1987" t="s">
        <v>408</v>
      </c>
      <c r="X1987" t="s">
        <v>705</v>
      </c>
      <c r="AF1987" t="s">
        <v>623</v>
      </c>
      <c r="AM1987" t="str">
        <f t="shared" si="224"/>
        <v>Zone_Entry_Exit</v>
      </c>
      <c r="AN1987" t="str">
        <f t="shared" si="225"/>
        <v>Zone_Entry</v>
      </c>
      <c r="AP1987" t="str">
        <f t="shared" si="226"/>
        <v>Offensive</v>
      </c>
      <c r="BB1987" s="23"/>
      <c r="BD1987" s="21"/>
      <c r="BE1987" s="21"/>
      <c r="BF1987" s="21"/>
      <c r="BG1987" s="21"/>
      <c r="BH1987" s="21"/>
      <c r="BI1987" s="21"/>
    </row>
    <row r="1988" spans="1:61" x14ac:dyDescent="0.2">
      <c r="A1988">
        <v>1021</v>
      </c>
      <c r="B1988">
        <v>168</v>
      </c>
      <c r="C1988">
        <f t="shared" ref="C1988:C2051" si="229">IF(B1988&lt;&gt;"",9000+B1988,"")</f>
        <v>9168</v>
      </c>
      <c r="D1988">
        <f t="shared" si="227"/>
        <v>9168</v>
      </c>
      <c r="H1988">
        <f t="shared" si="223"/>
        <v>2</v>
      </c>
      <c r="I1988" s="5" t="s">
        <v>898</v>
      </c>
      <c r="J1988" s="5" t="s">
        <v>740</v>
      </c>
      <c r="Q1988" t="s">
        <v>619</v>
      </c>
      <c r="R1988">
        <v>56</v>
      </c>
      <c r="S1988">
        <v>1</v>
      </c>
      <c r="T1988" t="str">
        <f t="shared" si="228"/>
        <v>e</v>
      </c>
      <c r="U1988" t="s">
        <v>10</v>
      </c>
      <c r="V1988" t="s">
        <v>190</v>
      </c>
      <c r="W1988" t="s">
        <v>416</v>
      </c>
      <c r="X1988" t="s">
        <v>705</v>
      </c>
      <c r="AF1988" t="s">
        <v>623</v>
      </c>
      <c r="AM1988" t="str">
        <f t="shared" si="224"/>
        <v>Turnover</v>
      </c>
      <c r="AN1988" t="str">
        <f t="shared" si="225"/>
        <v>Turnover_Giveaway</v>
      </c>
      <c r="AP1988" t="str">
        <f t="shared" si="226"/>
        <v>Offensive</v>
      </c>
      <c r="BB1988" s="23"/>
      <c r="BD1988" s="21"/>
      <c r="BE1988" s="21"/>
      <c r="BF1988" s="21"/>
      <c r="BG1988" s="21"/>
      <c r="BH1988" s="21"/>
      <c r="BI1988" s="21"/>
    </row>
    <row r="1989" spans="1:61" x14ac:dyDescent="0.2">
      <c r="A1989">
        <v>1022</v>
      </c>
      <c r="B1989" t="s">
        <v>887</v>
      </c>
      <c r="C1989" t="str">
        <f t="shared" si="229"/>
        <v/>
      </c>
      <c r="D1989" t="str">
        <f t="shared" si="227"/>
        <v/>
      </c>
      <c r="H1989">
        <f t="shared" ref="H1989:H2052" si="230">IF(U1989="Intermission",H1988+1,H1988)</f>
        <v>2</v>
      </c>
      <c r="I1989" s="5" t="s">
        <v>898</v>
      </c>
      <c r="J1989" s="5" t="s">
        <v>740</v>
      </c>
      <c r="Q1989" t="s">
        <v>620</v>
      </c>
      <c r="R1989">
        <v>9</v>
      </c>
      <c r="S1989">
        <v>1</v>
      </c>
      <c r="T1989" t="str">
        <f t="shared" si="228"/>
        <v>e</v>
      </c>
      <c r="U1989" t="s">
        <v>15</v>
      </c>
      <c r="V1989" t="s">
        <v>697</v>
      </c>
      <c r="X1989" t="s">
        <v>705</v>
      </c>
      <c r="Y1989" t="s">
        <v>720</v>
      </c>
      <c r="AA1989" t="s">
        <v>705</v>
      </c>
      <c r="AF1989" t="s">
        <v>623</v>
      </c>
      <c r="AM1989" t="str">
        <f t="shared" ref="AM1989:AM2052" si="231">IF(U1989&lt;&gt;"",U1989,IF($A1989=$A1988,AM1988,""))</f>
        <v>Possession</v>
      </c>
      <c r="AN1989" t="str">
        <f t="shared" ref="AN1989:AN2052" si="232">IF(V1989&lt;&gt;"",V1989,IF($A1989=$A1988,AN1988,""))</f>
        <v>PuckRetrieval</v>
      </c>
      <c r="AP1989" t="str">
        <f t="shared" si="226"/>
        <v>Offensive</v>
      </c>
      <c r="BB1989" s="23"/>
      <c r="BD1989" s="21"/>
      <c r="BE1989" s="21"/>
      <c r="BF1989" s="21"/>
      <c r="BG1989" s="21"/>
      <c r="BH1989" s="21"/>
      <c r="BI1989" s="21"/>
    </row>
    <row r="1990" spans="1:61" x14ac:dyDescent="0.2">
      <c r="A1990">
        <v>1023</v>
      </c>
      <c r="B1990" t="s">
        <v>887</v>
      </c>
      <c r="C1990" t="str">
        <f t="shared" si="229"/>
        <v/>
      </c>
      <c r="D1990" t="str">
        <f t="shared" si="227"/>
        <v/>
      </c>
      <c r="H1990">
        <f t="shared" si="230"/>
        <v>2</v>
      </c>
      <c r="I1990" s="5" t="s">
        <v>898</v>
      </c>
      <c r="J1990" s="5" t="s">
        <v>740</v>
      </c>
      <c r="Q1990" t="s">
        <v>620</v>
      </c>
      <c r="R1990">
        <v>9</v>
      </c>
      <c r="S1990">
        <v>1</v>
      </c>
      <c r="T1990" t="str">
        <f t="shared" si="228"/>
        <v>e</v>
      </c>
      <c r="U1990" t="s">
        <v>247</v>
      </c>
      <c r="V1990" t="s">
        <v>422</v>
      </c>
      <c r="W1990" t="s">
        <v>483</v>
      </c>
      <c r="X1990" t="s">
        <v>705</v>
      </c>
      <c r="Y1990" t="s">
        <v>746</v>
      </c>
      <c r="AA1990" t="s">
        <v>705</v>
      </c>
      <c r="AF1990" t="s">
        <v>623</v>
      </c>
      <c r="AM1990" t="str">
        <f t="shared" si="231"/>
        <v>Play</v>
      </c>
      <c r="AN1990" t="str">
        <f t="shared" si="232"/>
        <v>Play_Defensive</v>
      </c>
      <c r="AP1990" t="str">
        <f t="shared" ref="AP1990:AP2053" si="233">IF(AND(T1990="e",OR(AM1990="Save",AN1990="Turnover_Takeaway",AN1990="Play_Defensive")),"Defensive",IF(AND(T1990="o",OR(AM1990="Save",AN1990="Turnover_Takeaway",AN1990="Play_Defensive")),"Offensive",IF(OR(AM1990="Deadice",AM1990="Stoppage",AM1990="Intermission"),"",IF(T1990="e","Offensive",IF(T1990="o","Defensive","")))))</f>
        <v>Defensive</v>
      </c>
      <c r="BB1990" s="23"/>
      <c r="BD1990" s="21"/>
      <c r="BE1990" s="21"/>
      <c r="BF1990" s="21"/>
      <c r="BG1990" s="21"/>
      <c r="BH1990" s="21"/>
      <c r="BI1990" s="21"/>
    </row>
    <row r="1991" spans="1:61" x14ac:dyDescent="0.2">
      <c r="A1991">
        <v>1024</v>
      </c>
      <c r="B1991">
        <v>169</v>
      </c>
      <c r="C1991">
        <f t="shared" si="229"/>
        <v>9169</v>
      </c>
      <c r="D1991">
        <f t="shared" si="227"/>
        <v>9169</v>
      </c>
      <c r="H1991">
        <f t="shared" si="230"/>
        <v>2</v>
      </c>
      <c r="I1991" s="5" t="s">
        <v>900</v>
      </c>
      <c r="J1991" s="5" t="s">
        <v>638</v>
      </c>
      <c r="Q1991" t="s">
        <v>620</v>
      </c>
      <c r="R1991">
        <v>14</v>
      </c>
      <c r="S1991">
        <v>1</v>
      </c>
      <c r="T1991" t="str">
        <f t="shared" si="228"/>
        <v>e</v>
      </c>
      <c r="U1991" t="s">
        <v>8</v>
      </c>
      <c r="V1991" t="s">
        <v>199</v>
      </c>
      <c r="W1991" t="s">
        <v>70</v>
      </c>
      <c r="X1991" t="s">
        <v>705</v>
      </c>
      <c r="Y1991" t="s">
        <v>814</v>
      </c>
      <c r="AA1991" t="s">
        <v>705</v>
      </c>
      <c r="AF1991" t="s">
        <v>623</v>
      </c>
      <c r="AM1991" t="str">
        <f t="shared" si="231"/>
        <v>Pass</v>
      </c>
      <c r="AN1991" t="str">
        <f t="shared" si="232"/>
        <v>Pass_Missed</v>
      </c>
      <c r="AP1991" t="str">
        <f t="shared" si="233"/>
        <v>Offensive</v>
      </c>
      <c r="BB1991" s="23"/>
      <c r="BD1991" s="21"/>
      <c r="BE1991" s="21"/>
      <c r="BF1991" s="21"/>
      <c r="BG1991" s="21"/>
      <c r="BH1991" s="21"/>
      <c r="BI1991" s="21"/>
    </row>
    <row r="1992" spans="1:61" x14ac:dyDescent="0.2">
      <c r="A1992">
        <v>1024</v>
      </c>
      <c r="B1992">
        <v>169</v>
      </c>
      <c r="C1992">
        <f t="shared" si="229"/>
        <v>9169</v>
      </c>
      <c r="D1992">
        <f t="shared" si="227"/>
        <v>9169</v>
      </c>
      <c r="H1992">
        <f t="shared" si="230"/>
        <v>2</v>
      </c>
      <c r="R1992">
        <v>24</v>
      </c>
      <c r="S1992">
        <v>1</v>
      </c>
      <c r="T1992" t="str">
        <f t="shared" si="228"/>
        <v>e</v>
      </c>
      <c r="AM1992" t="str">
        <f t="shared" si="231"/>
        <v>Pass</v>
      </c>
      <c r="AN1992" t="str">
        <f t="shared" si="232"/>
        <v>Pass_Missed</v>
      </c>
      <c r="AP1992" t="str">
        <f t="shared" si="233"/>
        <v>Offensive</v>
      </c>
      <c r="BB1992" s="23"/>
      <c r="BD1992" s="21"/>
      <c r="BE1992" s="21"/>
      <c r="BF1992" s="21"/>
      <c r="BG1992" s="21"/>
      <c r="BH1992" s="21"/>
      <c r="BI1992" s="21"/>
    </row>
    <row r="1993" spans="1:61" x14ac:dyDescent="0.2">
      <c r="A1993">
        <v>1025</v>
      </c>
      <c r="B1993">
        <v>169</v>
      </c>
      <c r="C1993">
        <f t="shared" si="229"/>
        <v>9169</v>
      </c>
      <c r="D1993">
        <f t="shared" ref="D1993:D2056" si="234">IF(C1993&lt;&gt;"",C1993,B1993)</f>
        <v>9169</v>
      </c>
      <c r="H1993">
        <f t="shared" si="230"/>
        <v>2</v>
      </c>
      <c r="I1993" s="5" t="s">
        <v>900</v>
      </c>
      <c r="J1993" s="5" t="s">
        <v>638</v>
      </c>
      <c r="Q1993" t="s">
        <v>620</v>
      </c>
      <c r="R1993">
        <v>14</v>
      </c>
      <c r="S1993">
        <v>1</v>
      </c>
      <c r="T1993" t="str">
        <f t="shared" si="228"/>
        <v>e</v>
      </c>
      <c r="U1993" t="s">
        <v>257</v>
      </c>
      <c r="V1993" t="s">
        <v>201</v>
      </c>
      <c r="W1993" t="s">
        <v>409</v>
      </c>
      <c r="X1993" t="s">
        <v>705</v>
      </c>
      <c r="AF1993" t="s">
        <v>623</v>
      </c>
      <c r="AM1993" t="str">
        <f t="shared" si="231"/>
        <v>Zone_Entry_Exit</v>
      </c>
      <c r="AN1993" t="str">
        <f t="shared" si="232"/>
        <v>Zone_Exit</v>
      </c>
      <c r="AP1993" t="str">
        <f t="shared" si="233"/>
        <v>Offensive</v>
      </c>
      <c r="BB1993" s="23"/>
      <c r="BD1993" s="21"/>
      <c r="BE1993" s="21"/>
      <c r="BF1993" s="21"/>
      <c r="BG1993" s="21"/>
      <c r="BH1993" s="21"/>
      <c r="BI1993" s="21"/>
    </row>
    <row r="1994" spans="1:61" x14ac:dyDescent="0.2">
      <c r="A1994">
        <v>1025</v>
      </c>
      <c r="B1994">
        <v>169</v>
      </c>
      <c r="C1994">
        <f t="shared" si="229"/>
        <v>9169</v>
      </c>
      <c r="D1994">
        <f t="shared" si="234"/>
        <v>9169</v>
      </c>
      <c r="H1994">
        <f t="shared" si="230"/>
        <v>2</v>
      </c>
      <c r="R1994">
        <v>24</v>
      </c>
      <c r="S1994">
        <v>1</v>
      </c>
      <c r="T1994" t="str">
        <f t="shared" si="228"/>
        <v>e</v>
      </c>
      <c r="AM1994" t="str">
        <f t="shared" si="231"/>
        <v>Zone_Entry_Exit</v>
      </c>
      <c r="AN1994" t="str">
        <f t="shared" si="232"/>
        <v>Zone_Exit</v>
      </c>
      <c r="AP1994" t="str">
        <f t="shared" si="233"/>
        <v>Offensive</v>
      </c>
      <c r="BB1994" s="23"/>
      <c r="BD1994" s="21"/>
      <c r="BE1994" s="21"/>
      <c r="BF1994" s="21"/>
      <c r="BG1994" s="21"/>
      <c r="BH1994" s="21"/>
      <c r="BI1994" s="21"/>
    </row>
    <row r="1995" spans="1:61" x14ac:dyDescent="0.2">
      <c r="A1995">
        <v>1026</v>
      </c>
      <c r="B1995">
        <v>169</v>
      </c>
      <c r="C1995">
        <f t="shared" si="229"/>
        <v>9169</v>
      </c>
      <c r="D1995">
        <f t="shared" si="234"/>
        <v>9169</v>
      </c>
      <c r="H1995">
        <f t="shared" si="230"/>
        <v>2</v>
      </c>
      <c r="I1995" s="5" t="s">
        <v>900</v>
      </c>
      <c r="J1995" s="5" t="s">
        <v>638</v>
      </c>
      <c r="Q1995" t="s">
        <v>620</v>
      </c>
      <c r="R1995">
        <v>14</v>
      </c>
      <c r="S1995">
        <v>1</v>
      </c>
      <c r="T1995" t="str">
        <f t="shared" si="228"/>
        <v>e</v>
      </c>
      <c r="U1995" t="s">
        <v>10</v>
      </c>
      <c r="V1995" t="s">
        <v>190</v>
      </c>
      <c r="W1995" t="s">
        <v>76</v>
      </c>
      <c r="AF1995" t="s">
        <v>623</v>
      </c>
      <c r="AM1995" t="str">
        <f t="shared" si="231"/>
        <v>Turnover</v>
      </c>
      <c r="AN1995" t="str">
        <f t="shared" si="232"/>
        <v>Turnover_Giveaway</v>
      </c>
      <c r="AP1995" t="str">
        <f t="shared" si="233"/>
        <v>Offensive</v>
      </c>
      <c r="BB1995" s="23"/>
      <c r="BD1995" s="21"/>
      <c r="BE1995" s="21"/>
      <c r="BF1995" s="21"/>
      <c r="BG1995" s="21"/>
      <c r="BH1995" s="21"/>
      <c r="BI1995" s="21"/>
    </row>
    <row r="1996" spans="1:61" x14ac:dyDescent="0.2">
      <c r="A1996">
        <v>1026</v>
      </c>
      <c r="B1996">
        <v>169</v>
      </c>
      <c r="C1996">
        <f t="shared" si="229"/>
        <v>9169</v>
      </c>
      <c r="D1996">
        <f t="shared" si="234"/>
        <v>9169</v>
      </c>
      <c r="H1996">
        <f t="shared" si="230"/>
        <v>2</v>
      </c>
      <c r="R1996">
        <v>24</v>
      </c>
      <c r="S1996">
        <v>1</v>
      </c>
      <c r="T1996" t="str">
        <f t="shared" si="228"/>
        <v>e</v>
      </c>
      <c r="AM1996" t="str">
        <f t="shared" si="231"/>
        <v>Turnover</v>
      </c>
      <c r="AN1996" t="str">
        <f t="shared" si="232"/>
        <v>Turnover_Giveaway</v>
      </c>
      <c r="AP1996" t="str">
        <f t="shared" si="233"/>
        <v>Offensive</v>
      </c>
      <c r="BB1996" s="23"/>
      <c r="BD1996" s="21"/>
      <c r="BE1996" s="21"/>
      <c r="BF1996" s="21"/>
      <c r="BG1996" s="21"/>
      <c r="BH1996" s="21"/>
      <c r="BI1996" s="21"/>
    </row>
    <row r="1997" spans="1:61" x14ac:dyDescent="0.2">
      <c r="A1997">
        <v>1027</v>
      </c>
      <c r="B1997" t="s">
        <v>887</v>
      </c>
      <c r="C1997" t="str">
        <f t="shared" si="229"/>
        <v/>
      </c>
      <c r="D1997" t="str">
        <f t="shared" si="234"/>
        <v/>
      </c>
      <c r="H1997">
        <f t="shared" si="230"/>
        <v>2</v>
      </c>
      <c r="I1997" s="5" t="s">
        <v>900</v>
      </c>
      <c r="J1997" s="5" t="s">
        <v>751</v>
      </c>
      <c r="K1997" s="5" t="s">
        <v>900</v>
      </c>
      <c r="L1997" s="7" t="s">
        <v>773</v>
      </c>
      <c r="Q1997" t="s">
        <v>619</v>
      </c>
      <c r="R1997">
        <v>4</v>
      </c>
      <c r="S1997">
        <v>1</v>
      </c>
      <c r="T1997" t="str">
        <f t="shared" si="228"/>
        <v>e</v>
      </c>
      <c r="U1997" t="s">
        <v>15</v>
      </c>
      <c r="V1997" t="s">
        <v>697</v>
      </c>
      <c r="X1997" t="s">
        <v>706</v>
      </c>
      <c r="Y1997" t="s">
        <v>725</v>
      </c>
      <c r="AA1997" t="s">
        <v>706</v>
      </c>
      <c r="AF1997" t="s">
        <v>635</v>
      </c>
      <c r="AJ1997">
        <v>1</v>
      </c>
      <c r="AM1997" t="str">
        <f t="shared" si="231"/>
        <v>Possession</v>
      </c>
      <c r="AN1997" t="str">
        <f t="shared" si="232"/>
        <v>PuckRetrieval</v>
      </c>
      <c r="AP1997" t="str">
        <f t="shared" si="233"/>
        <v>Offensive</v>
      </c>
      <c r="BB1997" s="23"/>
      <c r="BD1997" s="21"/>
      <c r="BE1997" s="21"/>
      <c r="BF1997" s="21"/>
      <c r="BG1997" s="21"/>
      <c r="BH1997" s="21"/>
      <c r="BI1997" s="21"/>
    </row>
    <row r="1998" spans="1:61" x14ac:dyDescent="0.2">
      <c r="A1998">
        <v>1027</v>
      </c>
      <c r="B1998" t="s">
        <v>887</v>
      </c>
      <c r="C1998" t="str">
        <f t="shared" si="229"/>
        <v/>
      </c>
      <c r="D1998" t="str">
        <f t="shared" si="234"/>
        <v/>
      </c>
      <c r="H1998">
        <f t="shared" si="230"/>
        <v>2</v>
      </c>
      <c r="R1998">
        <v>24</v>
      </c>
      <c r="T1998" t="str">
        <f t="shared" si="228"/>
        <v>o</v>
      </c>
      <c r="AJ1998">
        <v>1</v>
      </c>
      <c r="AM1998" t="str">
        <f t="shared" si="231"/>
        <v>Possession</v>
      </c>
      <c r="AN1998" t="str">
        <f t="shared" si="232"/>
        <v>PuckRetrieval</v>
      </c>
      <c r="AP1998" t="str">
        <f t="shared" si="233"/>
        <v>Defensive</v>
      </c>
      <c r="BB1998" s="23"/>
      <c r="BD1998" s="21"/>
      <c r="BE1998" s="21"/>
      <c r="BF1998" s="21"/>
      <c r="BG1998" s="21"/>
      <c r="BH1998" s="21"/>
      <c r="BI1998" s="21"/>
    </row>
    <row r="1999" spans="1:61" x14ac:dyDescent="0.2">
      <c r="A1999">
        <v>1028</v>
      </c>
      <c r="B1999" t="s">
        <v>887</v>
      </c>
      <c r="C1999" t="str">
        <f t="shared" si="229"/>
        <v/>
      </c>
      <c r="D1999" t="str">
        <f t="shared" si="234"/>
        <v/>
      </c>
      <c r="H1999">
        <f t="shared" si="230"/>
        <v>2</v>
      </c>
      <c r="I1999" s="5" t="s">
        <v>900</v>
      </c>
      <c r="J1999" s="5" t="s">
        <v>773</v>
      </c>
      <c r="Q1999" t="s">
        <v>619</v>
      </c>
      <c r="R1999">
        <v>4</v>
      </c>
      <c r="S1999">
        <v>1</v>
      </c>
      <c r="T1999" t="str">
        <f t="shared" si="228"/>
        <v>e</v>
      </c>
      <c r="U1999" t="s">
        <v>8</v>
      </c>
      <c r="V1999" t="s">
        <v>189</v>
      </c>
      <c r="W1999" t="s">
        <v>68</v>
      </c>
      <c r="X1999" t="s">
        <v>706</v>
      </c>
      <c r="AF1999" t="s">
        <v>635</v>
      </c>
      <c r="AJ1999">
        <v>1</v>
      </c>
      <c r="AM1999" t="str">
        <f t="shared" si="231"/>
        <v>Pass</v>
      </c>
      <c r="AN1999" t="str">
        <f t="shared" si="232"/>
        <v>Pass_Completed</v>
      </c>
      <c r="AP1999" t="str">
        <f t="shared" si="233"/>
        <v>Offensive</v>
      </c>
      <c r="BB1999" s="23"/>
      <c r="BD1999" s="21"/>
      <c r="BE1999" s="21"/>
      <c r="BF1999" s="21"/>
      <c r="BG1999" s="21"/>
      <c r="BH1999" s="21"/>
      <c r="BI1999" s="21"/>
    </row>
    <row r="2000" spans="1:61" x14ac:dyDescent="0.2">
      <c r="A2000">
        <v>1028</v>
      </c>
      <c r="B2000" t="s">
        <v>887</v>
      </c>
      <c r="C2000" t="str">
        <f t="shared" si="229"/>
        <v/>
      </c>
      <c r="D2000" t="str">
        <f t="shared" si="234"/>
        <v/>
      </c>
      <c r="H2000">
        <f t="shared" si="230"/>
        <v>2</v>
      </c>
      <c r="R2000">
        <v>12</v>
      </c>
      <c r="S2000">
        <v>1</v>
      </c>
      <c r="T2000" t="str">
        <f t="shared" si="228"/>
        <v>e</v>
      </c>
      <c r="AJ2000">
        <v>1</v>
      </c>
      <c r="AM2000" t="str">
        <f t="shared" si="231"/>
        <v>Pass</v>
      </c>
      <c r="AN2000" t="str">
        <f t="shared" si="232"/>
        <v>Pass_Completed</v>
      </c>
      <c r="AP2000" t="str">
        <f t="shared" si="233"/>
        <v>Offensive</v>
      </c>
      <c r="BB2000" s="23"/>
      <c r="BD2000" s="21"/>
      <c r="BE2000" s="21"/>
      <c r="BF2000" s="21"/>
      <c r="BG2000" s="21"/>
      <c r="BH2000" s="21"/>
      <c r="BI2000" s="21"/>
    </row>
    <row r="2001" spans="1:61" x14ac:dyDescent="0.2">
      <c r="A2001">
        <v>1029</v>
      </c>
      <c r="B2001">
        <v>170</v>
      </c>
      <c r="C2001">
        <f t="shared" si="229"/>
        <v>9170</v>
      </c>
      <c r="D2001">
        <f t="shared" si="234"/>
        <v>9170</v>
      </c>
      <c r="H2001">
        <f t="shared" si="230"/>
        <v>2</v>
      </c>
      <c r="I2001" s="5" t="s">
        <v>900</v>
      </c>
      <c r="J2001" s="5" t="s">
        <v>773</v>
      </c>
      <c r="Q2001" t="s">
        <v>619</v>
      </c>
      <c r="R2001">
        <v>12</v>
      </c>
      <c r="S2001">
        <v>1</v>
      </c>
      <c r="T2001" t="str">
        <f t="shared" si="228"/>
        <v>e</v>
      </c>
      <c r="U2001" t="s">
        <v>8</v>
      </c>
      <c r="V2001" t="s">
        <v>189</v>
      </c>
      <c r="W2001" t="s">
        <v>70</v>
      </c>
      <c r="X2001" t="s">
        <v>706</v>
      </c>
      <c r="Y2001" t="s">
        <v>814</v>
      </c>
      <c r="AF2001" t="s">
        <v>635</v>
      </c>
      <c r="AM2001" t="str">
        <f t="shared" si="231"/>
        <v>Pass</v>
      </c>
      <c r="AN2001" t="str">
        <f t="shared" si="232"/>
        <v>Pass_Completed</v>
      </c>
      <c r="AP2001" t="str">
        <f t="shared" si="233"/>
        <v>Offensive</v>
      </c>
      <c r="BB2001" s="23"/>
      <c r="BD2001" s="21"/>
      <c r="BE2001" s="21"/>
      <c r="BF2001" s="21"/>
      <c r="BG2001" s="21"/>
      <c r="BH2001" s="21"/>
      <c r="BI2001" s="21"/>
    </row>
    <row r="2002" spans="1:61" x14ac:dyDescent="0.2">
      <c r="A2002">
        <v>1029</v>
      </c>
      <c r="B2002">
        <v>170</v>
      </c>
      <c r="C2002">
        <f t="shared" si="229"/>
        <v>9170</v>
      </c>
      <c r="D2002">
        <f t="shared" si="234"/>
        <v>9170</v>
      </c>
      <c r="H2002">
        <f t="shared" si="230"/>
        <v>2</v>
      </c>
      <c r="R2002">
        <v>56</v>
      </c>
      <c r="S2002">
        <v>1</v>
      </c>
      <c r="T2002" t="str">
        <f t="shared" si="228"/>
        <v>e</v>
      </c>
      <c r="AM2002" t="str">
        <f t="shared" si="231"/>
        <v>Pass</v>
      </c>
      <c r="AN2002" t="str">
        <f t="shared" si="232"/>
        <v>Pass_Completed</v>
      </c>
      <c r="AP2002" t="str">
        <f t="shared" si="233"/>
        <v>Offensive</v>
      </c>
      <c r="BB2002" s="23"/>
      <c r="BD2002" s="21"/>
      <c r="BE2002" s="21"/>
      <c r="BF2002" s="21"/>
      <c r="BG2002" s="21"/>
      <c r="BH2002" s="21"/>
      <c r="BI2002" s="21"/>
    </row>
    <row r="2003" spans="1:61" x14ac:dyDescent="0.2">
      <c r="A2003">
        <v>1030</v>
      </c>
      <c r="B2003">
        <v>170</v>
      </c>
      <c r="C2003">
        <f t="shared" si="229"/>
        <v>9170</v>
      </c>
      <c r="D2003">
        <f t="shared" si="234"/>
        <v>9170</v>
      </c>
      <c r="H2003">
        <f t="shared" si="230"/>
        <v>2</v>
      </c>
      <c r="I2003" s="5" t="s">
        <v>900</v>
      </c>
      <c r="J2003" s="5" t="s">
        <v>773</v>
      </c>
      <c r="Q2003" t="s">
        <v>619</v>
      </c>
      <c r="R2003">
        <v>12</v>
      </c>
      <c r="S2003">
        <v>1</v>
      </c>
      <c r="T2003" t="str">
        <f t="shared" si="228"/>
        <v>e</v>
      </c>
      <c r="U2003" t="s">
        <v>257</v>
      </c>
      <c r="V2003" t="s">
        <v>191</v>
      </c>
      <c r="W2003" t="s">
        <v>88</v>
      </c>
      <c r="X2003" t="s">
        <v>705</v>
      </c>
      <c r="AF2003" t="s">
        <v>635</v>
      </c>
      <c r="AM2003" t="str">
        <f t="shared" si="231"/>
        <v>Zone_Entry_Exit</v>
      </c>
      <c r="AN2003" t="str">
        <f t="shared" si="232"/>
        <v>Zone_Entry</v>
      </c>
      <c r="AP2003" t="str">
        <f t="shared" si="233"/>
        <v>Offensive</v>
      </c>
      <c r="BB2003" s="23"/>
      <c r="BD2003" s="21"/>
      <c r="BE2003" s="21"/>
      <c r="BF2003" s="21"/>
      <c r="BG2003" s="21"/>
      <c r="BH2003" s="21"/>
      <c r="BI2003" s="21"/>
    </row>
    <row r="2004" spans="1:61" x14ac:dyDescent="0.2">
      <c r="A2004">
        <v>1030</v>
      </c>
      <c r="B2004">
        <v>170</v>
      </c>
      <c r="C2004">
        <f t="shared" si="229"/>
        <v>9170</v>
      </c>
      <c r="D2004">
        <f t="shared" si="234"/>
        <v>9170</v>
      </c>
      <c r="H2004">
        <f t="shared" si="230"/>
        <v>2</v>
      </c>
      <c r="R2004">
        <v>56</v>
      </c>
      <c r="S2004">
        <v>1</v>
      </c>
      <c r="T2004" t="str">
        <f t="shared" si="228"/>
        <v>e</v>
      </c>
      <c r="AM2004" t="str">
        <f t="shared" si="231"/>
        <v>Zone_Entry_Exit</v>
      </c>
      <c r="AN2004" t="str">
        <f t="shared" si="232"/>
        <v>Zone_Entry</v>
      </c>
      <c r="AP2004" t="str">
        <f t="shared" si="233"/>
        <v>Offensive</v>
      </c>
      <c r="BB2004" s="23"/>
      <c r="BD2004" s="21"/>
      <c r="BE2004" s="21"/>
      <c r="BF2004" s="21"/>
      <c r="BG2004" s="21"/>
      <c r="BH2004" s="21"/>
      <c r="BI2004" s="21"/>
    </row>
    <row r="2005" spans="1:61" x14ac:dyDescent="0.2">
      <c r="A2005">
        <v>1031</v>
      </c>
      <c r="B2005" t="s">
        <v>887</v>
      </c>
      <c r="C2005" t="str">
        <f t="shared" si="229"/>
        <v/>
      </c>
      <c r="D2005" t="str">
        <f t="shared" si="234"/>
        <v/>
      </c>
      <c r="H2005">
        <f t="shared" si="230"/>
        <v>2</v>
      </c>
      <c r="I2005" s="5" t="s">
        <v>900</v>
      </c>
      <c r="J2005" s="5" t="s">
        <v>639</v>
      </c>
      <c r="K2005" s="5" t="s">
        <v>900</v>
      </c>
      <c r="L2005" s="7" t="s">
        <v>753</v>
      </c>
      <c r="Q2005" t="s">
        <v>619</v>
      </c>
      <c r="R2005">
        <v>56</v>
      </c>
      <c r="S2005">
        <v>1</v>
      </c>
      <c r="T2005" t="str">
        <f t="shared" si="228"/>
        <v>e</v>
      </c>
      <c r="U2005" t="s">
        <v>15</v>
      </c>
      <c r="AF2005" t="s">
        <v>401</v>
      </c>
      <c r="AJ2005">
        <v>1</v>
      </c>
      <c r="AM2005" t="str">
        <f t="shared" si="231"/>
        <v>Possession</v>
      </c>
      <c r="AN2005" t="str">
        <f t="shared" si="232"/>
        <v/>
      </c>
      <c r="AP2005" t="str">
        <f t="shared" si="233"/>
        <v>Offensive</v>
      </c>
      <c r="BB2005" s="23"/>
      <c r="BD2005" s="21"/>
      <c r="BE2005" s="21"/>
      <c r="BF2005" s="21"/>
      <c r="BG2005" s="21"/>
      <c r="BH2005" s="21"/>
      <c r="BI2005" s="21"/>
    </row>
    <row r="2006" spans="1:61" x14ac:dyDescent="0.2">
      <c r="A2006">
        <v>1031</v>
      </c>
      <c r="B2006" t="s">
        <v>887</v>
      </c>
      <c r="C2006" t="str">
        <f t="shared" si="229"/>
        <v/>
      </c>
      <c r="D2006" t="str">
        <f t="shared" si="234"/>
        <v/>
      </c>
      <c r="H2006">
        <f t="shared" si="230"/>
        <v>2</v>
      </c>
      <c r="R2006">
        <v>9</v>
      </c>
      <c r="T2006" t="str">
        <f t="shared" si="228"/>
        <v>o</v>
      </c>
      <c r="AJ2006">
        <v>1</v>
      </c>
      <c r="AM2006" t="str">
        <f t="shared" si="231"/>
        <v>Possession</v>
      </c>
      <c r="AN2006" t="str">
        <f t="shared" si="232"/>
        <v/>
      </c>
      <c r="AP2006" t="str">
        <f t="shared" si="233"/>
        <v>Defensive</v>
      </c>
      <c r="BB2006" s="23"/>
      <c r="BD2006" s="21"/>
      <c r="BE2006" s="21"/>
      <c r="BF2006" s="21"/>
      <c r="BG2006" s="21"/>
      <c r="BH2006" s="21"/>
      <c r="BI2006" s="21"/>
    </row>
    <row r="2007" spans="1:61" x14ac:dyDescent="0.2">
      <c r="A2007">
        <v>1032</v>
      </c>
      <c r="B2007" t="s">
        <v>887</v>
      </c>
      <c r="C2007" t="str">
        <f t="shared" si="229"/>
        <v/>
      </c>
      <c r="D2007" t="str">
        <f t="shared" si="234"/>
        <v/>
      </c>
      <c r="H2007">
        <f t="shared" si="230"/>
        <v>2</v>
      </c>
      <c r="I2007" s="5" t="s">
        <v>900</v>
      </c>
      <c r="J2007" s="5" t="s">
        <v>753</v>
      </c>
      <c r="Q2007" t="s">
        <v>619</v>
      </c>
      <c r="R2007">
        <v>56</v>
      </c>
      <c r="S2007">
        <v>1</v>
      </c>
      <c r="T2007" t="str">
        <f t="shared" si="228"/>
        <v>e</v>
      </c>
      <c r="U2007" t="s">
        <v>7</v>
      </c>
      <c r="V2007" t="s">
        <v>198</v>
      </c>
      <c r="W2007" t="s">
        <v>53</v>
      </c>
      <c r="X2007" t="s">
        <v>705</v>
      </c>
      <c r="AF2007" t="s">
        <v>401</v>
      </c>
      <c r="AM2007" t="str">
        <f t="shared" si="231"/>
        <v>Shot</v>
      </c>
      <c r="AN2007" t="str">
        <f t="shared" si="232"/>
        <v>Shot_Missed</v>
      </c>
      <c r="AP2007" t="str">
        <f t="shared" si="233"/>
        <v>Offensive</v>
      </c>
      <c r="BB2007" s="23"/>
      <c r="BD2007" s="21"/>
      <c r="BE2007" s="21"/>
      <c r="BF2007" s="21"/>
      <c r="BG2007" s="21"/>
      <c r="BH2007" s="21"/>
      <c r="BI2007" s="21"/>
    </row>
    <row r="2008" spans="1:61" x14ac:dyDescent="0.2">
      <c r="A2008">
        <v>1032</v>
      </c>
      <c r="B2008" t="s">
        <v>887</v>
      </c>
      <c r="C2008" t="str">
        <f t="shared" si="229"/>
        <v/>
      </c>
      <c r="D2008" t="str">
        <f t="shared" si="234"/>
        <v/>
      </c>
      <c r="H2008">
        <f t="shared" si="230"/>
        <v>2</v>
      </c>
      <c r="R2008">
        <v>9</v>
      </c>
      <c r="T2008" t="str">
        <f t="shared" si="228"/>
        <v>o</v>
      </c>
      <c r="Y2008" t="s">
        <v>722</v>
      </c>
      <c r="AM2008" t="str">
        <f t="shared" si="231"/>
        <v>Shot</v>
      </c>
      <c r="AN2008" t="str">
        <f t="shared" si="232"/>
        <v>Shot_Missed</v>
      </c>
      <c r="AP2008" t="str">
        <f t="shared" si="233"/>
        <v>Defensive</v>
      </c>
      <c r="BB2008" s="23"/>
      <c r="BD2008" s="21"/>
      <c r="BE2008" s="21"/>
      <c r="BF2008" s="21"/>
      <c r="BG2008" s="21"/>
      <c r="BH2008" s="21"/>
      <c r="BI2008" s="21"/>
    </row>
    <row r="2009" spans="1:61" x14ac:dyDescent="0.2">
      <c r="A2009">
        <v>1033</v>
      </c>
      <c r="B2009" t="s">
        <v>887</v>
      </c>
      <c r="C2009" t="str">
        <f t="shared" si="229"/>
        <v/>
      </c>
      <c r="D2009" t="str">
        <f t="shared" si="234"/>
        <v/>
      </c>
      <c r="H2009">
        <f t="shared" si="230"/>
        <v>2</v>
      </c>
      <c r="I2009" s="5" t="s">
        <v>900</v>
      </c>
      <c r="J2009" s="5" t="s">
        <v>682</v>
      </c>
      <c r="Q2009" t="s">
        <v>619</v>
      </c>
      <c r="R2009">
        <v>56</v>
      </c>
      <c r="S2009">
        <v>1</v>
      </c>
      <c r="T2009" t="str">
        <f t="shared" si="228"/>
        <v>e</v>
      </c>
      <c r="U2009" t="s">
        <v>10</v>
      </c>
      <c r="V2009" t="s">
        <v>190</v>
      </c>
      <c r="W2009" t="s">
        <v>79</v>
      </c>
      <c r="AF2009" t="s">
        <v>401</v>
      </c>
      <c r="AJ2009">
        <v>1</v>
      </c>
      <c r="AM2009" t="str">
        <f t="shared" si="231"/>
        <v>Turnover</v>
      </c>
      <c r="AN2009" t="str">
        <f t="shared" si="232"/>
        <v>Turnover_Giveaway</v>
      </c>
      <c r="AP2009" t="str">
        <f t="shared" si="233"/>
        <v>Offensive</v>
      </c>
      <c r="BB2009" s="23"/>
      <c r="BD2009" s="21"/>
      <c r="BE2009" s="21"/>
      <c r="BF2009" s="21"/>
      <c r="BG2009" s="21"/>
      <c r="BH2009" s="21"/>
      <c r="BI2009" s="21"/>
    </row>
    <row r="2010" spans="1:61" x14ac:dyDescent="0.2">
      <c r="A2010">
        <v>1033</v>
      </c>
      <c r="B2010" t="s">
        <v>887</v>
      </c>
      <c r="C2010" t="str">
        <f t="shared" si="229"/>
        <v/>
      </c>
      <c r="D2010" t="str">
        <f t="shared" si="234"/>
        <v/>
      </c>
      <c r="H2010">
        <f t="shared" si="230"/>
        <v>2</v>
      </c>
      <c r="R2010">
        <v>9</v>
      </c>
      <c r="T2010" t="str">
        <f t="shared" si="228"/>
        <v>o</v>
      </c>
      <c r="Y2010" t="s">
        <v>722</v>
      </c>
      <c r="AJ2010">
        <v>1</v>
      </c>
      <c r="AM2010" t="str">
        <f t="shared" si="231"/>
        <v>Turnover</v>
      </c>
      <c r="AN2010" t="str">
        <f t="shared" si="232"/>
        <v>Turnover_Giveaway</v>
      </c>
      <c r="AP2010" t="str">
        <f t="shared" si="233"/>
        <v>Defensive</v>
      </c>
      <c r="BB2010" s="23"/>
      <c r="BD2010" s="21"/>
      <c r="BE2010" s="21"/>
      <c r="BF2010" s="21"/>
      <c r="BG2010" s="21"/>
      <c r="BH2010" s="21"/>
      <c r="BI2010" s="21"/>
    </row>
    <row r="2011" spans="1:61" x14ac:dyDescent="0.2">
      <c r="A2011">
        <v>1034</v>
      </c>
      <c r="B2011" t="s">
        <v>887</v>
      </c>
      <c r="C2011" t="str">
        <f t="shared" si="229"/>
        <v/>
      </c>
      <c r="D2011" t="str">
        <f t="shared" si="234"/>
        <v/>
      </c>
      <c r="H2011">
        <f t="shared" si="230"/>
        <v>2</v>
      </c>
      <c r="I2011" s="5" t="s">
        <v>900</v>
      </c>
      <c r="J2011" s="5" t="s">
        <v>682</v>
      </c>
      <c r="Q2011" t="s">
        <v>620</v>
      </c>
      <c r="R2011">
        <v>9</v>
      </c>
      <c r="S2011">
        <v>1</v>
      </c>
      <c r="T2011" t="str">
        <f t="shared" si="228"/>
        <v>e</v>
      </c>
      <c r="U2011" t="s">
        <v>15</v>
      </c>
      <c r="V2011" t="s">
        <v>697</v>
      </c>
      <c r="X2011" t="s">
        <v>706</v>
      </c>
      <c r="Y2011" t="s">
        <v>857</v>
      </c>
      <c r="AA2011" t="s">
        <v>706</v>
      </c>
      <c r="AF2011" t="s">
        <v>623</v>
      </c>
      <c r="AJ2011">
        <v>1</v>
      </c>
      <c r="AM2011" t="str">
        <f t="shared" si="231"/>
        <v>Possession</v>
      </c>
      <c r="AN2011" t="str">
        <f t="shared" si="232"/>
        <v>PuckRetrieval</v>
      </c>
      <c r="AP2011" t="str">
        <f t="shared" si="233"/>
        <v>Offensive</v>
      </c>
      <c r="BB2011" s="23"/>
      <c r="BD2011" s="21"/>
      <c r="BE2011" s="21"/>
      <c r="BF2011" s="21"/>
      <c r="BG2011" s="21"/>
      <c r="BH2011" s="21"/>
      <c r="BI2011" s="21"/>
    </row>
    <row r="2012" spans="1:61" x14ac:dyDescent="0.2">
      <c r="A2012">
        <v>1034</v>
      </c>
      <c r="B2012" t="s">
        <v>887</v>
      </c>
      <c r="C2012" t="str">
        <f t="shared" si="229"/>
        <v/>
      </c>
      <c r="D2012" t="str">
        <f t="shared" si="234"/>
        <v/>
      </c>
      <c r="H2012">
        <f t="shared" si="230"/>
        <v>2</v>
      </c>
      <c r="R2012">
        <v>14</v>
      </c>
      <c r="T2012" t="str">
        <f t="shared" si="228"/>
        <v>o</v>
      </c>
      <c r="AJ2012">
        <v>1</v>
      </c>
      <c r="AM2012" t="str">
        <f t="shared" ref="AM2012:AN2014" si="235">IF(U2012&lt;&gt;"",U2012,IF($A2012=$A2011,AM2011,""))</f>
        <v>Possession</v>
      </c>
      <c r="AN2012" t="str">
        <f t="shared" si="235"/>
        <v>PuckRetrieval</v>
      </c>
      <c r="AP2012" t="str">
        <f>IF(AND(T2012="e",OR(AM2012="Save",AN2012="Turnover_Takeaway",AN2012="Play_Defensive")),"Defensive",IF(AND(T2012="o",OR(AM2012="Save",AN2012="Turnover_Takeaway",AN2012="Play_Defensive")),"Offensive",IF(OR(AM2012="Deadice",AM2012="Stoppage",AM2012="Intermission"),"",IF(T2012="e","Offensive",IF(T2012="o","Defensive","")))))</f>
        <v>Defensive</v>
      </c>
      <c r="BB2012" s="23"/>
      <c r="BD2012" s="21"/>
      <c r="BE2012" s="21"/>
      <c r="BF2012" s="21"/>
      <c r="BG2012" s="21"/>
      <c r="BH2012" s="21"/>
      <c r="BI2012" s="21"/>
    </row>
    <row r="2013" spans="1:61" x14ac:dyDescent="0.2">
      <c r="A2013">
        <v>1034</v>
      </c>
      <c r="B2013" t="s">
        <v>887</v>
      </c>
      <c r="C2013" t="str">
        <f t="shared" si="229"/>
        <v/>
      </c>
      <c r="D2013" t="str">
        <f t="shared" si="234"/>
        <v/>
      </c>
      <c r="H2013">
        <f t="shared" si="230"/>
        <v>2</v>
      </c>
      <c r="R2013">
        <v>3</v>
      </c>
      <c r="T2013" t="str">
        <f t="shared" si="228"/>
        <v>o</v>
      </c>
      <c r="AJ2013">
        <v>1</v>
      </c>
      <c r="AM2013" t="str">
        <f t="shared" si="235"/>
        <v>Possession</v>
      </c>
      <c r="AN2013" t="str">
        <f t="shared" si="235"/>
        <v>PuckRetrieval</v>
      </c>
      <c r="AP2013" t="str">
        <f>IF(AND(T2013="e",OR(AM2013="Save",AN2013="Turnover_Takeaway",AN2013="Play_Defensive")),"Defensive",IF(AND(T2013="o",OR(AM2013="Save",AN2013="Turnover_Takeaway",AN2013="Play_Defensive")),"Offensive",IF(OR(AM2013="Deadice",AM2013="Stoppage",AM2013="Intermission"),"",IF(T2013="e","Offensive",IF(T2013="o","Defensive","")))))</f>
        <v>Defensive</v>
      </c>
      <c r="BB2013" s="23"/>
      <c r="BD2013" s="21"/>
      <c r="BE2013" s="21"/>
      <c r="BF2013" s="21"/>
      <c r="BG2013" s="21"/>
      <c r="BH2013" s="21"/>
      <c r="BI2013" s="21"/>
    </row>
    <row r="2014" spans="1:61" x14ac:dyDescent="0.2">
      <c r="A2014">
        <v>1035</v>
      </c>
      <c r="B2014" t="s">
        <v>887</v>
      </c>
      <c r="C2014" t="str">
        <f t="shared" si="229"/>
        <v/>
      </c>
      <c r="D2014" t="str">
        <f t="shared" si="234"/>
        <v/>
      </c>
      <c r="H2014">
        <f t="shared" si="230"/>
        <v>2</v>
      </c>
      <c r="I2014" s="5" t="s">
        <v>900</v>
      </c>
      <c r="J2014" s="5" t="s">
        <v>682</v>
      </c>
      <c r="Q2014" t="s">
        <v>620</v>
      </c>
      <c r="R2014">
        <v>9</v>
      </c>
      <c r="S2014">
        <v>1</v>
      </c>
      <c r="T2014" t="str">
        <f>IF(S2014="x","",IF(S2014=1,"e","o"))</f>
        <v>e</v>
      </c>
      <c r="U2014" t="s">
        <v>8</v>
      </c>
      <c r="V2014" t="s">
        <v>189</v>
      </c>
      <c r="W2014" t="s">
        <v>70</v>
      </c>
      <c r="X2014" t="s">
        <v>706</v>
      </c>
      <c r="Y2014" t="s">
        <v>814</v>
      </c>
      <c r="AA2014" t="s">
        <v>706</v>
      </c>
      <c r="AF2014" t="s">
        <v>623</v>
      </c>
      <c r="AM2014" t="str">
        <f t="shared" si="235"/>
        <v>Pass</v>
      </c>
      <c r="AN2014" t="str">
        <f t="shared" si="235"/>
        <v>Pass_Completed</v>
      </c>
      <c r="AP2014" t="str">
        <f>IF(AND(T2014="e",OR(AM2014="Save",AN2014="Turnover_Takeaway",AN2014="Play_Defensive")),"Defensive",IF(AND(T2014="o",OR(AM2014="Save",AN2014="Turnover_Takeaway",AN2014="Play_Defensive")),"Offensive",IF(OR(AM2014="Deadice",AM2014="Stoppage",AM2014="Intermission"),"",IF(T2014="e","Offensive",IF(T2014="o","Defensive","")))))</f>
        <v>Offensive</v>
      </c>
      <c r="BB2014" s="23"/>
      <c r="BD2014" s="21"/>
      <c r="BE2014" s="21"/>
      <c r="BF2014" s="21"/>
      <c r="BG2014" s="21"/>
      <c r="BH2014" s="21"/>
      <c r="BI2014" s="21"/>
    </row>
    <row r="2015" spans="1:61" x14ac:dyDescent="0.2">
      <c r="A2015">
        <v>1035</v>
      </c>
      <c r="B2015" t="s">
        <v>887</v>
      </c>
      <c r="C2015" t="str">
        <f t="shared" si="229"/>
        <v/>
      </c>
      <c r="D2015" t="str">
        <f t="shared" si="234"/>
        <v/>
      </c>
      <c r="H2015">
        <f t="shared" si="230"/>
        <v>2</v>
      </c>
      <c r="R2015">
        <v>24</v>
      </c>
      <c r="S2015">
        <v>1</v>
      </c>
      <c r="T2015" t="str">
        <f t="shared" si="228"/>
        <v>e</v>
      </c>
      <c r="AM2015" t="str">
        <f t="shared" si="231"/>
        <v>Pass</v>
      </c>
      <c r="AN2015" t="str">
        <f t="shared" si="232"/>
        <v>Pass_Completed</v>
      </c>
      <c r="AP2015" t="str">
        <f t="shared" si="233"/>
        <v>Offensive</v>
      </c>
      <c r="BB2015" s="23"/>
      <c r="BD2015" s="21"/>
      <c r="BE2015" s="21"/>
      <c r="BF2015" s="21"/>
      <c r="BG2015" s="21"/>
      <c r="BH2015" s="21"/>
      <c r="BI2015" s="21"/>
    </row>
    <row r="2016" spans="1:61" x14ac:dyDescent="0.2">
      <c r="A2016">
        <v>1036</v>
      </c>
      <c r="B2016">
        <v>171</v>
      </c>
      <c r="C2016">
        <f t="shared" si="229"/>
        <v>9171</v>
      </c>
      <c r="D2016">
        <f t="shared" si="234"/>
        <v>9171</v>
      </c>
      <c r="H2016">
        <f t="shared" si="230"/>
        <v>2</v>
      </c>
      <c r="I2016" s="5" t="s">
        <v>900</v>
      </c>
      <c r="J2016" s="5" t="s">
        <v>682</v>
      </c>
      <c r="Q2016" t="s">
        <v>620</v>
      </c>
      <c r="R2016">
        <v>24</v>
      </c>
      <c r="S2016">
        <v>1</v>
      </c>
      <c r="T2016" t="str">
        <f t="shared" si="228"/>
        <v>e</v>
      </c>
      <c r="U2016" t="s">
        <v>8</v>
      </c>
      <c r="V2016" t="s">
        <v>189</v>
      </c>
      <c r="W2016" t="s">
        <v>418</v>
      </c>
      <c r="X2016" t="s">
        <v>706</v>
      </c>
      <c r="Y2016" t="s">
        <v>814</v>
      </c>
      <c r="AA2016" t="s">
        <v>706</v>
      </c>
      <c r="AF2016" t="s">
        <v>623</v>
      </c>
      <c r="AM2016" t="str">
        <f t="shared" si="231"/>
        <v>Pass</v>
      </c>
      <c r="AN2016" t="str">
        <f t="shared" si="232"/>
        <v>Pass_Completed</v>
      </c>
      <c r="AP2016" t="str">
        <f t="shared" si="233"/>
        <v>Offensive</v>
      </c>
      <c r="BB2016" s="23"/>
      <c r="BD2016" s="21"/>
      <c r="BE2016" s="21"/>
      <c r="BF2016" s="21"/>
      <c r="BG2016" s="21"/>
      <c r="BH2016" s="21"/>
      <c r="BI2016" s="21"/>
    </row>
    <row r="2017" spans="1:61" x14ac:dyDescent="0.2">
      <c r="A2017">
        <v>1036</v>
      </c>
      <c r="B2017">
        <v>171</v>
      </c>
      <c r="C2017">
        <f t="shared" si="229"/>
        <v>9171</v>
      </c>
      <c r="D2017">
        <f t="shared" si="234"/>
        <v>9171</v>
      </c>
      <c r="H2017">
        <f t="shared" si="230"/>
        <v>2</v>
      </c>
      <c r="R2017">
        <v>70</v>
      </c>
      <c r="S2017">
        <v>1</v>
      </c>
      <c r="T2017" t="str">
        <f t="shared" si="228"/>
        <v>e</v>
      </c>
      <c r="AM2017" t="str">
        <f t="shared" si="231"/>
        <v>Pass</v>
      </c>
      <c r="AN2017" t="str">
        <f t="shared" si="232"/>
        <v>Pass_Completed</v>
      </c>
      <c r="AP2017" t="str">
        <f t="shared" si="233"/>
        <v>Offensive</v>
      </c>
      <c r="BB2017" s="23"/>
      <c r="BD2017" s="21"/>
      <c r="BE2017" s="21"/>
      <c r="BF2017" s="21"/>
      <c r="BG2017" s="21"/>
      <c r="BH2017" s="21"/>
      <c r="BI2017" s="21"/>
    </row>
    <row r="2018" spans="1:61" x14ac:dyDescent="0.2">
      <c r="A2018">
        <v>1037</v>
      </c>
      <c r="B2018">
        <v>171</v>
      </c>
      <c r="C2018">
        <f t="shared" si="229"/>
        <v>9171</v>
      </c>
      <c r="D2018">
        <f t="shared" si="234"/>
        <v>9171</v>
      </c>
      <c r="H2018">
        <f t="shared" si="230"/>
        <v>2</v>
      </c>
      <c r="I2018" s="5" t="s">
        <v>900</v>
      </c>
      <c r="J2018" s="5" t="s">
        <v>682</v>
      </c>
      <c r="Q2018" t="s">
        <v>620</v>
      </c>
      <c r="R2018">
        <v>24</v>
      </c>
      <c r="S2018">
        <v>1</v>
      </c>
      <c r="T2018" t="str">
        <f t="shared" si="228"/>
        <v>e</v>
      </c>
      <c r="U2018" t="s">
        <v>257</v>
      </c>
      <c r="V2018" t="s">
        <v>201</v>
      </c>
      <c r="W2018" t="s">
        <v>91</v>
      </c>
      <c r="X2018" t="s">
        <v>706</v>
      </c>
      <c r="AF2018" t="s">
        <v>623</v>
      </c>
      <c r="AM2018" t="str">
        <f t="shared" si="231"/>
        <v>Zone_Entry_Exit</v>
      </c>
      <c r="AN2018" t="str">
        <f t="shared" si="232"/>
        <v>Zone_Exit</v>
      </c>
      <c r="AP2018" t="str">
        <f t="shared" si="233"/>
        <v>Offensive</v>
      </c>
      <c r="BB2018" s="23"/>
      <c r="BD2018" s="21"/>
      <c r="BE2018" s="21"/>
      <c r="BF2018" s="21"/>
      <c r="BG2018" s="21"/>
      <c r="BH2018" s="21"/>
      <c r="BI2018" s="21"/>
    </row>
    <row r="2019" spans="1:61" x14ac:dyDescent="0.2">
      <c r="A2019">
        <v>1037</v>
      </c>
      <c r="B2019">
        <v>171</v>
      </c>
      <c r="C2019">
        <f t="shared" si="229"/>
        <v>9171</v>
      </c>
      <c r="D2019">
        <f t="shared" si="234"/>
        <v>9171</v>
      </c>
      <c r="H2019">
        <f t="shared" si="230"/>
        <v>2</v>
      </c>
      <c r="R2019">
        <v>70</v>
      </c>
      <c r="S2019">
        <v>1</v>
      </c>
      <c r="T2019" t="str">
        <f t="shared" si="228"/>
        <v>e</v>
      </c>
      <c r="AM2019" t="str">
        <f t="shared" si="231"/>
        <v>Zone_Entry_Exit</v>
      </c>
      <c r="AN2019" t="str">
        <f t="shared" si="232"/>
        <v>Zone_Exit</v>
      </c>
      <c r="AP2019" t="str">
        <f t="shared" si="233"/>
        <v>Offensive</v>
      </c>
      <c r="BB2019" s="23"/>
      <c r="BD2019" s="21"/>
      <c r="BE2019" s="21"/>
      <c r="BF2019" s="21"/>
      <c r="BG2019" s="21"/>
      <c r="BH2019" s="21"/>
      <c r="BI2019" s="21"/>
    </row>
    <row r="2020" spans="1:61" x14ac:dyDescent="0.2">
      <c r="A2020">
        <v>1038</v>
      </c>
      <c r="B2020" t="s">
        <v>887</v>
      </c>
      <c r="C2020" t="str">
        <f t="shared" si="229"/>
        <v/>
      </c>
      <c r="D2020" t="str">
        <f t="shared" si="234"/>
        <v/>
      </c>
      <c r="H2020">
        <f t="shared" si="230"/>
        <v>2</v>
      </c>
      <c r="I2020" s="5" t="s">
        <v>900</v>
      </c>
      <c r="J2020" s="5" t="s">
        <v>713</v>
      </c>
      <c r="K2020" s="5" t="s">
        <v>900</v>
      </c>
      <c r="L2020" s="7" t="s">
        <v>790</v>
      </c>
      <c r="Q2020" t="s">
        <v>620</v>
      </c>
      <c r="R2020">
        <v>70</v>
      </c>
      <c r="S2020">
        <v>1</v>
      </c>
      <c r="T2020" t="str">
        <f t="shared" si="228"/>
        <v>e</v>
      </c>
      <c r="U2020" t="s">
        <v>15</v>
      </c>
      <c r="AF2020" t="s">
        <v>635</v>
      </c>
      <c r="AM2020" t="str">
        <f t="shared" si="231"/>
        <v>Possession</v>
      </c>
      <c r="AN2020" t="str">
        <f t="shared" si="232"/>
        <v/>
      </c>
      <c r="AP2020" t="str">
        <f t="shared" si="233"/>
        <v>Offensive</v>
      </c>
      <c r="BB2020" s="23"/>
      <c r="BD2020" s="21"/>
      <c r="BE2020" s="21"/>
      <c r="BF2020" s="21"/>
      <c r="BG2020" s="21"/>
      <c r="BH2020" s="21"/>
      <c r="BI2020" s="21"/>
    </row>
    <row r="2021" spans="1:61" x14ac:dyDescent="0.2">
      <c r="A2021">
        <v>1039</v>
      </c>
      <c r="B2021" t="s">
        <v>887</v>
      </c>
      <c r="C2021" t="str">
        <f t="shared" si="229"/>
        <v/>
      </c>
      <c r="D2021" t="str">
        <f t="shared" si="234"/>
        <v/>
      </c>
      <c r="H2021">
        <f t="shared" si="230"/>
        <v>2</v>
      </c>
      <c r="I2021" s="5" t="s">
        <v>900</v>
      </c>
      <c r="J2021" s="5" t="s">
        <v>790</v>
      </c>
      <c r="K2021" s="5" t="s">
        <v>900</v>
      </c>
      <c r="L2021" s="7" t="s">
        <v>811</v>
      </c>
      <c r="Q2021" t="s">
        <v>620</v>
      </c>
      <c r="R2021">
        <v>70</v>
      </c>
      <c r="S2021">
        <v>1</v>
      </c>
      <c r="T2021" t="str">
        <f t="shared" si="228"/>
        <v>e</v>
      </c>
      <c r="U2021" t="s">
        <v>257</v>
      </c>
      <c r="V2021" t="s">
        <v>191</v>
      </c>
      <c r="W2021" t="s">
        <v>87</v>
      </c>
      <c r="X2021" t="s">
        <v>706</v>
      </c>
      <c r="AF2021" t="s">
        <v>401</v>
      </c>
      <c r="AJ2021">
        <v>1</v>
      </c>
      <c r="AM2021" t="str">
        <f t="shared" si="231"/>
        <v>Zone_Entry_Exit</v>
      </c>
      <c r="AN2021" t="str">
        <f t="shared" si="232"/>
        <v>Zone_Entry</v>
      </c>
      <c r="AP2021" t="str">
        <f t="shared" si="233"/>
        <v>Offensive</v>
      </c>
      <c r="BB2021" s="23"/>
      <c r="BD2021" s="21"/>
      <c r="BE2021" s="21"/>
      <c r="BF2021" s="21"/>
      <c r="BG2021" s="21"/>
      <c r="BH2021" s="21"/>
      <c r="BI2021" s="21"/>
    </row>
    <row r="2022" spans="1:61" x14ac:dyDescent="0.2">
      <c r="A2022">
        <v>1039</v>
      </c>
      <c r="B2022" t="s">
        <v>887</v>
      </c>
      <c r="C2022" t="str">
        <f t="shared" si="229"/>
        <v/>
      </c>
      <c r="D2022" t="str">
        <f t="shared" si="234"/>
        <v/>
      </c>
      <c r="H2022">
        <f t="shared" si="230"/>
        <v>2</v>
      </c>
      <c r="R2022">
        <v>4</v>
      </c>
      <c r="T2022" t="str">
        <f t="shared" si="228"/>
        <v>o</v>
      </c>
      <c r="AJ2022">
        <v>1</v>
      </c>
      <c r="AM2022" t="str">
        <f t="shared" si="231"/>
        <v>Zone_Entry_Exit</v>
      </c>
      <c r="AN2022" t="str">
        <f t="shared" si="232"/>
        <v>Zone_Entry</v>
      </c>
      <c r="AP2022" t="str">
        <f t="shared" si="233"/>
        <v>Defensive</v>
      </c>
      <c r="BB2022" s="23"/>
      <c r="BD2022" s="21"/>
      <c r="BE2022" s="21"/>
      <c r="BF2022" s="21"/>
      <c r="BG2022" s="21"/>
      <c r="BH2022" s="21"/>
      <c r="BI2022" s="21"/>
    </row>
    <row r="2023" spans="1:61" x14ac:dyDescent="0.2">
      <c r="A2023">
        <v>1040</v>
      </c>
      <c r="B2023">
        <v>172</v>
      </c>
      <c r="C2023">
        <f t="shared" si="229"/>
        <v>9172</v>
      </c>
      <c r="D2023">
        <f t="shared" si="234"/>
        <v>9172</v>
      </c>
      <c r="H2023">
        <f t="shared" si="230"/>
        <v>2</v>
      </c>
      <c r="I2023" s="5" t="s">
        <v>900</v>
      </c>
      <c r="J2023" s="5" t="s">
        <v>811</v>
      </c>
      <c r="Q2023" t="s">
        <v>620</v>
      </c>
      <c r="R2023">
        <v>70</v>
      </c>
      <c r="S2023">
        <v>1</v>
      </c>
      <c r="T2023" t="str">
        <f t="shared" si="228"/>
        <v>e</v>
      </c>
      <c r="U2023" t="s">
        <v>7</v>
      </c>
      <c r="V2023" t="s">
        <v>198</v>
      </c>
      <c r="W2023" t="s">
        <v>53</v>
      </c>
      <c r="X2023" t="s">
        <v>705</v>
      </c>
      <c r="AF2023" t="s">
        <v>401</v>
      </c>
      <c r="AJ2023">
        <v>1</v>
      </c>
      <c r="AM2023" t="str">
        <f t="shared" si="231"/>
        <v>Shot</v>
      </c>
      <c r="AN2023" t="str">
        <f t="shared" si="232"/>
        <v>Shot_Missed</v>
      </c>
      <c r="AP2023" t="str">
        <f t="shared" si="233"/>
        <v>Offensive</v>
      </c>
      <c r="BB2023" s="23"/>
      <c r="BD2023" s="21"/>
      <c r="BE2023" s="21"/>
      <c r="BF2023" s="21"/>
      <c r="BG2023" s="21"/>
      <c r="BH2023" s="21"/>
      <c r="BI2023" s="21"/>
    </row>
    <row r="2024" spans="1:61" x14ac:dyDescent="0.2">
      <c r="A2024">
        <v>1040</v>
      </c>
      <c r="B2024">
        <v>172</v>
      </c>
      <c r="C2024">
        <f t="shared" si="229"/>
        <v>9172</v>
      </c>
      <c r="D2024">
        <f t="shared" si="234"/>
        <v>9172</v>
      </c>
      <c r="H2024">
        <f t="shared" si="230"/>
        <v>2</v>
      </c>
      <c r="R2024">
        <v>4</v>
      </c>
      <c r="T2024" t="str">
        <f t="shared" si="228"/>
        <v>o</v>
      </c>
      <c r="Y2024" t="s">
        <v>722</v>
      </c>
      <c r="AJ2024">
        <v>1</v>
      </c>
      <c r="AM2024" t="str">
        <f t="shared" si="231"/>
        <v>Shot</v>
      </c>
      <c r="AN2024" t="str">
        <f t="shared" si="232"/>
        <v>Shot_Missed</v>
      </c>
      <c r="AP2024" t="str">
        <f t="shared" si="233"/>
        <v>Defensive</v>
      </c>
      <c r="BB2024" s="23"/>
      <c r="BD2024" s="21"/>
      <c r="BE2024" s="21"/>
      <c r="BF2024" s="21"/>
      <c r="BG2024" s="21"/>
      <c r="BH2024" s="21"/>
      <c r="BI2024" s="21"/>
    </row>
    <row r="2025" spans="1:61" x14ac:dyDescent="0.2">
      <c r="A2025">
        <v>1041</v>
      </c>
      <c r="B2025">
        <v>172</v>
      </c>
      <c r="C2025">
        <f t="shared" si="229"/>
        <v>9172</v>
      </c>
      <c r="D2025">
        <f t="shared" si="234"/>
        <v>9172</v>
      </c>
      <c r="H2025">
        <f t="shared" si="230"/>
        <v>2</v>
      </c>
      <c r="I2025" s="5" t="s">
        <v>900</v>
      </c>
      <c r="J2025" s="5" t="s">
        <v>811</v>
      </c>
      <c r="Q2025" t="s">
        <v>620</v>
      </c>
      <c r="R2025">
        <v>70</v>
      </c>
      <c r="S2025">
        <v>1</v>
      </c>
      <c r="T2025" t="str">
        <f t="shared" si="228"/>
        <v>e</v>
      </c>
      <c r="U2025" t="s">
        <v>10</v>
      </c>
      <c r="V2025" t="s">
        <v>190</v>
      </c>
      <c r="W2025" t="s">
        <v>79</v>
      </c>
      <c r="AF2025" t="s">
        <v>401</v>
      </c>
      <c r="AJ2025">
        <v>1</v>
      </c>
      <c r="AM2025" t="str">
        <f t="shared" si="231"/>
        <v>Turnover</v>
      </c>
      <c r="AN2025" t="str">
        <f t="shared" si="232"/>
        <v>Turnover_Giveaway</v>
      </c>
      <c r="AP2025" t="str">
        <f t="shared" si="233"/>
        <v>Offensive</v>
      </c>
      <c r="BB2025" s="23"/>
      <c r="BD2025" s="21"/>
      <c r="BE2025" s="21"/>
      <c r="BF2025" s="21"/>
      <c r="BG2025" s="21"/>
      <c r="BH2025" s="21"/>
      <c r="BI2025" s="21"/>
    </row>
    <row r="2026" spans="1:61" x14ac:dyDescent="0.2">
      <c r="A2026">
        <v>1041</v>
      </c>
      <c r="B2026">
        <v>172</v>
      </c>
      <c r="C2026">
        <f t="shared" si="229"/>
        <v>9172</v>
      </c>
      <c r="D2026">
        <f t="shared" si="234"/>
        <v>9172</v>
      </c>
      <c r="H2026">
        <f t="shared" si="230"/>
        <v>2</v>
      </c>
      <c r="R2026">
        <v>4</v>
      </c>
      <c r="T2026" t="str">
        <f t="shared" si="228"/>
        <v>o</v>
      </c>
      <c r="Y2026" t="s">
        <v>722</v>
      </c>
      <c r="AJ2026">
        <v>1</v>
      </c>
      <c r="AM2026" t="str">
        <f t="shared" si="231"/>
        <v>Turnover</v>
      </c>
      <c r="AN2026" t="str">
        <f t="shared" si="232"/>
        <v>Turnover_Giveaway</v>
      </c>
      <c r="AP2026" t="str">
        <f t="shared" si="233"/>
        <v>Defensive</v>
      </c>
      <c r="BB2026" s="23"/>
      <c r="BD2026" s="21"/>
      <c r="BE2026" s="21"/>
      <c r="BF2026" s="21"/>
      <c r="BG2026" s="21"/>
      <c r="BH2026" s="21"/>
      <c r="BI2026" s="21"/>
    </row>
    <row r="2027" spans="1:61" x14ac:dyDescent="0.2">
      <c r="A2027">
        <v>1042</v>
      </c>
      <c r="B2027" t="s">
        <v>887</v>
      </c>
      <c r="C2027" t="str">
        <f t="shared" si="229"/>
        <v/>
      </c>
      <c r="D2027" t="str">
        <f t="shared" si="234"/>
        <v/>
      </c>
      <c r="H2027">
        <f t="shared" si="230"/>
        <v>2</v>
      </c>
      <c r="I2027" s="5" t="s">
        <v>900</v>
      </c>
      <c r="J2027" s="5" t="s">
        <v>778</v>
      </c>
      <c r="K2027" s="5" t="s">
        <v>900</v>
      </c>
      <c r="L2027" s="7" t="s">
        <v>779</v>
      </c>
      <c r="Q2027" t="s">
        <v>619</v>
      </c>
      <c r="R2027">
        <v>56</v>
      </c>
      <c r="S2027">
        <v>1</v>
      </c>
      <c r="T2027" t="str">
        <f t="shared" si="228"/>
        <v>e</v>
      </c>
      <c r="U2027" t="s">
        <v>15</v>
      </c>
      <c r="V2027" t="s">
        <v>697</v>
      </c>
      <c r="X2027" t="s">
        <v>705</v>
      </c>
      <c r="Y2027" t="s">
        <v>683</v>
      </c>
      <c r="AA2027" t="s">
        <v>705</v>
      </c>
      <c r="AF2027" t="s">
        <v>623</v>
      </c>
      <c r="AJ2027">
        <v>1</v>
      </c>
      <c r="AM2027" t="str">
        <f t="shared" si="231"/>
        <v>Possession</v>
      </c>
      <c r="AN2027" t="str">
        <f t="shared" si="232"/>
        <v>PuckRetrieval</v>
      </c>
      <c r="AP2027" t="str">
        <f t="shared" si="233"/>
        <v>Offensive</v>
      </c>
      <c r="BB2027" s="23"/>
      <c r="BD2027" s="21"/>
      <c r="BE2027" s="21"/>
      <c r="BF2027" s="21"/>
      <c r="BG2027" s="21"/>
      <c r="BH2027" s="21"/>
      <c r="BI2027" s="21"/>
    </row>
    <row r="2028" spans="1:61" x14ac:dyDescent="0.2">
      <c r="A2028">
        <v>1042</v>
      </c>
      <c r="B2028" t="s">
        <v>887</v>
      </c>
      <c r="C2028" t="str">
        <f t="shared" si="229"/>
        <v/>
      </c>
      <c r="D2028" t="str">
        <f t="shared" si="234"/>
        <v/>
      </c>
      <c r="H2028">
        <f t="shared" si="230"/>
        <v>2</v>
      </c>
      <c r="R2028">
        <v>70</v>
      </c>
      <c r="T2028" t="str">
        <f t="shared" si="228"/>
        <v>o</v>
      </c>
      <c r="AJ2028">
        <v>1</v>
      </c>
      <c r="AM2028" t="str">
        <f t="shared" si="231"/>
        <v>Possession</v>
      </c>
      <c r="AN2028" t="str">
        <f t="shared" si="232"/>
        <v>PuckRetrieval</v>
      </c>
      <c r="AP2028" t="str">
        <f t="shared" si="233"/>
        <v>Defensive</v>
      </c>
      <c r="BB2028" s="23"/>
      <c r="BD2028" s="21"/>
      <c r="BE2028" s="21"/>
      <c r="BF2028" s="21"/>
      <c r="BG2028" s="21"/>
      <c r="BH2028" s="21"/>
      <c r="BI2028" s="21"/>
    </row>
    <row r="2029" spans="1:61" x14ac:dyDescent="0.2">
      <c r="A2029">
        <v>1043</v>
      </c>
      <c r="B2029" t="s">
        <v>887</v>
      </c>
      <c r="C2029" t="str">
        <f t="shared" si="229"/>
        <v/>
      </c>
      <c r="D2029" t="str">
        <f t="shared" si="234"/>
        <v/>
      </c>
      <c r="H2029">
        <f t="shared" si="230"/>
        <v>2</v>
      </c>
      <c r="I2029" s="5" t="s">
        <v>900</v>
      </c>
      <c r="J2029" s="5" t="s">
        <v>779</v>
      </c>
      <c r="Q2029" t="s">
        <v>619</v>
      </c>
      <c r="R2029">
        <v>56</v>
      </c>
      <c r="S2029">
        <v>1</v>
      </c>
      <c r="T2029" t="str">
        <f t="shared" si="228"/>
        <v>e</v>
      </c>
      <c r="U2029" t="s">
        <v>247</v>
      </c>
      <c r="V2029" t="s">
        <v>422</v>
      </c>
      <c r="W2029" t="s">
        <v>483</v>
      </c>
      <c r="X2029" t="s">
        <v>705</v>
      </c>
      <c r="Y2029" t="s">
        <v>746</v>
      </c>
      <c r="AA2029" t="s">
        <v>705</v>
      </c>
      <c r="AF2029" t="s">
        <v>623</v>
      </c>
      <c r="AJ2029">
        <v>1</v>
      </c>
      <c r="AM2029" t="str">
        <f t="shared" si="231"/>
        <v>Play</v>
      </c>
      <c r="AN2029" t="str">
        <f t="shared" si="232"/>
        <v>Play_Defensive</v>
      </c>
      <c r="AP2029" t="str">
        <f t="shared" si="233"/>
        <v>Defensive</v>
      </c>
      <c r="BB2029" s="23"/>
      <c r="BD2029" s="21"/>
      <c r="BE2029" s="21"/>
      <c r="BF2029" s="21"/>
      <c r="BG2029" s="21"/>
      <c r="BH2029" s="21"/>
      <c r="BI2029" s="21"/>
    </row>
    <row r="2030" spans="1:61" x14ac:dyDescent="0.2">
      <c r="A2030">
        <v>1043</v>
      </c>
      <c r="B2030" t="s">
        <v>887</v>
      </c>
      <c r="C2030" t="str">
        <f t="shared" si="229"/>
        <v/>
      </c>
      <c r="D2030" t="str">
        <f t="shared" si="234"/>
        <v/>
      </c>
      <c r="H2030">
        <f t="shared" si="230"/>
        <v>2</v>
      </c>
      <c r="R2030">
        <v>70</v>
      </c>
      <c r="T2030" t="str">
        <f t="shared" si="228"/>
        <v>o</v>
      </c>
      <c r="AJ2030">
        <v>1</v>
      </c>
      <c r="AM2030" t="str">
        <f t="shared" si="231"/>
        <v>Play</v>
      </c>
      <c r="AN2030" t="str">
        <f t="shared" si="232"/>
        <v>Play_Defensive</v>
      </c>
      <c r="AP2030" t="str">
        <f t="shared" si="233"/>
        <v>Offensive</v>
      </c>
      <c r="BB2030" s="23"/>
      <c r="BD2030" s="21"/>
      <c r="BE2030" s="21"/>
      <c r="BF2030" s="21"/>
      <c r="BG2030" s="21"/>
      <c r="BH2030" s="21"/>
      <c r="BI2030" s="21"/>
    </row>
    <row r="2031" spans="1:61" x14ac:dyDescent="0.2">
      <c r="A2031">
        <v>1044</v>
      </c>
      <c r="B2031" t="s">
        <v>887</v>
      </c>
      <c r="C2031" t="str">
        <f t="shared" si="229"/>
        <v/>
      </c>
      <c r="D2031" t="str">
        <f t="shared" si="234"/>
        <v/>
      </c>
      <c r="H2031">
        <f t="shared" si="230"/>
        <v>2</v>
      </c>
      <c r="I2031" s="5" t="s">
        <v>900</v>
      </c>
      <c r="J2031" s="5" t="s">
        <v>726</v>
      </c>
      <c r="Q2031" t="s">
        <v>619</v>
      </c>
      <c r="R2031">
        <v>25</v>
      </c>
      <c r="S2031">
        <v>1</v>
      </c>
      <c r="T2031" t="str">
        <f t="shared" si="228"/>
        <v>e</v>
      </c>
      <c r="U2031" t="s">
        <v>15</v>
      </c>
      <c r="V2031" t="s">
        <v>698</v>
      </c>
      <c r="X2031" t="s">
        <v>705</v>
      </c>
      <c r="Y2031" t="s">
        <v>858</v>
      </c>
      <c r="AA2031" t="s">
        <v>705</v>
      </c>
      <c r="AF2031" t="s">
        <v>623</v>
      </c>
      <c r="AJ2031">
        <v>1</v>
      </c>
      <c r="AM2031" t="str">
        <f t="shared" si="231"/>
        <v>Possession</v>
      </c>
      <c r="AN2031" t="str">
        <f t="shared" si="232"/>
        <v>PuckRecovery</v>
      </c>
      <c r="AP2031" t="str">
        <f t="shared" si="233"/>
        <v>Offensive</v>
      </c>
      <c r="BB2031" s="23"/>
      <c r="BD2031" s="21"/>
      <c r="BE2031" s="21"/>
      <c r="BF2031" s="21"/>
      <c r="BG2031" s="21"/>
      <c r="BH2031" s="21"/>
      <c r="BI2031" s="21"/>
    </row>
    <row r="2032" spans="1:61" x14ac:dyDescent="0.2">
      <c r="A2032">
        <v>1044</v>
      </c>
      <c r="B2032" t="s">
        <v>887</v>
      </c>
      <c r="C2032" t="str">
        <f t="shared" si="229"/>
        <v/>
      </c>
      <c r="D2032" t="str">
        <f t="shared" si="234"/>
        <v/>
      </c>
      <c r="H2032">
        <f t="shared" si="230"/>
        <v>2</v>
      </c>
      <c r="R2032">
        <v>3</v>
      </c>
      <c r="S2032">
        <v>1</v>
      </c>
      <c r="T2032" t="str">
        <f t="shared" si="228"/>
        <v>e</v>
      </c>
      <c r="Y2032" t="s">
        <v>858</v>
      </c>
      <c r="AA2032" t="s">
        <v>705</v>
      </c>
      <c r="AJ2032">
        <v>1</v>
      </c>
      <c r="AM2032" t="str">
        <f t="shared" si="231"/>
        <v>Possession</v>
      </c>
      <c r="AN2032" t="str">
        <f t="shared" si="232"/>
        <v>PuckRecovery</v>
      </c>
      <c r="AP2032" t="str">
        <f t="shared" si="233"/>
        <v>Offensive</v>
      </c>
      <c r="BB2032" s="23"/>
      <c r="BD2032" s="21"/>
      <c r="BE2032" s="21"/>
      <c r="BF2032" s="21"/>
      <c r="BG2032" s="21"/>
      <c r="BH2032" s="21"/>
      <c r="BI2032" s="21"/>
    </row>
    <row r="2033" spans="1:61" x14ac:dyDescent="0.2">
      <c r="A2033">
        <v>1044</v>
      </c>
      <c r="B2033" t="s">
        <v>887</v>
      </c>
      <c r="C2033" t="str">
        <f t="shared" si="229"/>
        <v/>
      </c>
      <c r="D2033" t="str">
        <f t="shared" si="234"/>
        <v/>
      </c>
      <c r="H2033">
        <f t="shared" si="230"/>
        <v>2</v>
      </c>
      <c r="R2033">
        <v>14</v>
      </c>
      <c r="T2033" t="str">
        <f t="shared" si="228"/>
        <v>o</v>
      </c>
      <c r="Y2033" t="s">
        <v>845</v>
      </c>
      <c r="AA2033" t="s">
        <v>705</v>
      </c>
      <c r="AJ2033">
        <v>1</v>
      </c>
      <c r="AM2033" t="str">
        <f t="shared" si="231"/>
        <v>Possession</v>
      </c>
      <c r="AN2033" t="str">
        <f t="shared" si="232"/>
        <v>PuckRecovery</v>
      </c>
      <c r="AP2033" t="str">
        <f t="shared" si="233"/>
        <v>Defensive</v>
      </c>
      <c r="BB2033" s="23"/>
      <c r="BD2033" s="21"/>
      <c r="BE2033" s="21"/>
      <c r="BF2033" s="21"/>
      <c r="BG2033" s="21"/>
      <c r="BH2033" s="21"/>
      <c r="BI2033" s="21"/>
    </row>
    <row r="2034" spans="1:61" x14ac:dyDescent="0.2">
      <c r="A2034">
        <v>1045</v>
      </c>
      <c r="B2034" t="s">
        <v>887</v>
      </c>
      <c r="C2034" t="str">
        <f t="shared" si="229"/>
        <v/>
      </c>
      <c r="D2034" t="str">
        <f t="shared" si="234"/>
        <v/>
      </c>
      <c r="H2034">
        <f t="shared" si="230"/>
        <v>2</v>
      </c>
      <c r="I2034" s="5" t="s">
        <v>900</v>
      </c>
      <c r="J2034" s="5" t="s">
        <v>780</v>
      </c>
      <c r="Q2034" t="s">
        <v>619</v>
      </c>
      <c r="R2034">
        <v>25</v>
      </c>
      <c r="S2034">
        <v>1</v>
      </c>
      <c r="T2034" t="str">
        <f t="shared" si="228"/>
        <v>e</v>
      </c>
      <c r="U2034" t="s">
        <v>247</v>
      </c>
      <c r="V2034" t="s">
        <v>422</v>
      </c>
      <c r="W2034" t="s">
        <v>483</v>
      </c>
      <c r="X2034" t="s">
        <v>705</v>
      </c>
      <c r="Y2034" t="s">
        <v>746</v>
      </c>
      <c r="AA2034" t="s">
        <v>705</v>
      </c>
      <c r="AF2034" t="s">
        <v>623</v>
      </c>
      <c r="AM2034" t="str">
        <f t="shared" si="231"/>
        <v>Play</v>
      </c>
      <c r="AN2034" t="str">
        <f t="shared" si="232"/>
        <v>Play_Defensive</v>
      </c>
      <c r="AP2034" t="str">
        <f t="shared" si="233"/>
        <v>Defensive</v>
      </c>
      <c r="BB2034" s="23"/>
      <c r="BD2034" s="21"/>
      <c r="BE2034" s="21"/>
      <c r="BF2034" s="21"/>
      <c r="BG2034" s="21"/>
      <c r="BH2034" s="21"/>
      <c r="BI2034" s="21"/>
    </row>
    <row r="2035" spans="1:61" x14ac:dyDescent="0.2">
      <c r="A2035">
        <v>1046</v>
      </c>
      <c r="B2035" t="s">
        <v>887</v>
      </c>
      <c r="C2035" t="str">
        <f t="shared" si="229"/>
        <v/>
      </c>
      <c r="D2035" t="str">
        <f t="shared" si="234"/>
        <v/>
      </c>
      <c r="H2035">
        <f t="shared" si="230"/>
        <v>2</v>
      </c>
      <c r="I2035" s="5" t="s">
        <v>900</v>
      </c>
      <c r="J2035" s="5" t="s">
        <v>727</v>
      </c>
      <c r="K2035" s="5" t="s">
        <v>900</v>
      </c>
      <c r="L2035" s="7" t="s">
        <v>730</v>
      </c>
      <c r="Q2035" t="s">
        <v>619</v>
      </c>
      <c r="R2035">
        <v>4</v>
      </c>
      <c r="S2035">
        <v>1</v>
      </c>
      <c r="T2035" t="str">
        <f t="shared" si="228"/>
        <v>e</v>
      </c>
      <c r="U2035" t="s">
        <v>15</v>
      </c>
      <c r="V2035" t="s">
        <v>698</v>
      </c>
      <c r="X2035" t="s">
        <v>705</v>
      </c>
      <c r="Y2035" t="s">
        <v>858</v>
      </c>
      <c r="AA2035" t="s">
        <v>705</v>
      </c>
      <c r="AF2035" t="s">
        <v>623</v>
      </c>
      <c r="AM2035" t="str">
        <f t="shared" si="231"/>
        <v>Possession</v>
      </c>
      <c r="AN2035" t="str">
        <f t="shared" si="232"/>
        <v>PuckRecovery</v>
      </c>
      <c r="AP2035" t="str">
        <f t="shared" si="233"/>
        <v>Offensive</v>
      </c>
      <c r="BB2035" s="23"/>
      <c r="BD2035" s="21"/>
      <c r="BE2035" s="21"/>
      <c r="BF2035" s="21"/>
      <c r="BG2035" s="21"/>
      <c r="BH2035" s="21"/>
      <c r="BI2035" s="21"/>
    </row>
    <row r="2036" spans="1:61" x14ac:dyDescent="0.2">
      <c r="A2036">
        <v>1047</v>
      </c>
      <c r="B2036">
        <v>173</v>
      </c>
      <c r="C2036">
        <f t="shared" si="229"/>
        <v>9173</v>
      </c>
      <c r="D2036">
        <f t="shared" si="234"/>
        <v>9173</v>
      </c>
      <c r="H2036">
        <f t="shared" si="230"/>
        <v>2</v>
      </c>
      <c r="I2036" s="5" t="s">
        <v>900</v>
      </c>
      <c r="J2036" s="5" t="s">
        <v>730</v>
      </c>
      <c r="Q2036" t="s">
        <v>619</v>
      </c>
      <c r="R2036">
        <v>4</v>
      </c>
      <c r="S2036">
        <v>1</v>
      </c>
      <c r="T2036" t="str">
        <f t="shared" si="228"/>
        <v>e</v>
      </c>
      <c r="U2036" t="s">
        <v>257</v>
      </c>
      <c r="V2036" t="s">
        <v>201</v>
      </c>
      <c r="W2036" t="s">
        <v>92</v>
      </c>
      <c r="X2036" t="s">
        <v>705</v>
      </c>
      <c r="Y2036" t="s">
        <v>678</v>
      </c>
      <c r="AA2036" t="s">
        <v>705</v>
      </c>
      <c r="AF2036" t="s">
        <v>623</v>
      </c>
      <c r="AM2036" t="str">
        <f t="shared" si="231"/>
        <v>Zone_Entry_Exit</v>
      </c>
      <c r="AN2036" t="str">
        <f t="shared" si="232"/>
        <v>Zone_Exit</v>
      </c>
      <c r="AP2036" t="str">
        <f t="shared" si="233"/>
        <v>Offensive</v>
      </c>
      <c r="BB2036" s="23"/>
      <c r="BD2036" s="21"/>
      <c r="BE2036" s="21"/>
      <c r="BF2036" s="21"/>
      <c r="BG2036" s="21"/>
      <c r="BH2036" s="21"/>
      <c r="BI2036" s="21"/>
    </row>
    <row r="2037" spans="1:61" x14ac:dyDescent="0.2">
      <c r="A2037">
        <v>1048</v>
      </c>
      <c r="B2037">
        <v>173</v>
      </c>
      <c r="C2037">
        <f t="shared" si="229"/>
        <v>9173</v>
      </c>
      <c r="D2037">
        <f t="shared" si="234"/>
        <v>9173</v>
      </c>
      <c r="H2037">
        <f t="shared" si="230"/>
        <v>2</v>
      </c>
      <c r="I2037" s="5" t="s">
        <v>900</v>
      </c>
      <c r="J2037" s="5" t="s">
        <v>730</v>
      </c>
      <c r="Q2037" t="s">
        <v>619</v>
      </c>
      <c r="R2037">
        <v>4</v>
      </c>
      <c r="S2037">
        <v>1</v>
      </c>
      <c r="T2037" t="str">
        <f t="shared" si="228"/>
        <v>e</v>
      </c>
      <c r="U2037" t="s">
        <v>10</v>
      </c>
      <c r="V2037" t="s">
        <v>190</v>
      </c>
      <c r="W2037" t="s">
        <v>387</v>
      </c>
      <c r="AF2037" t="s">
        <v>623</v>
      </c>
      <c r="AM2037" t="str">
        <f t="shared" si="231"/>
        <v>Turnover</v>
      </c>
      <c r="AN2037" t="str">
        <f t="shared" si="232"/>
        <v>Turnover_Giveaway</v>
      </c>
      <c r="AP2037" t="str">
        <f t="shared" si="233"/>
        <v>Offensive</v>
      </c>
      <c r="BB2037" s="23"/>
      <c r="BD2037" s="21"/>
      <c r="BE2037" s="21"/>
      <c r="BF2037" s="21"/>
      <c r="BG2037" s="21"/>
      <c r="BH2037" s="21"/>
      <c r="BI2037" s="21"/>
    </row>
    <row r="2038" spans="1:61" x14ac:dyDescent="0.2">
      <c r="A2038">
        <v>1049</v>
      </c>
      <c r="B2038" t="s">
        <v>887</v>
      </c>
      <c r="C2038" t="str">
        <f t="shared" si="229"/>
        <v/>
      </c>
      <c r="D2038" t="str">
        <f t="shared" si="234"/>
        <v/>
      </c>
      <c r="H2038">
        <f t="shared" si="230"/>
        <v>2</v>
      </c>
      <c r="K2038" s="5" t="s">
        <v>900</v>
      </c>
      <c r="L2038" s="7" t="s">
        <v>732</v>
      </c>
      <c r="Q2038" t="s">
        <v>620</v>
      </c>
      <c r="R2038">
        <v>9</v>
      </c>
      <c r="S2038">
        <v>1</v>
      </c>
      <c r="T2038" t="str">
        <f t="shared" si="228"/>
        <v>e</v>
      </c>
      <c r="U2038" t="s">
        <v>15</v>
      </c>
      <c r="V2038" t="s">
        <v>697</v>
      </c>
      <c r="X2038" t="s">
        <v>705</v>
      </c>
      <c r="Y2038" t="s">
        <v>720</v>
      </c>
      <c r="AA2038" t="s">
        <v>705</v>
      </c>
      <c r="AF2038" t="s">
        <v>635</v>
      </c>
      <c r="AM2038" t="str">
        <f t="shared" si="231"/>
        <v>Possession</v>
      </c>
      <c r="AN2038" t="str">
        <f t="shared" si="232"/>
        <v>PuckRetrieval</v>
      </c>
      <c r="AP2038" t="str">
        <f t="shared" si="233"/>
        <v>Offensive</v>
      </c>
      <c r="BB2038" s="23"/>
      <c r="BD2038" s="21"/>
      <c r="BE2038" s="21"/>
      <c r="BF2038" s="21"/>
      <c r="BG2038" s="21"/>
      <c r="BH2038" s="21"/>
      <c r="BI2038" s="21"/>
    </row>
    <row r="2039" spans="1:61" x14ac:dyDescent="0.2">
      <c r="A2039">
        <v>1050</v>
      </c>
      <c r="B2039">
        <v>174</v>
      </c>
      <c r="C2039">
        <f t="shared" si="229"/>
        <v>9174</v>
      </c>
      <c r="D2039">
        <f t="shared" si="234"/>
        <v>9174</v>
      </c>
      <c r="H2039">
        <f t="shared" si="230"/>
        <v>2</v>
      </c>
      <c r="I2039" s="5" t="s">
        <v>900</v>
      </c>
      <c r="J2039" s="5" t="s">
        <v>732</v>
      </c>
      <c r="Q2039" t="s">
        <v>620</v>
      </c>
      <c r="R2039">
        <v>9</v>
      </c>
      <c r="S2039">
        <v>1</v>
      </c>
      <c r="T2039" t="str">
        <f t="shared" si="228"/>
        <v>e</v>
      </c>
      <c r="U2039" t="s">
        <v>8</v>
      </c>
      <c r="V2039" t="s">
        <v>199</v>
      </c>
      <c r="W2039" t="s">
        <v>67</v>
      </c>
      <c r="X2039" t="s">
        <v>705</v>
      </c>
      <c r="AF2039" t="s">
        <v>635</v>
      </c>
      <c r="AM2039" t="str">
        <f t="shared" si="231"/>
        <v>Pass</v>
      </c>
      <c r="AN2039" t="str">
        <f t="shared" si="232"/>
        <v>Pass_Missed</v>
      </c>
      <c r="AP2039" t="str">
        <f t="shared" si="233"/>
        <v>Offensive</v>
      </c>
      <c r="BB2039" s="23"/>
      <c r="BD2039" s="21"/>
      <c r="BE2039" s="21"/>
      <c r="BF2039" s="21"/>
      <c r="BG2039" s="21"/>
      <c r="BH2039" s="21"/>
      <c r="BI2039" s="21"/>
    </row>
    <row r="2040" spans="1:61" x14ac:dyDescent="0.2">
      <c r="A2040">
        <v>1050</v>
      </c>
      <c r="B2040">
        <v>174</v>
      </c>
      <c r="C2040">
        <f t="shared" si="229"/>
        <v>9174</v>
      </c>
      <c r="D2040">
        <f t="shared" si="234"/>
        <v>9174</v>
      </c>
      <c r="H2040">
        <f t="shared" si="230"/>
        <v>2</v>
      </c>
      <c r="R2040">
        <v>70</v>
      </c>
      <c r="S2040">
        <v>1</v>
      </c>
      <c r="T2040" t="str">
        <f t="shared" si="228"/>
        <v>e</v>
      </c>
      <c r="AM2040" t="str">
        <f t="shared" si="231"/>
        <v>Pass</v>
      </c>
      <c r="AN2040" t="str">
        <f t="shared" si="232"/>
        <v>Pass_Missed</v>
      </c>
      <c r="AP2040" t="str">
        <f t="shared" si="233"/>
        <v>Offensive</v>
      </c>
      <c r="BB2040" s="23"/>
      <c r="BD2040" s="21"/>
      <c r="BE2040" s="21"/>
      <c r="BF2040" s="21"/>
      <c r="BG2040" s="21"/>
      <c r="BH2040" s="21"/>
      <c r="BI2040" s="21"/>
    </row>
    <row r="2041" spans="1:61" x14ac:dyDescent="0.2">
      <c r="A2041">
        <v>1051</v>
      </c>
      <c r="B2041">
        <v>174</v>
      </c>
      <c r="C2041">
        <f t="shared" si="229"/>
        <v>9174</v>
      </c>
      <c r="D2041">
        <f t="shared" si="234"/>
        <v>9174</v>
      </c>
      <c r="H2041">
        <f t="shared" si="230"/>
        <v>2</v>
      </c>
      <c r="I2041" s="5" t="s">
        <v>900</v>
      </c>
      <c r="J2041" s="5" t="s">
        <v>732</v>
      </c>
      <c r="Q2041" t="s">
        <v>620</v>
      </c>
      <c r="R2041">
        <v>9</v>
      </c>
      <c r="S2041">
        <v>1</v>
      </c>
      <c r="T2041" t="str">
        <f t="shared" si="228"/>
        <v>e</v>
      </c>
      <c r="U2041" t="s">
        <v>10</v>
      </c>
      <c r="V2041" t="s">
        <v>190</v>
      </c>
      <c r="W2041" t="s">
        <v>76</v>
      </c>
      <c r="X2041" t="s">
        <v>705</v>
      </c>
      <c r="AF2041" t="s">
        <v>635</v>
      </c>
      <c r="AM2041" t="str">
        <f t="shared" si="231"/>
        <v>Turnover</v>
      </c>
      <c r="AN2041" t="str">
        <f t="shared" si="232"/>
        <v>Turnover_Giveaway</v>
      </c>
      <c r="AP2041" t="str">
        <f t="shared" si="233"/>
        <v>Offensive</v>
      </c>
      <c r="BB2041" s="23"/>
      <c r="BD2041" s="21"/>
      <c r="BE2041" s="21"/>
      <c r="BF2041" s="21"/>
      <c r="BG2041" s="21"/>
      <c r="BH2041" s="21"/>
      <c r="BI2041" s="21"/>
    </row>
    <row r="2042" spans="1:61" x14ac:dyDescent="0.2">
      <c r="A2042">
        <v>1051</v>
      </c>
      <c r="B2042">
        <v>174</v>
      </c>
      <c r="C2042">
        <f t="shared" si="229"/>
        <v>9174</v>
      </c>
      <c r="D2042">
        <f t="shared" si="234"/>
        <v>9174</v>
      </c>
      <c r="H2042">
        <f t="shared" si="230"/>
        <v>2</v>
      </c>
      <c r="R2042">
        <v>70</v>
      </c>
      <c r="S2042">
        <v>1</v>
      </c>
      <c r="T2042" t="str">
        <f t="shared" si="228"/>
        <v>e</v>
      </c>
      <c r="AM2042" t="str">
        <f t="shared" si="231"/>
        <v>Turnover</v>
      </c>
      <c r="AN2042" t="str">
        <f t="shared" si="232"/>
        <v>Turnover_Giveaway</v>
      </c>
      <c r="AP2042" t="str">
        <f t="shared" si="233"/>
        <v>Offensive</v>
      </c>
      <c r="BB2042" s="23"/>
      <c r="BD2042" s="21"/>
      <c r="BE2042" s="21"/>
      <c r="BF2042" s="21"/>
      <c r="BG2042" s="21"/>
      <c r="BH2042" s="21"/>
      <c r="BI2042" s="21"/>
    </row>
    <row r="2043" spans="1:61" x14ac:dyDescent="0.2">
      <c r="A2043">
        <v>1052</v>
      </c>
      <c r="B2043" t="s">
        <v>887</v>
      </c>
      <c r="C2043" t="str">
        <f t="shared" si="229"/>
        <v/>
      </c>
      <c r="D2043" t="str">
        <f t="shared" si="234"/>
        <v/>
      </c>
      <c r="H2043">
        <f t="shared" si="230"/>
        <v>2</v>
      </c>
      <c r="I2043" s="5" t="s">
        <v>900</v>
      </c>
      <c r="J2043" s="5" t="s">
        <v>768</v>
      </c>
      <c r="Q2043" t="s">
        <v>619</v>
      </c>
      <c r="R2043">
        <v>25</v>
      </c>
      <c r="S2043">
        <v>1</v>
      </c>
      <c r="T2043" t="str">
        <f t="shared" si="228"/>
        <v>e</v>
      </c>
      <c r="U2043" t="s">
        <v>15</v>
      </c>
      <c r="V2043" t="s">
        <v>697</v>
      </c>
      <c r="X2043" t="s">
        <v>705</v>
      </c>
      <c r="Y2043" t="s">
        <v>725</v>
      </c>
      <c r="AA2043" t="s">
        <v>705</v>
      </c>
      <c r="AF2043" t="s">
        <v>635</v>
      </c>
      <c r="AM2043" t="str">
        <f t="shared" si="231"/>
        <v>Possession</v>
      </c>
      <c r="AN2043" t="str">
        <f t="shared" si="232"/>
        <v>PuckRetrieval</v>
      </c>
      <c r="AP2043" t="str">
        <f t="shared" si="233"/>
        <v>Offensive</v>
      </c>
      <c r="BB2043" s="23"/>
      <c r="BD2043" s="21"/>
      <c r="BE2043" s="21"/>
      <c r="BF2043" s="21"/>
      <c r="BG2043" s="21"/>
      <c r="BH2043" s="21"/>
      <c r="BI2043" s="21"/>
    </row>
    <row r="2044" spans="1:61" x14ac:dyDescent="0.2">
      <c r="A2044">
        <v>1053</v>
      </c>
      <c r="C2044" t="str">
        <f t="shared" si="229"/>
        <v/>
      </c>
      <c r="D2044">
        <f t="shared" si="234"/>
        <v>0</v>
      </c>
      <c r="H2044">
        <f t="shared" si="230"/>
        <v>2</v>
      </c>
      <c r="I2044" s="5" t="s">
        <v>900</v>
      </c>
      <c r="J2044" s="5" t="s">
        <v>768</v>
      </c>
      <c r="Q2044" t="s">
        <v>619</v>
      </c>
      <c r="R2044">
        <v>25</v>
      </c>
      <c r="S2044">
        <v>1</v>
      </c>
      <c r="T2044" t="str">
        <f t="shared" si="228"/>
        <v>e</v>
      </c>
      <c r="U2044" t="s">
        <v>8</v>
      </c>
      <c r="V2044" t="s">
        <v>199</v>
      </c>
      <c r="W2044" t="s">
        <v>70</v>
      </c>
      <c r="X2044" t="s">
        <v>705</v>
      </c>
      <c r="AF2044" t="s">
        <v>635</v>
      </c>
      <c r="AM2044" t="str">
        <f t="shared" si="231"/>
        <v>Pass</v>
      </c>
      <c r="AN2044" t="str">
        <f t="shared" si="232"/>
        <v>Pass_Missed</v>
      </c>
      <c r="AP2044" t="str">
        <f t="shared" si="233"/>
        <v>Offensive</v>
      </c>
      <c r="BB2044" s="23"/>
      <c r="BD2044" s="21"/>
      <c r="BE2044" s="21"/>
      <c r="BF2044" s="21"/>
      <c r="BG2044" s="21"/>
      <c r="BH2044" s="21"/>
      <c r="BI2044" s="21"/>
    </row>
    <row r="2045" spans="1:61" x14ac:dyDescent="0.2">
      <c r="A2045">
        <v>1054</v>
      </c>
      <c r="C2045" t="str">
        <f t="shared" si="229"/>
        <v/>
      </c>
      <c r="D2045">
        <f t="shared" si="234"/>
        <v>0</v>
      </c>
      <c r="H2045">
        <f t="shared" si="230"/>
        <v>2</v>
      </c>
      <c r="I2045" s="5" t="s">
        <v>900</v>
      </c>
      <c r="J2045" s="5" t="s">
        <v>447</v>
      </c>
      <c r="K2045" s="5" t="s">
        <v>900</v>
      </c>
      <c r="L2045" s="7" t="s">
        <v>738</v>
      </c>
      <c r="Q2045" t="s">
        <v>619</v>
      </c>
      <c r="R2045">
        <v>4</v>
      </c>
      <c r="S2045">
        <v>1</v>
      </c>
      <c r="T2045" t="str">
        <f t="shared" si="228"/>
        <v>e</v>
      </c>
      <c r="U2045" t="s">
        <v>15</v>
      </c>
      <c r="V2045" t="s">
        <v>698</v>
      </c>
      <c r="X2045" t="s">
        <v>705</v>
      </c>
      <c r="Y2045" t="s">
        <v>752</v>
      </c>
      <c r="AA2045" t="s">
        <v>705</v>
      </c>
      <c r="AF2045" t="s">
        <v>635</v>
      </c>
      <c r="AM2045" t="str">
        <f t="shared" si="231"/>
        <v>Possession</v>
      </c>
      <c r="AN2045" t="str">
        <f t="shared" si="232"/>
        <v>PuckRecovery</v>
      </c>
      <c r="AP2045" t="str">
        <f t="shared" si="233"/>
        <v>Offensive</v>
      </c>
      <c r="BB2045" s="23"/>
      <c r="BD2045" s="21"/>
      <c r="BE2045" s="21"/>
      <c r="BF2045" s="21"/>
      <c r="BG2045" s="21"/>
      <c r="BH2045" s="21"/>
      <c r="BI2045" s="21"/>
    </row>
    <row r="2046" spans="1:61" x14ac:dyDescent="0.2">
      <c r="A2046">
        <v>1055</v>
      </c>
      <c r="B2046">
        <v>175</v>
      </c>
      <c r="C2046">
        <f t="shared" si="229"/>
        <v>9175</v>
      </c>
      <c r="D2046">
        <f t="shared" si="234"/>
        <v>9175</v>
      </c>
      <c r="H2046">
        <f t="shared" si="230"/>
        <v>2</v>
      </c>
      <c r="I2046" s="5" t="s">
        <v>900</v>
      </c>
      <c r="J2046" s="5" t="s">
        <v>738</v>
      </c>
      <c r="Q2046" t="s">
        <v>619</v>
      </c>
      <c r="R2046">
        <v>4</v>
      </c>
      <c r="S2046">
        <v>1</v>
      </c>
      <c r="T2046" t="str">
        <f t="shared" si="228"/>
        <v>e</v>
      </c>
      <c r="U2046" t="s">
        <v>8</v>
      </c>
      <c r="V2046" t="s">
        <v>216</v>
      </c>
      <c r="W2046" t="s">
        <v>67</v>
      </c>
      <c r="X2046" t="s">
        <v>705</v>
      </c>
      <c r="AF2046" t="s">
        <v>635</v>
      </c>
      <c r="AM2046" t="str">
        <f t="shared" si="231"/>
        <v>Pass</v>
      </c>
      <c r="AN2046" t="str">
        <f t="shared" si="232"/>
        <v>Pass_Intercepted</v>
      </c>
      <c r="AP2046" t="str">
        <f t="shared" si="233"/>
        <v>Offensive</v>
      </c>
      <c r="BB2046" s="23"/>
      <c r="BD2046" s="21"/>
      <c r="BE2046" s="21"/>
      <c r="BF2046" s="21"/>
      <c r="BG2046" s="21"/>
      <c r="BH2046" s="21"/>
      <c r="BI2046" s="21"/>
    </row>
    <row r="2047" spans="1:61" x14ac:dyDescent="0.2">
      <c r="A2047">
        <v>1055</v>
      </c>
      <c r="B2047">
        <v>175</v>
      </c>
      <c r="C2047">
        <f t="shared" si="229"/>
        <v>9175</v>
      </c>
      <c r="D2047">
        <f t="shared" si="234"/>
        <v>9175</v>
      </c>
      <c r="H2047">
        <f t="shared" si="230"/>
        <v>2</v>
      </c>
      <c r="R2047">
        <v>12</v>
      </c>
      <c r="S2047">
        <v>1</v>
      </c>
      <c r="T2047" t="str">
        <f t="shared" si="228"/>
        <v>e</v>
      </c>
      <c r="AM2047" t="str">
        <f t="shared" si="231"/>
        <v>Pass</v>
      </c>
      <c r="AN2047" t="str">
        <f t="shared" si="232"/>
        <v>Pass_Intercepted</v>
      </c>
      <c r="AP2047" t="str">
        <f t="shared" si="233"/>
        <v>Offensive</v>
      </c>
      <c r="BB2047" s="23"/>
      <c r="BD2047" s="21"/>
      <c r="BE2047" s="21"/>
      <c r="BF2047" s="21"/>
      <c r="BG2047" s="21"/>
      <c r="BH2047" s="21"/>
      <c r="BI2047" s="21"/>
    </row>
    <row r="2048" spans="1:61" x14ac:dyDescent="0.2">
      <c r="A2048">
        <v>1055</v>
      </c>
      <c r="B2048">
        <v>175</v>
      </c>
      <c r="C2048">
        <f t="shared" si="229"/>
        <v>9175</v>
      </c>
      <c r="D2048">
        <f t="shared" si="234"/>
        <v>9175</v>
      </c>
      <c r="H2048">
        <f t="shared" si="230"/>
        <v>2</v>
      </c>
      <c r="R2048">
        <v>61</v>
      </c>
      <c r="T2048" t="str">
        <f t="shared" si="228"/>
        <v>o</v>
      </c>
      <c r="Y2048" t="s">
        <v>723</v>
      </c>
      <c r="AM2048" t="str">
        <f t="shared" si="231"/>
        <v>Pass</v>
      </c>
      <c r="AN2048" t="str">
        <f t="shared" si="232"/>
        <v>Pass_Intercepted</v>
      </c>
      <c r="AP2048" t="str">
        <f t="shared" si="233"/>
        <v>Defensive</v>
      </c>
      <c r="BB2048" s="23"/>
      <c r="BD2048" s="21"/>
      <c r="BE2048" s="21"/>
      <c r="BF2048" s="21"/>
      <c r="BG2048" s="21"/>
      <c r="BH2048" s="21"/>
      <c r="BI2048" s="21"/>
    </row>
    <row r="2049" spans="1:61" x14ac:dyDescent="0.2">
      <c r="A2049">
        <v>1056</v>
      </c>
      <c r="B2049">
        <v>175</v>
      </c>
      <c r="C2049">
        <f t="shared" si="229"/>
        <v>9175</v>
      </c>
      <c r="D2049">
        <f t="shared" si="234"/>
        <v>9175</v>
      </c>
      <c r="H2049">
        <f t="shared" si="230"/>
        <v>2</v>
      </c>
      <c r="I2049" s="5" t="s">
        <v>900</v>
      </c>
      <c r="J2049" s="5" t="s">
        <v>738</v>
      </c>
      <c r="Q2049" t="s">
        <v>619</v>
      </c>
      <c r="R2049">
        <v>4</v>
      </c>
      <c r="S2049">
        <v>1</v>
      </c>
      <c r="T2049" t="str">
        <f t="shared" si="228"/>
        <v>e</v>
      </c>
      <c r="U2049" t="s">
        <v>10</v>
      </c>
      <c r="V2049" t="s">
        <v>190</v>
      </c>
      <c r="W2049" t="s">
        <v>75</v>
      </c>
      <c r="AF2049" t="s">
        <v>635</v>
      </c>
      <c r="AM2049" t="str">
        <f t="shared" si="231"/>
        <v>Turnover</v>
      </c>
      <c r="AN2049" t="str">
        <f t="shared" si="232"/>
        <v>Turnover_Giveaway</v>
      </c>
      <c r="AP2049" t="str">
        <f t="shared" si="233"/>
        <v>Offensive</v>
      </c>
      <c r="BB2049" s="23"/>
      <c r="BD2049" s="21"/>
      <c r="BE2049" s="21"/>
      <c r="BF2049" s="21"/>
      <c r="BG2049" s="21"/>
      <c r="BH2049" s="21"/>
      <c r="BI2049" s="21"/>
    </row>
    <row r="2050" spans="1:61" x14ac:dyDescent="0.2">
      <c r="A2050">
        <v>1056</v>
      </c>
      <c r="B2050">
        <v>175</v>
      </c>
      <c r="C2050">
        <f t="shared" si="229"/>
        <v>9175</v>
      </c>
      <c r="D2050">
        <f t="shared" si="234"/>
        <v>9175</v>
      </c>
      <c r="H2050">
        <f t="shared" si="230"/>
        <v>2</v>
      </c>
      <c r="R2050">
        <v>12</v>
      </c>
      <c r="S2050">
        <v>1</v>
      </c>
      <c r="T2050" t="str">
        <f t="shared" si="228"/>
        <v>e</v>
      </c>
      <c r="AM2050" t="str">
        <f t="shared" si="231"/>
        <v>Turnover</v>
      </c>
      <c r="AN2050" t="str">
        <f t="shared" si="232"/>
        <v>Turnover_Giveaway</v>
      </c>
      <c r="AP2050" t="str">
        <f t="shared" si="233"/>
        <v>Offensive</v>
      </c>
      <c r="BB2050" s="23"/>
      <c r="BD2050" s="21"/>
      <c r="BE2050" s="21"/>
      <c r="BF2050" s="21"/>
      <c r="BG2050" s="21"/>
      <c r="BH2050" s="21"/>
      <c r="BI2050" s="21"/>
    </row>
    <row r="2051" spans="1:61" x14ac:dyDescent="0.2">
      <c r="A2051">
        <v>1056</v>
      </c>
      <c r="B2051">
        <v>175</v>
      </c>
      <c r="C2051">
        <f t="shared" si="229"/>
        <v>9175</v>
      </c>
      <c r="D2051">
        <f t="shared" si="234"/>
        <v>9175</v>
      </c>
      <c r="H2051">
        <f t="shared" si="230"/>
        <v>2</v>
      </c>
      <c r="R2051">
        <v>61</v>
      </c>
      <c r="T2051" t="str">
        <f t="shared" ref="T2051:T2109" si="236">IF(S2051="x","",IF(S2051=1,"e","o"))</f>
        <v>o</v>
      </c>
      <c r="Y2051" t="s">
        <v>723</v>
      </c>
      <c r="AM2051" t="str">
        <f t="shared" si="231"/>
        <v>Turnover</v>
      </c>
      <c r="AN2051" t="str">
        <f t="shared" si="232"/>
        <v>Turnover_Giveaway</v>
      </c>
      <c r="AP2051" t="str">
        <f t="shared" si="233"/>
        <v>Defensive</v>
      </c>
      <c r="BB2051" s="23"/>
      <c r="BD2051" s="21"/>
      <c r="BE2051" s="21"/>
      <c r="BF2051" s="21"/>
      <c r="BG2051" s="21"/>
      <c r="BH2051" s="21"/>
      <c r="BI2051" s="21"/>
    </row>
    <row r="2052" spans="1:61" x14ac:dyDescent="0.2">
      <c r="A2052">
        <v>1057</v>
      </c>
      <c r="B2052" t="s">
        <v>887</v>
      </c>
      <c r="C2052" t="str">
        <f t="shared" ref="C2052:C2115" si="237">IF(B2052&lt;&gt;"",9000+B2052,"")</f>
        <v/>
      </c>
      <c r="D2052" t="str">
        <f t="shared" si="234"/>
        <v/>
      </c>
      <c r="H2052">
        <f t="shared" si="230"/>
        <v>2</v>
      </c>
      <c r="I2052" s="5" t="s">
        <v>900</v>
      </c>
      <c r="J2052" s="5" t="s">
        <v>740</v>
      </c>
      <c r="K2052" s="5" t="s">
        <v>900</v>
      </c>
      <c r="L2052" s="7" t="s">
        <v>446</v>
      </c>
      <c r="Q2052" t="s">
        <v>620</v>
      </c>
      <c r="R2052">
        <v>61</v>
      </c>
      <c r="S2052">
        <v>1</v>
      </c>
      <c r="T2052" t="str">
        <f t="shared" si="236"/>
        <v>e</v>
      </c>
      <c r="U2052" t="s">
        <v>15</v>
      </c>
      <c r="Y2052" t="s">
        <v>777</v>
      </c>
      <c r="AF2052" t="s">
        <v>635</v>
      </c>
      <c r="AJ2052">
        <v>1</v>
      </c>
      <c r="AM2052" t="str">
        <f t="shared" si="231"/>
        <v>Possession</v>
      </c>
      <c r="AN2052" t="str">
        <f t="shared" si="232"/>
        <v/>
      </c>
      <c r="AP2052" t="str">
        <f t="shared" si="233"/>
        <v>Offensive</v>
      </c>
      <c r="BB2052" s="23"/>
      <c r="BD2052" s="21"/>
      <c r="BE2052" s="21"/>
      <c r="BF2052" s="21"/>
      <c r="BG2052" s="21"/>
      <c r="BH2052" s="21"/>
      <c r="BI2052" s="21"/>
    </row>
    <row r="2053" spans="1:61" x14ac:dyDescent="0.2">
      <c r="A2053">
        <v>1057</v>
      </c>
      <c r="B2053" t="s">
        <v>887</v>
      </c>
      <c r="C2053" t="str">
        <f t="shared" si="237"/>
        <v/>
      </c>
      <c r="D2053" t="str">
        <f t="shared" si="234"/>
        <v/>
      </c>
      <c r="H2053">
        <f t="shared" ref="H2053:H2116" si="238">IF(U2053="Intermission",H2052+1,H2052)</f>
        <v>2</v>
      </c>
      <c r="R2053">
        <v>12</v>
      </c>
      <c r="T2053" t="str">
        <f t="shared" si="236"/>
        <v>o</v>
      </c>
      <c r="AJ2053">
        <v>1</v>
      </c>
      <c r="AM2053" t="str">
        <f t="shared" ref="AM2053:AM2116" si="239">IF(U2053&lt;&gt;"",U2053,IF($A2053=$A2052,AM2052,""))</f>
        <v>Possession</v>
      </c>
      <c r="AN2053" t="str">
        <f t="shared" ref="AN2053:AN2116" si="240">IF(V2053&lt;&gt;"",V2053,IF($A2053=$A2052,AN2052,""))</f>
        <v/>
      </c>
      <c r="AP2053" t="str">
        <f t="shared" si="233"/>
        <v>Defensive</v>
      </c>
      <c r="BB2053" s="23"/>
      <c r="BD2053" s="21"/>
      <c r="BE2053" s="21"/>
      <c r="BF2053" s="21"/>
      <c r="BG2053" s="21"/>
      <c r="BH2053" s="21"/>
      <c r="BI2053" s="21"/>
    </row>
    <row r="2054" spans="1:61" x14ac:dyDescent="0.2">
      <c r="A2054">
        <v>1058</v>
      </c>
      <c r="B2054">
        <v>176</v>
      </c>
      <c r="C2054">
        <f t="shared" si="237"/>
        <v>9176</v>
      </c>
      <c r="D2054">
        <f t="shared" si="234"/>
        <v>9176</v>
      </c>
      <c r="H2054">
        <f t="shared" si="238"/>
        <v>2</v>
      </c>
      <c r="I2054" s="5" t="s">
        <v>890</v>
      </c>
      <c r="J2054" s="5" t="s">
        <v>622</v>
      </c>
      <c r="Q2054" t="s">
        <v>620</v>
      </c>
      <c r="R2054">
        <v>61</v>
      </c>
      <c r="S2054">
        <v>1</v>
      </c>
      <c r="T2054" t="str">
        <f t="shared" si="236"/>
        <v>e</v>
      </c>
      <c r="U2054" t="s">
        <v>8</v>
      </c>
      <c r="V2054" t="s">
        <v>199</v>
      </c>
      <c r="W2054" t="s">
        <v>70</v>
      </c>
      <c r="X2054" t="s">
        <v>705</v>
      </c>
      <c r="Y2054" t="s">
        <v>747</v>
      </c>
      <c r="AA2054" t="s">
        <v>705</v>
      </c>
      <c r="AF2054" t="s">
        <v>635</v>
      </c>
      <c r="AJ2054">
        <v>1</v>
      </c>
      <c r="AM2054" t="str">
        <f t="shared" si="239"/>
        <v>Pass</v>
      </c>
      <c r="AN2054" t="str">
        <f t="shared" si="240"/>
        <v>Pass_Missed</v>
      </c>
      <c r="AP2054" t="str">
        <f t="shared" ref="AP2054:AP2117" si="241">IF(AND(T2054="e",OR(AM2054="Save",AN2054="Turnover_Takeaway",AN2054="Play_Defensive")),"Defensive",IF(AND(T2054="o",OR(AM2054="Save",AN2054="Turnover_Takeaway",AN2054="Play_Defensive")),"Offensive",IF(OR(AM2054="Deadice",AM2054="Stoppage",AM2054="Intermission"),"",IF(T2054="e","Offensive",IF(T2054="o","Defensive","")))))</f>
        <v>Offensive</v>
      </c>
      <c r="BB2054" s="23"/>
      <c r="BD2054" s="21"/>
      <c r="BE2054" s="21"/>
      <c r="BF2054" s="21"/>
      <c r="BG2054" s="21"/>
      <c r="BH2054" s="21"/>
      <c r="BI2054" s="21"/>
    </row>
    <row r="2055" spans="1:61" x14ac:dyDescent="0.2">
      <c r="A2055">
        <v>1058</v>
      </c>
      <c r="B2055">
        <v>176</v>
      </c>
      <c r="C2055">
        <f t="shared" si="237"/>
        <v>9176</v>
      </c>
      <c r="D2055">
        <f t="shared" si="234"/>
        <v>9176</v>
      </c>
      <c r="H2055">
        <f t="shared" si="238"/>
        <v>2</v>
      </c>
      <c r="R2055">
        <v>70</v>
      </c>
      <c r="S2055">
        <v>1</v>
      </c>
      <c r="T2055" t="str">
        <f t="shared" si="236"/>
        <v>e</v>
      </c>
      <c r="AM2055" t="str">
        <f t="shared" si="239"/>
        <v>Pass</v>
      </c>
      <c r="AN2055" t="str">
        <f t="shared" si="240"/>
        <v>Pass_Missed</v>
      </c>
      <c r="AP2055" t="str">
        <f t="shared" si="241"/>
        <v>Offensive</v>
      </c>
      <c r="BB2055" s="23"/>
      <c r="BD2055" s="21"/>
      <c r="BE2055" s="21"/>
      <c r="BF2055" s="21"/>
      <c r="BG2055" s="21"/>
      <c r="BH2055" s="21"/>
      <c r="BI2055" s="21"/>
    </row>
    <row r="2056" spans="1:61" x14ac:dyDescent="0.2">
      <c r="A2056">
        <v>1058</v>
      </c>
      <c r="B2056">
        <v>176</v>
      </c>
      <c r="C2056">
        <f t="shared" si="237"/>
        <v>9176</v>
      </c>
      <c r="D2056">
        <f t="shared" si="234"/>
        <v>9176</v>
      </c>
      <c r="H2056">
        <f t="shared" si="238"/>
        <v>2</v>
      </c>
      <c r="R2056">
        <v>12</v>
      </c>
      <c r="T2056" t="str">
        <f t="shared" si="236"/>
        <v>o</v>
      </c>
      <c r="AJ2056">
        <v>1</v>
      </c>
      <c r="AM2056" t="str">
        <f t="shared" si="239"/>
        <v>Pass</v>
      </c>
      <c r="AN2056" t="str">
        <f t="shared" si="240"/>
        <v>Pass_Missed</v>
      </c>
      <c r="AP2056" t="str">
        <f t="shared" si="241"/>
        <v>Defensive</v>
      </c>
      <c r="BB2056" s="23"/>
      <c r="BD2056" s="21"/>
      <c r="BE2056" s="21"/>
      <c r="BF2056" s="21"/>
      <c r="BG2056" s="21"/>
      <c r="BH2056" s="21"/>
      <c r="BI2056" s="21"/>
    </row>
    <row r="2057" spans="1:61" x14ac:dyDescent="0.2">
      <c r="A2057">
        <v>1059</v>
      </c>
      <c r="B2057">
        <v>176</v>
      </c>
      <c r="C2057">
        <f t="shared" si="237"/>
        <v>9176</v>
      </c>
      <c r="D2057">
        <f t="shared" ref="D2057:D2120" si="242">IF(C2057&lt;&gt;"",C2057,B2057)</f>
        <v>9176</v>
      </c>
      <c r="H2057">
        <f t="shared" si="238"/>
        <v>2</v>
      </c>
      <c r="I2057" s="5" t="s">
        <v>890</v>
      </c>
      <c r="J2057" s="5" t="s">
        <v>622</v>
      </c>
      <c r="Q2057" t="s">
        <v>620</v>
      </c>
      <c r="R2057">
        <v>61</v>
      </c>
      <c r="S2057">
        <v>1</v>
      </c>
      <c r="T2057" t="str">
        <f t="shared" ref="T2057:T2062" si="243">IF(S2057="x","",IF(S2057=1,"e","o"))</f>
        <v>e</v>
      </c>
      <c r="U2057" t="s">
        <v>257</v>
      </c>
      <c r="V2057" t="s">
        <v>191</v>
      </c>
      <c r="W2057" t="s">
        <v>423</v>
      </c>
      <c r="X2057" t="s">
        <v>705</v>
      </c>
      <c r="Y2057" t="s">
        <v>749</v>
      </c>
      <c r="AA2057" t="s">
        <v>705</v>
      </c>
      <c r="AF2057" t="s">
        <v>635</v>
      </c>
      <c r="AJ2057">
        <v>1</v>
      </c>
      <c r="AM2057" t="str">
        <f t="shared" si="239"/>
        <v>Zone_Entry_Exit</v>
      </c>
      <c r="AN2057" t="str">
        <f t="shared" si="240"/>
        <v>Zone_Entry</v>
      </c>
      <c r="AP2057" t="str">
        <f t="shared" si="241"/>
        <v>Offensive</v>
      </c>
      <c r="BB2057" s="23"/>
      <c r="BD2057" s="21"/>
      <c r="BE2057" s="21"/>
      <c r="BF2057" s="21"/>
      <c r="BG2057" s="21"/>
      <c r="BH2057" s="21"/>
      <c r="BI2057" s="21"/>
    </row>
    <row r="2058" spans="1:61" x14ac:dyDescent="0.2">
      <c r="A2058">
        <v>1059</v>
      </c>
      <c r="B2058">
        <v>176</v>
      </c>
      <c r="C2058">
        <f t="shared" si="237"/>
        <v>9176</v>
      </c>
      <c r="D2058">
        <f t="shared" si="242"/>
        <v>9176</v>
      </c>
      <c r="H2058">
        <f t="shared" si="238"/>
        <v>2</v>
      </c>
      <c r="R2058">
        <v>70</v>
      </c>
      <c r="S2058">
        <v>1</v>
      </c>
      <c r="T2058" t="str">
        <f t="shared" si="243"/>
        <v>e</v>
      </c>
      <c r="AM2058" t="str">
        <f t="shared" si="239"/>
        <v>Zone_Entry_Exit</v>
      </c>
      <c r="AN2058" t="str">
        <f t="shared" si="240"/>
        <v>Zone_Entry</v>
      </c>
      <c r="AP2058" t="str">
        <f t="shared" si="241"/>
        <v>Offensive</v>
      </c>
      <c r="BB2058" s="23"/>
      <c r="BD2058" s="21"/>
      <c r="BE2058" s="21"/>
      <c r="BF2058" s="21"/>
      <c r="BG2058" s="21"/>
      <c r="BH2058" s="21"/>
      <c r="BI2058" s="21"/>
    </row>
    <row r="2059" spans="1:61" x14ac:dyDescent="0.2">
      <c r="A2059">
        <v>1059</v>
      </c>
      <c r="B2059">
        <v>176</v>
      </c>
      <c r="C2059">
        <f t="shared" si="237"/>
        <v>9176</v>
      </c>
      <c r="D2059">
        <f t="shared" si="242"/>
        <v>9176</v>
      </c>
      <c r="H2059">
        <f t="shared" si="238"/>
        <v>2</v>
      </c>
      <c r="R2059">
        <v>12</v>
      </c>
      <c r="T2059" t="str">
        <f t="shared" si="243"/>
        <v>o</v>
      </c>
      <c r="AJ2059">
        <v>1</v>
      </c>
      <c r="AM2059" t="str">
        <f t="shared" si="239"/>
        <v>Zone_Entry_Exit</v>
      </c>
      <c r="AN2059" t="str">
        <f t="shared" si="240"/>
        <v>Zone_Entry</v>
      </c>
      <c r="AP2059" t="str">
        <f t="shared" si="241"/>
        <v>Defensive</v>
      </c>
      <c r="BB2059" s="23"/>
      <c r="BD2059" s="21"/>
      <c r="BE2059" s="21"/>
      <c r="BF2059" s="21"/>
      <c r="BG2059" s="21"/>
      <c r="BH2059" s="21"/>
      <c r="BI2059" s="21"/>
    </row>
    <row r="2060" spans="1:61" x14ac:dyDescent="0.2">
      <c r="A2060">
        <v>1060</v>
      </c>
      <c r="B2060">
        <v>176</v>
      </c>
      <c r="C2060">
        <f t="shared" si="237"/>
        <v>9176</v>
      </c>
      <c r="D2060">
        <f t="shared" si="242"/>
        <v>9176</v>
      </c>
      <c r="H2060">
        <f t="shared" si="238"/>
        <v>2</v>
      </c>
      <c r="I2060" s="5" t="s">
        <v>890</v>
      </c>
      <c r="J2060" s="5" t="s">
        <v>622</v>
      </c>
      <c r="Q2060" t="s">
        <v>620</v>
      </c>
      <c r="R2060">
        <v>61</v>
      </c>
      <c r="S2060">
        <v>1</v>
      </c>
      <c r="T2060" t="str">
        <f t="shared" si="243"/>
        <v>e</v>
      </c>
      <c r="U2060" t="s">
        <v>10</v>
      </c>
      <c r="V2060" t="s">
        <v>190</v>
      </c>
      <c r="W2060" t="s">
        <v>76</v>
      </c>
      <c r="Y2060" t="s">
        <v>747</v>
      </c>
      <c r="AA2060" t="s">
        <v>705</v>
      </c>
      <c r="AF2060" t="s">
        <v>635</v>
      </c>
      <c r="AJ2060">
        <v>1</v>
      </c>
      <c r="AM2060" t="str">
        <f t="shared" si="239"/>
        <v>Turnover</v>
      </c>
      <c r="AN2060" t="str">
        <f t="shared" si="240"/>
        <v>Turnover_Giveaway</v>
      </c>
      <c r="AP2060" t="str">
        <f t="shared" si="241"/>
        <v>Offensive</v>
      </c>
      <c r="BB2060" s="23"/>
      <c r="BD2060" s="21"/>
      <c r="BE2060" s="21"/>
      <c r="BF2060" s="21"/>
      <c r="BG2060" s="21"/>
      <c r="BH2060" s="21"/>
      <c r="BI2060" s="21"/>
    </row>
    <row r="2061" spans="1:61" x14ac:dyDescent="0.2">
      <c r="A2061">
        <v>1060</v>
      </c>
      <c r="B2061">
        <v>176</v>
      </c>
      <c r="C2061">
        <f t="shared" si="237"/>
        <v>9176</v>
      </c>
      <c r="D2061">
        <f t="shared" si="242"/>
        <v>9176</v>
      </c>
      <c r="H2061">
        <f t="shared" si="238"/>
        <v>2</v>
      </c>
      <c r="R2061">
        <v>70</v>
      </c>
      <c r="S2061">
        <v>1</v>
      </c>
      <c r="T2061" t="str">
        <f t="shared" si="243"/>
        <v>e</v>
      </c>
      <c r="AM2061" t="str">
        <f t="shared" si="239"/>
        <v>Turnover</v>
      </c>
      <c r="AN2061" t="str">
        <f t="shared" si="240"/>
        <v>Turnover_Giveaway</v>
      </c>
      <c r="AP2061" t="str">
        <f t="shared" si="241"/>
        <v>Offensive</v>
      </c>
      <c r="BB2061" s="23"/>
      <c r="BD2061" s="21"/>
      <c r="BE2061" s="21"/>
      <c r="BF2061" s="21"/>
      <c r="BG2061" s="21"/>
      <c r="BH2061" s="21"/>
      <c r="BI2061" s="21"/>
    </row>
    <row r="2062" spans="1:61" x14ac:dyDescent="0.2">
      <c r="A2062">
        <v>1060</v>
      </c>
      <c r="B2062">
        <v>176</v>
      </c>
      <c r="C2062">
        <f t="shared" si="237"/>
        <v>9176</v>
      </c>
      <c r="D2062">
        <f t="shared" si="242"/>
        <v>9176</v>
      </c>
      <c r="H2062">
        <f t="shared" si="238"/>
        <v>2</v>
      </c>
      <c r="R2062">
        <v>12</v>
      </c>
      <c r="T2062" t="str">
        <f t="shared" si="243"/>
        <v>o</v>
      </c>
      <c r="AJ2062">
        <v>1</v>
      </c>
      <c r="AM2062" t="str">
        <f t="shared" si="239"/>
        <v>Turnover</v>
      </c>
      <c r="AN2062" t="str">
        <f t="shared" si="240"/>
        <v>Turnover_Giveaway</v>
      </c>
      <c r="AP2062" t="str">
        <f t="shared" si="241"/>
        <v>Defensive</v>
      </c>
      <c r="BB2062" s="23"/>
      <c r="BD2062" s="21"/>
      <c r="BE2062" s="21"/>
      <c r="BF2062" s="21"/>
      <c r="BG2062" s="21"/>
      <c r="BH2062" s="21"/>
      <c r="BI2062" s="21"/>
    </row>
    <row r="2063" spans="1:61" x14ac:dyDescent="0.2">
      <c r="A2063">
        <v>1061</v>
      </c>
      <c r="B2063" t="s">
        <v>887</v>
      </c>
      <c r="C2063" t="str">
        <f t="shared" si="237"/>
        <v/>
      </c>
      <c r="D2063" t="str">
        <f t="shared" si="242"/>
        <v/>
      </c>
      <c r="H2063">
        <f t="shared" si="238"/>
        <v>2</v>
      </c>
      <c r="I2063" s="5" t="s">
        <v>890</v>
      </c>
      <c r="J2063" s="5" t="s">
        <v>750</v>
      </c>
      <c r="Q2063" t="s">
        <v>619</v>
      </c>
      <c r="R2063">
        <v>4</v>
      </c>
      <c r="S2063">
        <v>1</v>
      </c>
      <c r="T2063" t="str">
        <f t="shared" si="236"/>
        <v>e</v>
      </c>
      <c r="U2063" t="s">
        <v>15</v>
      </c>
      <c r="V2063" t="s">
        <v>697</v>
      </c>
      <c r="X2063" t="s">
        <v>706</v>
      </c>
      <c r="Y2063" t="s">
        <v>712</v>
      </c>
      <c r="AA2063" t="s">
        <v>706</v>
      </c>
      <c r="AF2063" t="s">
        <v>623</v>
      </c>
      <c r="AM2063" t="str">
        <f t="shared" si="239"/>
        <v>Possession</v>
      </c>
      <c r="AN2063" t="str">
        <f t="shared" si="240"/>
        <v>PuckRetrieval</v>
      </c>
      <c r="AP2063" t="str">
        <f t="shared" si="241"/>
        <v>Offensive</v>
      </c>
      <c r="BB2063" s="23"/>
      <c r="BD2063" s="21"/>
      <c r="BE2063" s="21"/>
      <c r="BF2063" s="21"/>
      <c r="BG2063" s="21"/>
      <c r="BH2063" s="21"/>
      <c r="BI2063" s="21"/>
    </row>
    <row r="2064" spans="1:61" x14ac:dyDescent="0.2">
      <c r="A2064">
        <v>1062</v>
      </c>
      <c r="B2064" t="s">
        <v>887</v>
      </c>
      <c r="C2064" t="str">
        <f t="shared" si="237"/>
        <v/>
      </c>
      <c r="D2064" t="str">
        <f t="shared" si="242"/>
        <v/>
      </c>
      <c r="H2064">
        <f t="shared" si="238"/>
        <v>2</v>
      </c>
      <c r="I2064" s="5" t="s">
        <v>890</v>
      </c>
      <c r="J2064" s="5" t="s">
        <v>750</v>
      </c>
      <c r="K2064" s="5" t="s">
        <v>890</v>
      </c>
      <c r="L2064" s="7" t="s">
        <v>762</v>
      </c>
      <c r="Q2064" t="s">
        <v>619</v>
      </c>
      <c r="R2064">
        <v>4</v>
      </c>
      <c r="S2064">
        <v>1</v>
      </c>
      <c r="T2064" t="str">
        <f t="shared" si="236"/>
        <v>e</v>
      </c>
      <c r="U2064" t="s">
        <v>15</v>
      </c>
      <c r="Y2064" t="s">
        <v>767</v>
      </c>
      <c r="AA2064" t="s">
        <v>706</v>
      </c>
      <c r="AF2064" t="s">
        <v>623</v>
      </c>
      <c r="AJ2064">
        <v>1</v>
      </c>
      <c r="AM2064" t="str">
        <f t="shared" si="239"/>
        <v>Possession</v>
      </c>
      <c r="AN2064" t="str">
        <f t="shared" si="240"/>
        <v/>
      </c>
      <c r="AP2064" t="str">
        <f t="shared" si="241"/>
        <v>Offensive</v>
      </c>
      <c r="BB2064" s="23"/>
      <c r="BD2064" s="21"/>
      <c r="BE2064" s="21"/>
      <c r="BF2064" s="21"/>
      <c r="BG2064" s="21"/>
      <c r="BH2064" s="21"/>
      <c r="BI2064" s="21"/>
    </row>
    <row r="2065" spans="1:61" x14ac:dyDescent="0.2">
      <c r="A2065">
        <v>1062</v>
      </c>
      <c r="B2065" t="s">
        <v>887</v>
      </c>
      <c r="C2065" t="str">
        <f t="shared" si="237"/>
        <v/>
      </c>
      <c r="D2065" t="str">
        <f t="shared" si="242"/>
        <v/>
      </c>
      <c r="H2065">
        <f t="shared" si="238"/>
        <v>2</v>
      </c>
      <c r="R2065">
        <v>70</v>
      </c>
      <c r="T2065" t="str">
        <f t="shared" si="236"/>
        <v>o</v>
      </c>
      <c r="Y2065" t="s">
        <v>764</v>
      </c>
      <c r="AA2065" t="s">
        <v>705</v>
      </c>
      <c r="AJ2065">
        <v>1</v>
      </c>
      <c r="AM2065" t="str">
        <f t="shared" si="239"/>
        <v>Possession</v>
      </c>
      <c r="AN2065" t="str">
        <f t="shared" si="240"/>
        <v/>
      </c>
      <c r="AP2065" t="str">
        <f t="shared" si="241"/>
        <v>Defensive</v>
      </c>
      <c r="BB2065" s="23"/>
      <c r="BD2065" s="21"/>
      <c r="BE2065" s="21"/>
      <c r="BF2065" s="21"/>
      <c r="BG2065" s="21"/>
      <c r="BH2065" s="21"/>
      <c r="BI2065" s="21"/>
    </row>
    <row r="2066" spans="1:61" x14ac:dyDescent="0.2">
      <c r="A2066">
        <v>1063</v>
      </c>
      <c r="B2066" t="s">
        <v>887</v>
      </c>
      <c r="C2066" t="str">
        <f t="shared" si="237"/>
        <v/>
      </c>
      <c r="D2066" t="str">
        <f t="shared" si="242"/>
        <v/>
      </c>
      <c r="H2066">
        <f t="shared" si="238"/>
        <v>2</v>
      </c>
      <c r="I2066" s="5" t="s">
        <v>890</v>
      </c>
      <c r="J2066" s="5" t="s">
        <v>762</v>
      </c>
      <c r="K2066" s="5" t="s">
        <v>890</v>
      </c>
      <c r="L2066" s="7" t="s">
        <v>751</v>
      </c>
      <c r="Q2066" t="s">
        <v>619</v>
      </c>
      <c r="R2066">
        <v>4</v>
      </c>
      <c r="S2066">
        <v>1</v>
      </c>
      <c r="T2066" t="str">
        <f t="shared" si="236"/>
        <v>e</v>
      </c>
      <c r="U2066" t="s">
        <v>257</v>
      </c>
      <c r="V2066" t="s">
        <v>201</v>
      </c>
      <c r="W2066" t="s">
        <v>90</v>
      </c>
      <c r="X2066" t="s">
        <v>706</v>
      </c>
      <c r="Y2066" t="s">
        <v>678</v>
      </c>
      <c r="AA2066" t="s">
        <v>706</v>
      </c>
      <c r="AF2066" t="s">
        <v>623</v>
      </c>
      <c r="AM2066" t="str">
        <f t="shared" si="239"/>
        <v>Zone_Entry_Exit</v>
      </c>
      <c r="AN2066" t="str">
        <f t="shared" si="240"/>
        <v>Zone_Exit</v>
      </c>
      <c r="AP2066" t="str">
        <f t="shared" si="241"/>
        <v>Offensive</v>
      </c>
      <c r="BB2066" s="23"/>
      <c r="BD2066" s="21"/>
      <c r="BE2066" s="21"/>
      <c r="BF2066" s="21"/>
      <c r="BG2066" s="21"/>
      <c r="BH2066" s="21"/>
      <c r="BI2066" s="21"/>
    </row>
    <row r="2067" spans="1:61" x14ac:dyDescent="0.2">
      <c r="A2067">
        <v>1064</v>
      </c>
      <c r="B2067" t="s">
        <v>887</v>
      </c>
      <c r="C2067" t="str">
        <f t="shared" si="237"/>
        <v/>
      </c>
      <c r="D2067" t="str">
        <f t="shared" si="242"/>
        <v/>
      </c>
      <c r="H2067">
        <f t="shared" si="238"/>
        <v>2</v>
      </c>
      <c r="I2067" s="5" t="s">
        <v>890</v>
      </c>
      <c r="J2067" s="5" t="s">
        <v>751</v>
      </c>
      <c r="K2067" s="5" t="s">
        <v>890</v>
      </c>
      <c r="L2067" s="7" t="s">
        <v>788</v>
      </c>
      <c r="Q2067" t="s">
        <v>619</v>
      </c>
      <c r="R2067">
        <v>4</v>
      </c>
      <c r="S2067">
        <v>1</v>
      </c>
      <c r="T2067" t="str">
        <f t="shared" si="236"/>
        <v>e</v>
      </c>
      <c r="U2067" t="s">
        <v>15</v>
      </c>
      <c r="Y2067" t="s">
        <v>767</v>
      </c>
      <c r="AA2067" t="s">
        <v>706</v>
      </c>
      <c r="AF2067" t="s">
        <v>635</v>
      </c>
      <c r="AJ2067">
        <v>1</v>
      </c>
      <c r="AM2067" t="str">
        <f t="shared" si="239"/>
        <v>Possession</v>
      </c>
      <c r="AN2067" t="str">
        <f t="shared" si="240"/>
        <v/>
      </c>
      <c r="AP2067" t="str">
        <f t="shared" si="241"/>
        <v>Offensive</v>
      </c>
      <c r="BB2067" s="23"/>
      <c r="BD2067" s="21"/>
      <c r="BE2067" s="21"/>
      <c r="BF2067" s="21"/>
      <c r="BG2067" s="21"/>
      <c r="BH2067" s="21"/>
      <c r="BI2067" s="21"/>
    </row>
    <row r="2068" spans="1:61" x14ac:dyDescent="0.2">
      <c r="A2068">
        <v>1064</v>
      </c>
      <c r="B2068" t="s">
        <v>887</v>
      </c>
      <c r="C2068" t="str">
        <f t="shared" si="237"/>
        <v/>
      </c>
      <c r="D2068" t="str">
        <f t="shared" si="242"/>
        <v/>
      </c>
      <c r="H2068">
        <f t="shared" si="238"/>
        <v>2</v>
      </c>
      <c r="R2068">
        <v>61</v>
      </c>
      <c r="T2068" t="str">
        <f t="shared" si="236"/>
        <v>o</v>
      </c>
      <c r="Y2068" t="s">
        <v>764</v>
      </c>
      <c r="AA2068" t="s">
        <v>705</v>
      </c>
      <c r="AJ2068">
        <v>1</v>
      </c>
      <c r="AM2068" t="str">
        <f t="shared" si="239"/>
        <v>Possession</v>
      </c>
      <c r="AN2068" t="str">
        <f t="shared" si="240"/>
        <v/>
      </c>
      <c r="AP2068" t="str">
        <f t="shared" si="241"/>
        <v>Defensive</v>
      </c>
      <c r="BB2068" s="23"/>
      <c r="BD2068" s="21"/>
      <c r="BE2068" s="21"/>
      <c r="BF2068" s="21"/>
      <c r="BG2068" s="21"/>
      <c r="BH2068" s="21"/>
      <c r="BI2068" s="21"/>
    </row>
    <row r="2069" spans="1:61" x14ac:dyDescent="0.2">
      <c r="A2069">
        <v>1065</v>
      </c>
      <c r="B2069" t="s">
        <v>887</v>
      </c>
      <c r="C2069" t="str">
        <f t="shared" si="237"/>
        <v/>
      </c>
      <c r="D2069" t="str">
        <f t="shared" si="242"/>
        <v/>
      </c>
      <c r="H2069">
        <f t="shared" si="238"/>
        <v>2</v>
      </c>
      <c r="I2069" s="5" t="s">
        <v>890</v>
      </c>
      <c r="J2069" s="5" t="s">
        <v>788</v>
      </c>
      <c r="K2069" s="5" t="s">
        <v>890</v>
      </c>
      <c r="L2069" s="7" t="s">
        <v>753</v>
      </c>
      <c r="Q2069" t="s">
        <v>619</v>
      </c>
      <c r="R2069">
        <v>4</v>
      </c>
      <c r="S2069">
        <v>1</v>
      </c>
      <c r="T2069" t="str">
        <f t="shared" si="236"/>
        <v>e</v>
      </c>
      <c r="U2069" t="s">
        <v>15</v>
      </c>
      <c r="AF2069" t="s">
        <v>635</v>
      </c>
      <c r="AJ2069">
        <v>1</v>
      </c>
      <c r="AM2069" t="str">
        <f t="shared" si="239"/>
        <v>Possession</v>
      </c>
      <c r="AN2069" t="str">
        <f t="shared" si="240"/>
        <v/>
      </c>
      <c r="AP2069" t="str">
        <f t="shared" si="241"/>
        <v>Offensive</v>
      </c>
      <c r="BB2069" s="23"/>
      <c r="BD2069" s="21"/>
      <c r="BE2069" s="21"/>
      <c r="BF2069" s="21"/>
      <c r="BG2069" s="21"/>
      <c r="BH2069" s="21"/>
      <c r="BI2069" s="21"/>
    </row>
    <row r="2070" spans="1:61" x14ac:dyDescent="0.2">
      <c r="A2070">
        <v>1065</v>
      </c>
      <c r="B2070" t="s">
        <v>887</v>
      </c>
      <c r="C2070" t="str">
        <f t="shared" si="237"/>
        <v/>
      </c>
      <c r="D2070" t="str">
        <f t="shared" si="242"/>
        <v/>
      </c>
      <c r="H2070">
        <f t="shared" si="238"/>
        <v>2</v>
      </c>
      <c r="R2070">
        <v>61</v>
      </c>
      <c r="T2070" t="str">
        <f t="shared" si="236"/>
        <v>o</v>
      </c>
      <c r="AJ2070">
        <v>1</v>
      </c>
      <c r="AM2070" t="str">
        <f t="shared" si="239"/>
        <v>Possession</v>
      </c>
      <c r="AN2070" t="str">
        <f t="shared" si="240"/>
        <v/>
      </c>
      <c r="AP2070" t="str">
        <f t="shared" si="241"/>
        <v>Defensive</v>
      </c>
      <c r="BB2070" s="23"/>
      <c r="BD2070" s="21"/>
      <c r="BE2070" s="21"/>
      <c r="BF2070" s="21"/>
      <c r="BG2070" s="21"/>
      <c r="BH2070" s="21"/>
      <c r="BI2070" s="21"/>
    </row>
    <row r="2071" spans="1:61" x14ac:dyDescent="0.2">
      <c r="A2071">
        <v>1066</v>
      </c>
      <c r="B2071" t="s">
        <v>887</v>
      </c>
      <c r="C2071" t="str">
        <f t="shared" si="237"/>
        <v/>
      </c>
      <c r="D2071" t="str">
        <f t="shared" si="242"/>
        <v/>
      </c>
      <c r="H2071">
        <f t="shared" si="238"/>
        <v>2</v>
      </c>
      <c r="I2071" s="5" t="s">
        <v>890</v>
      </c>
      <c r="J2071" s="5" t="s">
        <v>753</v>
      </c>
      <c r="Q2071" t="s">
        <v>619</v>
      </c>
      <c r="R2071">
        <v>4</v>
      </c>
      <c r="S2071">
        <v>1</v>
      </c>
      <c r="T2071" t="str">
        <f t="shared" si="236"/>
        <v>e</v>
      </c>
      <c r="U2071" t="s">
        <v>257</v>
      </c>
      <c r="V2071" t="s">
        <v>191</v>
      </c>
      <c r="W2071" t="s">
        <v>87</v>
      </c>
      <c r="X2071" t="s">
        <v>705</v>
      </c>
      <c r="Y2071" t="s">
        <v>777</v>
      </c>
      <c r="AF2071" t="s">
        <v>401</v>
      </c>
      <c r="AJ2071">
        <v>1</v>
      </c>
      <c r="AM2071" t="str">
        <f t="shared" si="239"/>
        <v>Zone_Entry_Exit</v>
      </c>
      <c r="AN2071" t="str">
        <f t="shared" si="240"/>
        <v>Zone_Entry</v>
      </c>
      <c r="AP2071" t="str">
        <f t="shared" si="241"/>
        <v>Offensive</v>
      </c>
      <c r="BB2071" s="23"/>
      <c r="BD2071" s="21"/>
      <c r="BE2071" s="21"/>
      <c r="BF2071" s="21"/>
      <c r="BG2071" s="21"/>
      <c r="BH2071" s="21"/>
      <c r="BI2071" s="21"/>
    </row>
    <row r="2072" spans="1:61" x14ac:dyDescent="0.2">
      <c r="A2072">
        <v>1066</v>
      </c>
      <c r="B2072" t="s">
        <v>887</v>
      </c>
      <c r="C2072" t="str">
        <f t="shared" si="237"/>
        <v/>
      </c>
      <c r="D2072" t="str">
        <f t="shared" si="242"/>
        <v/>
      </c>
      <c r="H2072">
        <f t="shared" si="238"/>
        <v>2</v>
      </c>
      <c r="Q2072" t="s">
        <v>619</v>
      </c>
      <c r="R2072">
        <v>91</v>
      </c>
      <c r="S2072">
        <v>1</v>
      </c>
      <c r="T2072" t="str">
        <f t="shared" si="236"/>
        <v>e</v>
      </c>
      <c r="AM2072" t="str">
        <f t="shared" si="239"/>
        <v>Zone_Entry_Exit</v>
      </c>
      <c r="AN2072" t="str">
        <f t="shared" si="240"/>
        <v>Zone_Entry</v>
      </c>
      <c r="AP2072" t="str">
        <f t="shared" si="241"/>
        <v>Offensive</v>
      </c>
      <c r="BB2072" s="23"/>
      <c r="BD2072" s="21"/>
      <c r="BE2072" s="21"/>
      <c r="BF2072" s="21"/>
      <c r="BG2072" s="21"/>
      <c r="BH2072" s="21"/>
      <c r="BI2072" s="21"/>
    </row>
    <row r="2073" spans="1:61" x14ac:dyDescent="0.2">
      <c r="A2073">
        <v>1066</v>
      </c>
      <c r="B2073" t="s">
        <v>887</v>
      </c>
      <c r="C2073" t="str">
        <f t="shared" si="237"/>
        <v/>
      </c>
      <c r="D2073" t="str">
        <f t="shared" si="242"/>
        <v/>
      </c>
      <c r="H2073">
        <f t="shared" si="238"/>
        <v>2</v>
      </c>
      <c r="R2073">
        <v>61</v>
      </c>
      <c r="T2073" t="str">
        <f t="shared" si="236"/>
        <v>o</v>
      </c>
      <c r="AJ2073">
        <v>1</v>
      </c>
      <c r="AM2073" t="str">
        <f t="shared" si="239"/>
        <v>Zone_Entry_Exit</v>
      </c>
      <c r="AN2073" t="str">
        <f t="shared" si="240"/>
        <v>Zone_Entry</v>
      </c>
      <c r="AP2073" t="str">
        <f t="shared" si="241"/>
        <v>Defensive</v>
      </c>
      <c r="BB2073" s="23"/>
      <c r="BD2073" s="21"/>
      <c r="BE2073" s="21"/>
      <c r="BF2073" s="21"/>
      <c r="BG2073" s="21"/>
      <c r="BH2073" s="21"/>
      <c r="BI2073" s="21"/>
    </row>
    <row r="2074" spans="1:61" x14ac:dyDescent="0.2">
      <c r="A2074">
        <v>1066</v>
      </c>
      <c r="B2074" t="s">
        <v>887</v>
      </c>
      <c r="C2074" t="str">
        <f t="shared" si="237"/>
        <v/>
      </c>
      <c r="D2074" t="str">
        <f t="shared" si="242"/>
        <v/>
      </c>
      <c r="H2074">
        <f t="shared" si="238"/>
        <v>2</v>
      </c>
      <c r="R2074">
        <v>70</v>
      </c>
      <c r="T2074" t="str">
        <f t="shared" si="236"/>
        <v>o</v>
      </c>
      <c r="AJ2074">
        <v>1</v>
      </c>
      <c r="AM2074" t="str">
        <f t="shared" si="239"/>
        <v>Zone_Entry_Exit</v>
      </c>
      <c r="AN2074" t="str">
        <f t="shared" si="240"/>
        <v>Zone_Entry</v>
      </c>
      <c r="AP2074" t="str">
        <f t="shared" si="241"/>
        <v>Defensive</v>
      </c>
      <c r="BB2074" s="23"/>
      <c r="BD2074" s="21"/>
      <c r="BE2074" s="21"/>
      <c r="BF2074" s="21"/>
      <c r="BG2074" s="21"/>
      <c r="BH2074" s="21"/>
      <c r="BI2074" s="21"/>
    </row>
    <row r="2075" spans="1:61" x14ac:dyDescent="0.2">
      <c r="A2075">
        <v>1067</v>
      </c>
      <c r="B2075" t="s">
        <v>887</v>
      </c>
      <c r="C2075" t="str">
        <f t="shared" si="237"/>
        <v/>
      </c>
      <c r="D2075" t="str">
        <f t="shared" si="242"/>
        <v/>
      </c>
      <c r="H2075">
        <f t="shared" si="238"/>
        <v>2</v>
      </c>
      <c r="I2075" s="5" t="s">
        <v>890</v>
      </c>
      <c r="J2075" s="5" t="s">
        <v>753</v>
      </c>
      <c r="Q2075" t="s">
        <v>619</v>
      </c>
      <c r="R2075">
        <v>4</v>
      </c>
      <c r="S2075">
        <v>1</v>
      </c>
      <c r="T2075" t="str">
        <f t="shared" si="236"/>
        <v>e</v>
      </c>
      <c r="U2075" t="s">
        <v>8</v>
      </c>
      <c r="V2075" t="s">
        <v>199</v>
      </c>
      <c r="W2075" t="s">
        <v>70</v>
      </c>
      <c r="X2075" t="s">
        <v>705</v>
      </c>
      <c r="AF2075" t="s">
        <v>401</v>
      </c>
      <c r="AJ2075">
        <v>1</v>
      </c>
      <c r="AM2075" t="str">
        <f t="shared" si="239"/>
        <v>Pass</v>
      </c>
      <c r="AN2075" t="str">
        <f t="shared" si="240"/>
        <v>Pass_Missed</v>
      </c>
      <c r="AP2075" t="str">
        <f t="shared" si="241"/>
        <v>Offensive</v>
      </c>
      <c r="BB2075" s="23"/>
      <c r="BD2075" s="21"/>
      <c r="BE2075" s="21"/>
      <c r="BF2075" s="21"/>
      <c r="BG2075" s="21"/>
      <c r="BH2075" s="21"/>
      <c r="BI2075" s="21"/>
    </row>
    <row r="2076" spans="1:61" x14ac:dyDescent="0.2">
      <c r="A2076">
        <v>1067</v>
      </c>
      <c r="B2076" t="s">
        <v>887</v>
      </c>
      <c r="C2076" t="str">
        <f t="shared" si="237"/>
        <v/>
      </c>
      <c r="D2076" t="str">
        <f t="shared" si="242"/>
        <v/>
      </c>
      <c r="H2076">
        <f t="shared" si="238"/>
        <v>2</v>
      </c>
      <c r="R2076">
        <v>70</v>
      </c>
      <c r="T2076" t="str">
        <f t="shared" si="236"/>
        <v>o</v>
      </c>
      <c r="AJ2076">
        <v>1</v>
      </c>
      <c r="AM2076" t="str">
        <f t="shared" si="239"/>
        <v>Pass</v>
      </c>
      <c r="AN2076" t="str">
        <f t="shared" si="240"/>
        <v>Pass_Missed</v>
      </c>
      <c r="AP2076" t="str">
        <f t="shared" si="241"/>
        <v>Defensive</v>
      </c>
      <c r="BB2076" s="23"/>
      <c r="BD2076" s="21"/>
      <c r="BE2076" s="21"/>
      <c r="BF2076" s="21"/>
      <c r="BG2076" s="21"/>
      <c r="BH2076" s="21"/>
      <c r="BI2076" s="21"/>
    </row>
    <row r="2077" spans="1:61" x14ac:dyDescent="0.2">
      <c r="A2077">
        <v>1068</v>
      </c>
      <c r="B2077" t="s">
        <v>887</v>
      </c>
      <c r="C2077" t="str">
        <f t="shared" si="237"/>
        <v/>
      </c>
      <c r="D2077" t="str">
        <f t="shared" si="242"/>
        <v/>
      </c>
      <c r="H2077">
        <f t="shared" si="238"/>
        <v>2</v>
      </c>
      <c r="I2077" s="5" t="s">
        <v>890</v>
      </c>
      <c r="J2077" s="5" t="s">
        <v>753</v>
      </c>
      <c r="Q2077" t="s">
        <v>619</v>
      </c>
      <c r="R2077">
        <v>4</v>
      </c>
      <c r="S2077">
        <v>1</v>
      </c>
      <c r="T2077" t="str">
        <f t="shared" si="236"/>
        <v>e</v>
      </c>
      <c r="U2077" t="s">
        <v>10</v>
      </c>
      <c r="V2077" t="s">
        <v>190</v>
      </c>
      <c r="W2077" t="s">
        <v>76</v>
      </c>
      <c r="X2077" t="s">
        <v>705</v>
      </c>
      <c r="AF2077" t="s">
        <v>401</v>
      </c>
      <c r="AJ2077">
        <v>1</v>
      </c>
      <c r="AM2077" t="str">
        <f t="shared" si="239"/>
        <v>Turnover</v>
      </c>
      <c r="AN2077" t="str">
        <f t="shared" si="240"/>
        <v>Turnover_Giveaway</v>
      </c>
      <c r="AP2077" t="str">
        <f t="shared" si="241"/>
        <v>Offensive</v>
      </c>
      <c r="BB2077" s="23"/>
      <c r="BD2077" s="21"/>
      <c r="BE2077" s="21"/>
      <c r="BF2077" s="21"/>
      <c r="BG2077" s="21"/>
      <c r="BH2077" s="21"/>
      <c r="BI2077" s="21"/>
    </row>
    <row r="2078" spans="1:61" x14ac:dyDescent="0.2">
      <c r="A2078">
        <v>1068</v>
      </c>
      <c r="B2078" t="s">
        <v>887</v>
      </c>
      <c r="C2078" t="str">
        <f t="shared" si="237"/>
        <v/>
      </c>
      <c r="D2078" t="str">
        <f t="shared" si="242"/>
        <v/>
      </c>
      <c r="H2078">
        <f t="shared" si="238"/>
        <v>2</v>
      </c>
      <c r="R2078">
        <v>70</v>
      </c>
      <c r="T2078" t="str">
        <f t="shared" si="236"/>
        <v>o</v>
      </c>
      <c r="AJ2078">
        <v>1</v>
      </c>
      <c r="AM2078" t="str">
        <f t="shared" si="239"/>
        <v>Turnover</v>
      </c>
      <c r="AN2078" t="str">
        <f t="shared" si="240"/>
        <v>Turnover_Giveaway</v>
      </c>
      <c r="AP2078" t="str">
        <f t="shared" si="241"/>
        <v>Defensive</v>
      </c>
      <c r="BB2078" s="23"/>
      <c r="BD2078" s="21"/>
      <c r="BE2078" s="21"/>
      <c r="BF2078" s="21"/>
      <c r="BG2078" s="21"/>
      <c r="BH2078" s="21"/>
      <c r="BI2078" s="21"/>
    </row>
    <row r="2079" spans="1:61" x14ac:dyDescent="0.2">
      <c r="A2079">
        <v>1069</v>
      </c>
      <c r="B2079" t="s">
        <v>887</v>
      </c>
      <c r="C2079" t="str">
        <f t="shared" si="237"/>
        <v/>
      </c>
      <c r="D2079" t="str">
        <f t="shared" si="242"/>
        <v/>
      </c>
      <c r="H2079">
        <f t="shared" si="238"/>
        <v>2</v>
      </c>
      <c r="I2079" s="5" t="s">
        <v>890</v>
      </c>
      <c r="J2079" s="5" t="s">
        <v>672</v>
      </c>
      <c r="K2079" s="5" t="s">
        <v>890</v>
      </c>
      <c r="L2079" s="7" t="s">
        <v>810</v>
      </c>
      <c r="Q2079" t="s">
        <v>620</v>
      </c>
      <c r="R2079">
        <v>22</v>
      </c>
      <c r="S2079">
        <v>1</v>
      </c>
      <c r="T2079" t="str">
        <f t="shared" si="236"/>
        <v>e</v>
      </c>
      <c r="U2079" t="s">
        <v>15</v>
      </c>
      <c r="V2079" t="s">
        <v>697</v>
      </c>
      <c r="X2079" t="s">
        <v>706</v>
      </c>
      <c r="Y2079" t="s">
        <v>725</v>
      </c>
      <c r="AA2079" t="s">
        <v>706</v>
      </c>
      <c r="AF2079" t="s">
        <v>623</v>
      </c>
      <c r="AM2079" t="str">
        <f t="shared" si="239"/>
        <v>Possession</v>
      </c>
      <c r="AN2079" t="str">
        <f t="shared" si="240"/>
        <v>PuckRetrieval</v>
      </c>
      <c r="AP2079" t="str">
        <f t="shared" si="241"/>
        <v>Offensive</v>
      </c>
      <c r="BB2079" s="23"/>
      <c r="BD2079" s="21"/>
      <c r="BE2079" s="21"/>
      <c r="BF2079" s="21"/>
      <c r="BG2079" s="21"/>
      <c r="BH2079" s="21"/>
      <c r="BI2079" s="21"/>
    </row>
    <row r="2080" spans="1:61" x14ac:dyDescent="0.2">
      <c r="A2080">
        <v>1070</v>
      </c>
      <c r="B2080" t="s">
        <v>887</v>
      </c>
      <c r="C2080" t="str">
        <f t="shared" si="237"/>
        <v/>
      </c>
      <c r="D2080" t="str">
        <f t="shared" si="242"/>
        <v/>
      </c>
      <c r="H2080">
        <f t="shared" si="238"/>
        <v>2</v>
      </c>
      <c r="I2080" s="5" t="s">
        <v>890</v>
      </c>
      <c r="J2080" s="5" t="s">
        <v>810</v>
      </c>
      <c r="Q2080" t="s">
        <v>620</v>
      </c>
      <c r="R2080">
        <v>22</v>
      </c>
      <c r="S2080">
        <v>1</v>
      </c>
      <c r="T2080" t="str">
        <f t="shared" si="236"/>
        <v>e</v>
      </c>
      <c r="U2080" t="s">
        <v>8</v>
      </c>
      <c r="V2080" t="s">
        <v>189</v>
      </c>
      <c r="W2080" t="s">
        <v>71</v>
      </c>
      <c r="X2080" t="s">
        <v>706</v>
      </c>
      <c r="Y2080" t="s">
        <v>678</v>
      </c>
      <c r="Z2080" t="s">
        <v>814</v>
      </c>
      <c r="AA2080" t="s">
        <v>706</v>
      </c>
      <c r="AF2080" t="s">
        <v>623</v>
      </c>
      <c r="AJ2080">
        <v>1</v>
      </c>
      <c r="AM2080" t="str">
        <f t="shared" si="239"/>
        <v>Pass</v>
      </c>
      <c r="AN2080" t="str">
        <f t="shared" si="240"/>
        <v>Pass_Completed</v>
      </c>
      <c r="AP2080" t="str">
        <f t="shared" si="241"/>
        <v>Offensive</v>
      </c>
      <c r="BB2080" s="23"/>
      <c r="BD2080" s="21"/>
      <c r="BE2080" s="21"/>
      <c r="BF2080" s="21"/>
      <c r="BG2080" s="21"/>
      <c r="BH2080" s="21"/>
      <c r="BI2080" s="21"/>
    </row>
    <row r="2081" spans="1:61" x14ac:dyDescent="0.2">
      <c r="A2081">
        <v>1070</v>
      </c>
      <c r="B2081" t="s">
        <v>887</v>
      </c>
      <c r="C2081" t="str">
        <f t="shared" si="237"/>
        <v/>
      </c>
      <c r="D2081" t="str">
        <f t="shared" si="242"/>
        <v/>
      </c>
      <c r="H2081">
        <f t="shared" si="238"/>
        <v>2</v>
      </c>
      <c r="R2081">
        <v>70</v>
      </c>
      <c r="S2081">
        <v>1</v>
      </c>
      <c r="T2081" t="str">
        <f t="shared" si="236"/>
        <v>e</v>
      </c>
      <c r="AM2081" t="str">
        <f t="shared" si="239"/>
        <v>Pass</v>
      </c>
      <c r="AN2081" t="str">
        <f t="shared" si="240"/>
        <v>Pass_Completed</v>
      </c>
      <c r="AP2081" t="str">
        <f t="shared" si="241"/>
        <v>Offensive</v>
      </c>
      <c r="BB2081" s="23"/>
      <c r="BD2081" s="21"/>
      <c r="BE2081" s="21"/>
      <c r="BF2081" s="21"/>
      <c r="BG2081" s="21"/>
      <c r="BH2081" s="21"/>
      <c r="BI2081" s="21"/>
    </row>
    <row r="2082" spans="1:61" x14ac:dyDescent="0.2">
      <c r="A2082">
        <v>1070</v>
      </c>
      <c r="B2082" t="s">
        <v>887</v>
      </c>
      <c r="C2082" t="str">
        <f t="shared" si="237"/>
        <v/>
      </c>
      <c r="D2082" t="str">
        <f t="shared" si="242"/>
        <v/>
      </c>
      <c r="H2082">
        <f t="shared" si="238"/>
        <v>2</v>
      </c>
      <c r="R2082">
        <v>91</v>
      </c>
      <c r="T2082" t="str">
        <f t="shared" si="236"/>
        <v>o</v>
      </c>
      <c r="AJ2082">
        <v>1</v>
      </c>
      <c r="AM2082" t="str">
        <f t="shared" si="239"/>
        <v>Pass</v>
      </c>
      <c r="AN2082" t="str">
        <f t="shared" si="240"/>
        <v>Pass_Completed</v>
      </c>
      <c r="AP2082" t="str">
        <f t="shared" si="241"/>
        <v>Defensive</v>
      </c>
      <c r="BB2082" s="23"/>
      <c r="BD2082" s="21"/>
      <c r="BE2082" s="21"/>
      <c r="BF2082" s="21"/>
      <c r="BG2082" s="21"/>
      <c r="BH2082" s="21"/>
      <c r="BI2082" s="21"/>
    </row>
    <row r="2083" spans="1:61" x14ac:dyDescent="0.2">
      <c r="A2083">
        <v>1071</v>
      </c>
      <c r="B2083" t="s">
        <v>887</v>
      </c>
      <c r="C2083" t="str">
        <f t="shared" si="237"/>
        <v/>
      </c>
      <c r="D2083" t="str">
        <f t="shared" si="242"/>
        <v/>
      </c>
      <c r="H2083">
        <f t="shared" si="238"/>
        <v>2</v>
      </c>
      <c r="I2083" s="5" t="s">
        <v>890</v>
      </c>
      <c r="J2083" s="5" t="s">
        <v>810</v>
      </c>
      <c r="Q2083" t="s">
        <v>620</v>
      </c>
      <c r="R2083">
        <v>22</v>
      </c>
      <c r="S2083">
        <v>1</v>
      </c>
      <c r="T2083" t="str">
        <f t="shared" si="236"/>
        <v>e</v>
      </c>
      <c r="U2083" t="s">
        <v>257</v>
      </c>
      <c r="V2083" t="s">
        <v>201</v>
      </c>
      <c r="W2083" t="s">
        <v>91</v>
      </c>
      <c r="X2083" t="s">
        <v>706</v>
      </c>
      <c r="Y2083" t="s">
        <v>678</v>
      </c>
      <c r="Z2083" t="s">
        <v>814</v>
      </c>
      <c r="AA2083" t="s">
        <v>706</v>
      </c>
      <c r="AF2083" t="s">
        <v>623</v>
      </c>
      <c r="AJ2083">
        <v>1</v>
      </c>
      <c r="AM2083" t="str">
        <f t="shared" si="239"/>
        <v>Zone_Entry_Exit</v>
      </c>
      <c r="AN2083" t="str">
        <f t="shared" si="240"/>
        <v>Zone_Exit</v>
      </c>
      <c r="AP2083" t="str">
        <f t="shared" si="241"/>
        <v>Offensive</v>
      </c>
      <c r="BB2083" s="23"/>
      <c r="BD2083" s="21"/>
      <c r="BE2083" s="21"/>
      <c r="BF2083" s="21"/>
      <c r="BG2083" s="21"/>
      <c r="BH2083" s="21"/>
      <c r="BI2083" s="21"/>
    </row>
    <row r="2084" spans="1:61" x14ac:dyDescent="0.2">
      <c r="A2084">
        <v>1071</v>
      </c>
      <c r="B2084" t="s">
        <v>887</v>
      </c>
      <c r="C2084" t="str">
        <f t="shared" si="237"/>
        <v/>
      </c>
      <c r="D2084" t="str">
        <f t="shared" si="242"/>
        <v/>
      </c>
      <c r="H2084">
        <f t="shared" si="238"/>
        <v>2</v>
      </c>
      <c r="R2084">
        <v>70</v>
      </c>
      <c r="S2084">
        <v>1</v>
      </c>
      <c r="T2084" t="str">
        <f t="shared" si="236"/>
        <v>e</v>
      </c>
      <c r="AM2084" t="str">
        <f t="shared" si="239"/>
        <v>Zone_Entry_Exit</v>
      </c>
      <c r="AN2084" t="str">
        <f t="shared" si="240"/>
        <v>Zone_Exit</v>
      </c>
      <c r="AP2084" t="str">
        <f t="shared" si="241"/>
        <v>Offensive</v>
      </c>
      <c r="BB2084" s="23"/>
      <c r="BD2084" s="21"/>
      <c r="BE2084" s="21"/>
      <c r="BF2084" s="21"/>
      <c r="BG2084" s="21"/>
      <c r="BH2084" s="21"/>
      <c r="BI2084" s="21"/>
    </row>
    <row r="2085" spans="1:61" x14ac:dyDescent="0.2">
      <c r="A2085">
        <v>1071</v>
      </c>
      <c r="B2085" t="s">
        <v>887</v>
      </c>
      <c r="C2085" t="str">
        <f t="shared" si="237"/>
        <v/>
      </c>
      <c r="D2085" t="str">
        <f t="shared" si="242"/>
        <v/>
      </c>
      <c r="H2085">
        <f t="shared" si="238"/>
        <v>2</v>
      </c>
      <c r="R2085">
        <v>91</v>
      </c>
      <c r="T2085" t="str">
        <f t="shared" si="236"/>
        <v>o</v>
      </c>
      <c r="AJ2085">
        <v>1</v>
      </c>
      <c r="AM2085" t="str">
        <f t="shared" si="239"/>
        <v>Zone_Entry_Exit</v>
      </c>
      <c r="AN2085" t="str">
        <f t="shared" si="240"/>
        <v>Zone_Exit</v>
      </c>
      <c r="AP2085" t="str">
        <f t="shared" si="241"/>
        <v>Defensive</v>
      </c>
      <c r="BB2085" s="23"/>
      <c r="BD2085" s="21"/>
      <c r="BE2085" s="21"/>
      <c r="BF2085" s="21"/>
      <c r="BG2085" s="21"/>
      <c r="BH2085" s="21"/>
      <c r="BI2085" s="21"/>
    </row>
    <row r="2086" spans="1:61" x14ac:dyDescent="0.2">
      <c r="A2086">
        <v>1072</v>
      </c>
      <c r="B2086" t="s">
        <v>887</v>
      </c>
      <c r="C2086" t="str">
        <f t="shared" si="237"/>
        <v/>
      </c>
      <c r="D2086" t="str">
        <f t="shared" si="242"/>
        <v/>
      </c>
      <c r="H2086">
        <f t="shared" si="238"/>
        <v>2</v>
      </c>
      <c r="I2086" s="5" t="s">
        <v>890</v>
      </c>
      <c r="J2086" s="5" t="s">
        <v>755</v>
      </c>
      <c r="K2086" s="5" t="s">
        <v>890</v>
      </c>
      <c r="L2086" s="7" t="s">
        <v>711</v>
      </c>
      <c r="Q2086" t="s">
        <v>620</v>
      </c>
      <c r="R2086">
        <v>70</v>
      </c>
      <c r="S2086">
        <v>1</v>
      </c>
      <c r="T2086" t="str">
        <f t="shared" si="236"/>
        <v>e</v>
      </c>
      <c r="U2086" t="s">
        <v>15</v>
      </c>
      <c r="AF2086" t="s">
        <v>635</v>
      </c>
      <c r="AM2086" t="str">
        <f t="shared" si="239"/>
        <v>Possession</v>
      </c>
      <c r="AN2086" t="str">
        <f t="shared" si="240"/>
        <v/>
      </c>
      <c r="AP2086" t="str">
        <f t="shared" si="241"/>
        <v>Offensive</v>
      </c>
      <c r="BB2086" s="23"/>
      <c r="BD2086" s="21"/>
      <c r="BE2086" s="21"/>
      <c r="BF2086" s="21"/>
      <c r="BG2086" s="21"/>
      <c r="BH2086" s="21"/>
      <c r="BI2086" s="21"/>
    </row>
    <row r="2087" spans="1:61" x14ac:dyDescent="0.2">
      <c r="A2087">
        <v>1073</v>
      </c>
      <c r="B2087" t="s">
        <v>887</v>
      </c>
      <c r="C2087" t="str">
        <f t="shared" si="237"/>
        <v/>
      </c>
      <c r="D2087" t="str">
        <f t="shared" si="242"/>
        <v/>
      </c>
      <c r="H2087">
        <f t="shared" si="238"/>
        <v>2</v>
      </c>
      <c r="I2087" s="5" t="s">
        <v>890</v>
      </c>
      <c r="J2087" s="5" t="s">
        <v>711</v>
      </c>
      <c r="K2087" s="5" t="s">
        <v>890</v>
      </c>
      <c r="L2087" s="7" t="s">
        <v>716</v>
      </c>
      <c r="Q2087" t="s">
        <v>620</v>
      </c>
      <c r="R2087">
        <v>70</v>
      </c>
      <c r="S2087">
        <v>1</v>
      </c>
      <c r="T2087" t="str">
        <f t="shared" si="236"/>
        <v>e</v>
      </c>
      <c r="U2087" t="s">
        <v>257</v>
      </c>
      <c r="V2087" t="s">
        <v>191</v>
      </c>
      <c r="W2087" t="s">
        <v>87</v>
      </c>
      <c r="X2087" t="s">
        <v>705</v>
      </c>
      <c r="Y2087" t="s">
        <v>777</v>
      </c>
      <c r="AA2087" t="s">
        <v>705</v>
      </c>
      <c r="AF2087" t="s">
        <v>401</v>
      </c>
      <c r="AJ2087">
        <v>1</v>
      </c>
      <c r="AM2087" t="str">
        <f t="shared" si="239"/>
        <v>Zone_Entry_Exit</v>
      </c>
      <c r="AN2087" t="str">
        <f t="shared" si="240"/>
        <v>Zone_Entry</v>
      </c>
      <c r="AP2087" t="str">
        <f t="shared" si="241"/>
        <v>Offensive</v>
      </c>
      <c r="BB2087" s="23"/>
      <c r="BD2087" s="21"/>
      <c r="BE2087" s="21"/>
      <c r="BF2087" s="21"/>
      <c r="BG2087" s="21"/>
      <c r="BH2087" s="21"/>
      <c r="BI2087" s="21"/>
    </row>
    <row r="2088" spans="1:61" x14ac:dyDescent="0.2">
      <c r="A2088">
        <v>1073</v>
      </c>
      <c r="B2088" t="s">
        <v>887</v>
      </c>
      <c r="C2088" t="str">
        <f t="shared" si="237"/>
        <v/>
      </c>
      <c r="D2088" t="str">
        <f t="shared" si="242"/>
        <v/>
      </c>
      <c r="H2088">
        <f t="shared" si="238"/>
        <v>2</v>
      </c>
      <c r="R2088">
        <v>4</v>
      </c>
      <c r="T2088" t="str">
        <f t="shared" si="236"/>
        <v>o</v>
      </c>
      <c r="AJ2088">
        <v>1</v>
      </c>
      <c r="AM2088" t="str">
        <f t="shared" si="239"/>
        <v>Zone_Entry_Exit</v>
      </c>
      <c r="AN2088" t="str">
        <f t="shared" si="240"/>
        <v>Zone_Entry</v>
      </c>
      <c r="AP2088" t="str">
        <f t="shared" si="241"/>
        <v>Defensive</v>
      </c>
      <c r="BB2088" s="23"/>
      <c r="BD2088" s="21"/>
      <c r="BE2088" s="21"/>
      <c r="BF2088" s="21"/>
      <c r="BG2088" s="21"/>
      <c r="BH2088" s="21"/>
      <c r="BI2088" s="21"/>
    </row>
    <row r="2089" spans="1:61" x14ac:dyDescent="0.2">
      <c r="A2089">
        <v>1074</v>
      </c>
      <c r="B2089" t="s">
        <v>887</v>
      </c>
      <c r="C2089" t="str">
        <f t="shared" si="237"/>
        <v/>
      </c>
      <c r="D2089" t="str">
        <f t="shared" si="242"/>
        <v/>
      </c>
      <c r="H2089">
        <f t="shared" si="238"/>
        <v>2</v>
      </c>
      <c r="I2089" s="5" t="s">
        <v>890</v>
      </c>
      <c r="J2089" s="5" t="s">
        <v>716</v>
      </c>
      <c r="Q2089" t="s">
        <v>619</v>
      </c>
      <c r="R2089">
        <v>4</v>
      </c>
      <c r="S2089">
        <v>1</v>
      </c>
      <c r="T2089" t="str">
        <f t="shared" si="236"/>
        <v>e</v>
      </c>
      <c r="U2089" t="s">
        <v>247</v>
      </c>
      <c r="V2089" t="s">
        <v>422</v>
      </c>
      <c r="W2089" t="s">
        <v>469</v>
      </c>
      <c r="X2089" t="s">
        <v>706</v>
      </c>
      <c r="Y2089" t="s">
        <v>774</v>
      </c>
      <c r="AA2089" t="s">
        <v>706</v>
      </c>
      <c r="AF2089" t="s">
        <v>623</v>
      </c>
      <c r="AJ2089">
        <v>1</v>
      </c>
      <c r="AM2089" t="str">
        <f t="shared" si="239"/>
        <v>Play</v>
      </c>
      <c r="AN2089" t="str">
        <f t="shared" si="240"/>
        <v>Play_Defensive</v>
      </c>
      <c r="AP2089" t="str">
        <f t="shared" si="241"/>
        <v>Defensive</v>
      </c>
      <c r="BB2089" s="23"/>
      <c r="BD2089" s="21"/>
      <c r="BE2089" s="21"/>
      <c r="BF2089" s="21"/>
      <c r="BG2089" s="21"/>
      <c r="BH2089" s="21"/>
      <c r="BI2089" s="21"/>
    </row>
    <row r="2090" spans="1:61" x14ac:dyDescent="0.2">
      <c r="A2090">
        <v>1074</v>
      </c>
      <c r="B2090" t="s">
        <v>887</v>
      </c>
      <c r="C2090" t="str">
        <f t="shared" si="237"/>
        <v/>
      </c>
      <c r="D2090" t="str">
        <f t="shared" si="242"/>
        <v/>
      </c>
      <c r="H2090">
        <f t="shared" si="238"/>
        <v>2</v>
      </c>
      <c r="R2090">
        <v>70</v>
      </c>
      <c r="T2090" t="str">
        <f t="shared" si="236"/>
        <v>o</v>
      </c>
      <c r="AJ2090">
        <v>1</v>
      </c>
      <c r="AM2090" t="str">
        <f t="shared" si="239"/>
        <v>Play</v>
      </c>
      <c r="AN2090" t="str">
        <f t="shared" si="240"/>
        <v>Play_Defensive</v>
      </c>
      <c r="AP2090" t="str">
        <f t="shared" si="241"/>
        <v>Offensive</v>
      </c>
      <c r="BB2090" s="23"/>
      <c r="BD2090" s="21"/>
      <c r="BE2090" s="21"/>
      <c r="BF2090" s="21"/>
      <c r="BG2090" s="21"/>
      <c r="BH2090" s="21"/>
      <c r="BI2090" s="21"/>
    </row>
    <row r="2091" spans="1:61" x14ac:dyDescent="0.2">
      <c r="A2091">
        <v>1075</v>
      </c>
      <c r="B2091" t="s">
        <v>887</v>
      </c>
      <c r="C2091" t="str">
        <f t="shared" si="237"/>
        <v/>
      </c>
      <c r="D2091" t="str">
        <f t="shared" si="242"/>
        <v/>
      </c>
      <c r="H2091">
        <f t="shared" si="238"/>
        <v>2</v>
      </c>
      <c r="I2091" s="5" t="s">
        <v>890</v>
      </c>
      <c r="J2091" s="5" t="s">
        <v>779</v>
      </c>
      <c r="Q2091" t="s">
        <v>620</v>
      </c>
      <c r="R2091">
        <v>70</v>
      </c>
      <c r="S2091">
        <v>1</v>
      </c>
      <c r="T2091" t="str">
        <f t="shared" si="236"/>
        <v>e</v>
      </c>
      <c r="U2091" t="s">
        <v>15</v>
      </c>
      <c r="V2091" t="s">
        <v>698</v>
      </c>
      <c r="X2091" t="s">
        <v>706</v>
      </c>
      <c r="Y2091" t="s">
        <v>752</v>
      </c>
      <c r="AA2091" t="s">
        <v>706</v>
      </c>
      <c r="AF2091" t="s">
        <v>401</v>
      </c>
      <c r="AJ2091">
        <v>1</v>
      </c>
      <c r="AM2091" t="str">
        <f t="shared" si="239"/>
        <v>Possession</v>
      </c>
      <c r="AN2091" t="str">
        <f t="shared" si="240"/>
        <v>PuckRecovery</v>
      </c>
      <c r="AP2091" t="str">
        <f t="shared" si="241"/>
        <v>Offensive</v>
      </c>
      <c r="BB2091" s="23"/>
      <c r="BD2091" s="21"/>
      <c r="BE2091" s="21"/>
      <c r="BF2091" s="21"/>
      <c r="BG2091" s="21"/>
      <c r="BH2091" s="21"/>
      <c r="BI2091" s="21"/>
    </row>
    <row r="2092" spans="1:61" x14ac:dyDescent="0.2">
      <c r="A2092">
        <v>1075</v>
      </c>
      <c r="B2092" t="s">
        <v>887</v>
      </c>
      <c r="C2092" t="str">
        <f t="shared" si="237"/>
        <v/>
      </c>
      <c r="D2092" t="str">
        <f t="shared" si="242"/>
        <v/>
      </c>
      <c r="H2092">
        <f t="shared" si="238"/>
        <v>2</v>
      </c>
      <c r="R2092">
        <v>24</v>
      </c>
      <c r="S2092">
        <v>1</v>
      </c>
      <c r="T2092" t="str">
        <f t="shared" si="236"/>
        <v>e</v>
      </c>
      <c r="Y2092" t="s">
        <v>752</v>
      </c>
      <c r="AA2092" t="s">
        <v>705</v>
      </c>
      <c r="AJ2092">
        <v>1</v>
      </c>
      <c r="AM2092" t="str">
        <f t="shared" si="239"/>
        <v>Possession</v>
      </c>
      <c r="AN2092" t="str">
        <f t="shared" si="240"/>
        <v>PuckRecovery</v>
      </c>
      <c r="AP2092" t="str">
        <f t="shared" si="241"/>
        <v>Offensive</v>
      </c>
      <c r="BB2092" s="23"/>
      <c r="BD2092" s="21"/>
      <c r="BE2092" s="21"/>
      <c r="BF2092" s="21"/>
      <c r="BG2092" s="21"/>
      <c r="BH2092" s="21"/>
      <c r="BI2092" s="21"/>
    </row>
    <row r="2093" spans="1:61" x14ac:dyDescent="0.2">
      <c r="A2093">
        <v>1075</v>
      </c>
      <c r="B2093" t="s">
        <v>887</v>
      </c>
      <c r="C2093" t="str">
        <f t="shared" si="237"/>
        <v/>
      </c>
      <c r="D2093" t="str">
        <f t="shared" si="242"/>
        <v/>
      </c>
      <c r="H2093">
        <f t="shared" si="238"/>
        <v>2</v>
      </c>
      <c r="R2093">
        <v>4</v>
      </c>
      <c r="T2093" t="str">
        <f t="shared" si="236"/>
        <v>o</v>
      </c>
      <c r="Y2093" t="s">
        <v>847</v>
      </c>
      <c r="AA2093" t="s">
        <v>705</v>
      </c>
      <c r="AJ2093">
        <v>1</v>
      </c>
      <c r="AM2093" t="str">
        <f t="shared" si="239"/>
        <v>Possession</v>
      </c>
      <c r="AN2093" t="str">
        <f t="shared" si="240"/>
        <v>PuckRecovery</v>
      </c>
      <c r="AP2093" t="str">
        <f t="shared" si="241"/>
        <v>Defensive</v>
      </c>
      <c r="BB2093" s="23"/>
      <c r="BD2093" s="21"/>
      <c r="BE2093" s="21"/>
      <c r="BF2093" s="21"/>
      <c r="BG2093" s="21"/>
      <c r="BH2093" s="21"/>
      <c r="BI2093" s="21"/>
    </row>
    <row r="2094" spans="1:61" x14ac:dyDescent="0.2">
      <c r="A2094">
        <v>1075</v>
      </c>
      <c r="B2094" t="s">
        <v>887</v>
      </c>
      <c r="C2094" t="str">
        <f t="shared" si="237"/>
        <v/>
      </c>
      <c r="D2094" t="str">
        <f t="shared" si="242"/>
        <v/>
      </c>
      <c r="H2094">
        <f t="shared" si="238"/>
        <v>2</v>
      </c>
      <c r="R2094">
        <v>25</v>
      </c>
      <c r="T2094" t="str">
        <f t="shared" si="236"/>
        <v>o</v>
      </c>
      <c r="Y2094" t="s">
        <v>847</v>
      </c>
      <c r="AA2094" t="s">
        <v>705</v>
      </c>
      <c r="AJ2094">
        <v>1</v>
      </c>
      <c r="AM2094" t="str">
        <f t="shared" si="239"/>
        <v>Possession</v>
      </c>
      <c r="AN2094" t="str">
        <f t="shared" si="240"/>
        <v>PuckRecovery</v>
      </c>
      <c r="AP2094" t="str">
        <f t="shared" si="241"/>
        <v>Defensive</v>
      </c>
      <c r="BB2094" s="23"/>
      <c r="BD2094" s="21"/>
      <c r="BE2094" s="21"/>
      <c r="BF2094" s="21"/>
      <c r="BG2094" s="21"/>
      <c r="BH2094" s="21"/>
      <c r="BI2094" s="21"/>
    </row>
    <row r="2095" spans="1:61" x14ac:dyDescent="0.2">
      <c r="A2095">
        <v>1076</v>
      </c>
      <c r="B2095" t="s">
        <v>887</v>
      </c>
      <c r="C2095" t="str">
        <f t="shared" si="237"/>
        <v/>
      </c>
      <c r="D2095" t="str">
        <f t="shared" si="242"/>
        <v/>
      </c>
      <c r="H2095">
        <f t="shared" si="238"/>
        <v>2</v>
      </c>
      <c r="I2095" s="5" t="s">
        <v>890</v>
      </c>
      <c r="J2095" s="5" t="s">
        <v>721</v>
      </c>
      <c r="Q2095" t="s">
        <v>620</v>
      </c>
      <c r="R2095">
        <v>70</v>
      </c>
      <c r="S2095">
        <v>1</v>
      </c>
      <c r="T2095" t="str">
        <f t="shared" si="236"/>
        <v>e</v>
      </c>
      <c r="U2095" t="s">
        <v>8</v>
      </c>
      <c r="V2095" t="s">
        <v>189</v>
      </c>
      <c r="W2095" t="s">
        <v>69</v>
      </c>
      <c r="X2095" t="s">
        <v>706</v>
      </c>
      <c r="Y2095" t="s">
        <v>814</v>
      </c>
      <c r="AA2095" t="s">
        <v>706</v>
      </c>
      <c r="AF2095" t="s">
        <v>401</v>
      </c>
      <c r="AM2095" t="str">
        <f t="shared" si="239"/>
        <v>Pass</v>
      </c>
      <c r="AN2095" t="str">
        <f t="shared" si="240"/>
        <v>Pass_Completed</v>
      </c>
      <c r="AP2095" t="str">
        <f t="shared" si="241"/>
        <v>Offensive</v>
      </c>
      <c r="BB2095" s="23"/>
      <c r="BD2095" s="21"/>
      <c r="BE2095" s="21"/>
      <c r="BF2095" s="21"/>
      <c r="BG2095" s="21"/>
      <c r="BH2095" s="21"/>
      <c r="BI2095" s="21"/>
    </row>
    <row r="2096" spans="1:61" x14ac:dyDescent="0.2">
      <c r="A2096">
        <v>1076</v>
      </c>
      <c r="B2096" t="s">
        <v>887</v>
      </c>
      <c r="C2096" t="str">
        <f t="shared" si="237"/>
        <v/>
      </c>
      <c r="D2096" t="str">
        <f t="shared" si="242"/>
        <v/>
      </c>
      <c r="H2096">
        <f t="shared" si="238"/>
        <v>2</v>
      </c>
      <c r="R2096">
        <v>22</v>
      </c>
      <c r="S2096">
        <v>1</v>
      </c>
      <c r="T2096" t="str">
        <f t="shared" si="236"/>
        <v>e</v>
      </c>
      <c r="AM2096" t="str">
        <f t="shared" si="239"/>
        <v>Pass</v>
      </c>
      <c r="AN2096" t="str">
        <f t="shared" si="240"/>
        <v>Pass_Completed</v>
      </c>
      <c r="AP2096" t="str">
        <f t="shared" si="241"/>
        <v>Offensive</v>
      </c>
      <c r="BB2096" s="23"/>
      <c r="BD2096" s="21"/>
      <c r="BE2096" s="21"/>
      <c r="BF2096" s="21"/>
      <c r="BG2096" s="21"/>
      <c r="BH2096" s="21"/>
      <c r="BI2096" s="21"/>
    </row>
    <row r="2097" spans="1:61" x14ac:dyDescent="0.2">
      <c r="A2097">
        <v>1077</v>
      </c>
      <c r="B2097" t="s">
        <v>887</v>
      </c>
      <c r="C2097" t="str">
        <f t="shared" si="237"/>
        <v/>
      </c>
      <c r="D2097" t="str">
        <f t="shared" si="242"/>
        <v/>
      </c>
      <c r="H2097">
        <f t="shared" si="238"/>
        <v>2</v>
      </c>
      <c r="I2097" s="5" t="s">
        <v>890</v>
      </c>
      <c r="J2097" s="5" t="s">
        <v>724</v>
      </c>
      <c r="Q2097" t="s">
        <v>620</v>
      </c>
      <c r="R2097">
        <v>22</v>
      </c>
      <c r="S2097">
        <v>1</v>
      </c>
      <c r="T2097" t="str">
        <f t="shared" si="236"/>
        <v>e</v>
      </c>
      <c r="U2097" t="s">
        <v>7</v>
      </c>
      <c r="V2097" t="s">
        <v>208</v>
      </c>
      <c r="W2097" t="s">
        <v>54</v>
      </c>
      <c r="X2097" t="s">
        <v>705</v>
      </c>
      <c r="AF2097" t="s">
        <v>401</v>
      </c>
      <c r="AM2097" t="str">
        <f t="shared" si="239"/>
        <v>Shot</v>
      </c>
      <c r="AN2097" t="str">
        <f t="shared" si="240"/>
        <v>Shot_Blocked</v>
      </c>
      <c r="AP2097" t="str">
        <f t="shared" si="241"/>
        <v>Offensive</v>
      </c>
      <c r="BB2097" s="23"/>
      <c r="BD2097" s="21"/>
      <c r="BE2097" s="21"/>
      <c r="BF2097" s="21"/>
      <c r="BG2097" s="21"/>
      <c r="BH2097" s="21"/>
      <c r="BI2097" s="21"/>
    </row>
    <row r="2098" spans="1:61" x14ac:dyDescent="0.2">
      <c r="A2098">
        <v>1077</v>
      </c>
      <c r="B2098" t="s">
        <v>887</v>
      </c>
      <c r="C2098" t="str">
        <f t="shared" si="237"/>
        <v/>
      </c>
      <c r="D2098" t="str">
        <f t="shared" si="242"/>
        <v/>
      </c>
      <c r="H2098">
        <f t="shared" si="238"/>
        <v>2</v>
      </c>
      <c r="R2098">
        <v>4</v>
      </c>
      <c r="T2098" t="str">
        <f t="shared" si="236"/>
        <v>o</v>
      </c>
      <c r="Y2098" t="s">
        <v>722</v>
      </c>
      <c r="Z2098" t="s">
        <v>681</v>
      </c>
      <c r="AA2098" t="s">
        <v>706</v>
      </c>
      <c r="AM2098" t="str">
        <f t="shared" si="239"/>
        <v>Shot</v>
      </c>
      <c r="AN2098" t="str">
        <f t="shared" si="240"/>
        <v>Shot_Blocked</v>
      </c>
      <c r="AP2098" t="str">
        <f t="shared" si="241"/>
        <v>Defensive</v>
      </c>
      <c r="BB2098" s="23"/>
      <c r="BD2098" s="21"/>
      <c r="BE2098" s="21"/>
      <c r="BF2098" s="21"/>
      <c r="BG2098" s="21"/>
      <c r="BH2098" s="21"/>
      <c r="BI2098" s="21"/>
    </row>
    <row r="2099" spans="1:61" x14ac:dyDescent="0.2">
      <c r="A2099">
        <v>1078</v>
      </c>
      <c r="B2099" t="s">
        <v>887</v>
      </c>
      <c r="C2099" t="str">
        <f t="shared" si="237"/>
        <v/>
      </c>
      <c r="D2099" t="str">
        <f t="shared" si="242"/>
        <v/>
      </c>
      <c r="H2099">
        <f t="shared" si="238"/>
        <v>2</v>
      </c>
      <c r="I2099" s="5" t="s">
        <v>890</v>
      </c>
      <c r="J2099" s="5" t="s">
        <v>759</v>
      </c>
      <c r="K2099" s="5" t="s">
        <v>890</v>
      </c>
      <c r="L2099" s="7" t="s">
        <v>727</v>
      </c>
      <c r="Q2099" t="s">
        <v>620</v>
      </c>
      <c r="R2099">
        <v>91</v>
      </c>
      <c r="S2099">
        <v>1</v>
      </c>
      <c r="T2099" t="str">
        <f t="shared" si="236"/>
        <v>e</v>
      </c>
      <c r="U2099" t="s">
        <v>15</v>
      </c>
      <c r="V2099" t="s">
        <v>698</v>
      </c>
      <c r="X2099" t="s">
        <v>706</v>
      </c>
      <c r="Y2099" t="s">
        <v>739</v>
      </c>
      <c r="AA2099" t="s">
        <v>706</v>
      </c>
      <c r="AF2099" t="s">
        <v>401</v>
      </c>
      <c r="AM2099" t="str">
        <f t="shared" si="239"/>
        <v>Possession</v>
      </c>
      <c r="AN2099" t="str">
        <f t="shared" si="240"/>
        <v>PuckRecovery</v>
      </c>
      <c r="AP2099" t="str">
        <f t="shared" si="241"/>
        <v>Offensive</v>
      </c>
      <c r="BB2099" s="23"/>
      <c r="BD2099" s="21"/>
      <c r="BE2099" s="21"/>
      <c r="BF2099" s="21"/>
      <c r="BG2099" s="21"/>
      <c r="BH2099" s="21"/>
      <c r="BI2099" s="21"/>
    </row>
    <row r="2100" spans="1:61" x14ac:dyDescent="0.2">
      <c r="A2100">
        <v>1079</v>
      </c>
      <c r="B2100" t="s">
        <v>887</v>
      </c>
      <c r="C2100" t="str">
        <f t="shared" si="237"/>
        <v/>
      </c>
      <c r="D2100" t="str">
        <f t="shared" si="242"/>
        <v/>
      </c>
      <c r="H2100">
        <f t="shared" si="238"/>
        <v>2</v>
      </c>
      <c r="I2100" s="5" t="s">
        <v>890</v>
      </c>
      <c r="J2100" s="5" t="s">
        <v>727</v>
      </c>
      <c r="K2100" s="5" t="s">
        <v>890</v>
      </c>
      <c r="L2100" s="7" t="s">
        <v>766</v>
      </c>
      <c r="Q2100" t="s">
        <v>620</v>
      </c>
      <c r="R2100">
        <v>91</v>
      </c>
      <c r="S2100">
        <v>1</v>
      </c>
      <c r="T2100" t="str">
        <f t="shared" si="236"/>
        <v>e</v>
      </c>
      <c r="U2100" t="s">
        <v>15</v>
      </c>
      <c r="Y2100" t="s">
        <v>767</v>
      </c>
      <c r="Z2100" t="s">
        <v>826</v>
      </c>
      <c r="AA2100" t="s">
        <v>705</v>
      </c>
      <c r="AF2100" t="s">
        <v>401</v>
      </c>
      <c r="AJ2100">
        <v>1</v>
      </c>
      <c r="AM2100" t="str">
        <f t="shared" si="239"/>
        <v>Possession</v>
      </c>
      <c r="AN2100" t="str">
        <f t="shared" si="240"/>
        <v/>
      </c>
      <c r="AP2100" t="str">
        <f t="shared" si="241"/>
        <v>Offensive</v>
      </c>
      <c r="BB2100" s="23"/>
      <c r="BD2100" s="21"/>
      <c r="BE2100" s="21"/>
      <c r="BF2100" s="21"/>
      <c r="BG2100" s="21"/>
      <c r="BH2100" s="21"/>
      <c r="BI2100" s="21"/>
    </row>
    <row r="2101" spans="1:61" x14ac:dyDescent="0.2">
      <c r="A2101">
        <v>1079</v>
      </c>
      <c r="B2101" t="s">
        <v>887</v>
      </c>
      <c r="C2101" t="str">
        <f t="shared" si="237"/>
        <v/>
      </c>
      <c r="D2101" t="str">
        <f t="shared" si="242"/>
        <v/>
      </c>
      <c r="H2101">
        <f t="shared" si="238"/>
        <v>2</v>
      </c>
      <c r="R2101">
        <v>4</v>
      </c>
      <c r="T2101" t="str">
        <f t="shared" si="236"/>
        <v>o</v>
      </c>
      <c r="Y2101" t="s">
        <v>714</v>
      </c>
      <c r="AA2101" t="s">
        <v>706</v>
      </c>
      <c r="AJ2101">
        <v>1</v>
      </c>
      <c r="AM2101" t="str">
        <f t="shared" si="239"/>
        <v>Possession</v>
      </c>
      <c r="AN2101" t="str">
        <f t="shared" si="240"/>
        <v/>
      </c>
      <c r="AP2101" t="str">
        <f t="shared" si="241"/>
        <v>Defensive</v>
      </c>
      <c r="BB2101" s="23"/>
      <c r="BD2101" s="21"/>
      <c r="BE2101" s="21"/>
      <c r="BF2101" s="21"/>
      <c r="BG2101" s="21"/>
      <c r="BH2101" s="21"/>
      <c r="BI2101" s="21"/>
    </row>
    <row r="2102" spans="1:61" x14ac:dyDescent="0.2">
      <c r="A2102">
        <v>1080</v>
      </c>
      <c r="B2102" t="s">
        <v>887</v>
      </c>
      <c r="C2102" t="str">
        <f t="shared" si="237"/>
        <v/>
      </c>
      <c r="D2102" t="str">
        <f t="shared" si="242"/>
        <v/>
      </c>
      <c r="H2102">
        <f t="shared" si="238"/>
        <v>2</v>
      </c>
      <c r="I2102" s="5" t="s">
        <v>890</v>
      </c>
      <c r="J2102" s="5" t="s">
        <v>766</v>
      </c>
      <c r="Q2102" t="s">
        <v>619</v>
      </c>
      <c r="R2102">
        <v>4</v>
      </c>
      <c r="S2102">
        <v>1</v>
      </c>
      <c r="T2102" t="str">
        <f t="shared" si="236"/>
        <v>e</v>
      </c>
      <c r="U2102" t="s">
        <v>10</v>
      </c>
      <c r="V2102" t="s">
        <v>200</v>
      </c>
      <c r="W2102" t="s">
        <v>82</v>
      </c>
      <c r="X2102" t="s">
        <v>706</v>
      </c>
      <c r="Y2102" t="s">
        <v>714</v>
      </c>
      <c r="AA2102" t="s">
        <v>706</v>
      </c>
      <c r="AF2102" t="s">
        <v>623</v>
      </c>
      <c r="AJ2102">
        <v>1</v>
      </c>
      <c r="AM2102" t="str">
        <f t="shared" si="239"/>
        <v>Turnover</v>
      </c>
      <c r="AN2102" t="str">
        <f t="shared" si="240"/>
        <v>Turnover_Takeaway</v>
      </c>
      <c r="AP2102" t="str">
        <f t="shared" si="241"/>
        <v>Defensive</v>
      </c>
      <c r="BB2102" s="23"/>
      <c r="BD2102" s="21"/>
      <c r="BE2102" s="21"/>
      <c r="BF2102" s="21"/>
      <c r="BG2102" s="21"/>
      <c r="BH2102" s="21"/>
      <c r="BI2102" s="21"/>
    </row>
    <row r="2103" spans="1:61" x14ac:dyDescent="0.2">
      <c r="A2103">
        <v>1080</v>
      </c>
      <c r="B2103" t="s">
        <v>887</v>
      </c>
      <c r="C2103" t="str">
        <f t="shared" si="237"/>
        <v/>
      </c>
      <c r="D2103" t="str">
        <f t="shared" si="242"/>
        <v/>
      </c>
      <c r="H2103">
        <f t="shared" si="238"/>
        <v>2</v>
      </c>
      <c r="R2103">
        <v>91</v>
      </c>
      <c r="T2103" t="str">
        <f t="shared" si="236"/>
        <v>o</v>
      </c>
      <c r="Y2103" t="s">
        <v>767</v>
      </c>
      <c r="Z2103" t="s">
        <v>826</v>
      </c>
      <c r="AA2103" t="s">
        <v>705</v>
      </c>
      <c r="AJ2103">
        <v>1</v>
      </c>
      <c r="AM2103" t="str">
        <f t="shared" si="239"/>
        <v>Turnover</v>
      </c>
      <c r="AN2103" t="str">
        <f t="shared" si="240"/>
        <v>Turnover_Takeaway</v>
      </c>
      <c r="AP2103" t="str">
        <f t="shared" si="241"/>
        <v>Offensive</v>
      </c>
      <c r="BB2103" s="23"/>
      <c r="BD2103" s="21"/>
      <c r="BE2103" s="21"/>
      <c r="BF2103" s="21"/>
      <c r="BG2103" s="21"/>
      <c r="BH2103" s="21"/>
      <c r="BI2103" s="21"/>
    </row>
    <row r="2104" spans="1:61" x14ac:dyDescent="0.2">
      <c r="A2104">
        <v>1081</v>
      </c>
      <c r="B2104" t="s">
        <v>887</v>
      </c>
      <c r="C2104" t="str">
        <f t="shared" si="237"/>
        <v/>
      </c>
      <c r="D2104" t="str">
        <f t="shared" si="242"/>
        <v/>
      </c>
      <c r="H2104">
        <f t="shared" si="238"/>
        <v>2</v>
      </c>
      <c r="I2104" s="5" t="s">
        <v>890</v>
      </c>
      <c r="J2104" s="5" t="s">
        <v>760</v>
      </c>
      <c r="K2104" s="5" t="s">
        <v>890</v>
      </c>
      <c r="L2104" s="7" t="s">
        <v>621</v>
      </c>
      <c r="Q2104" t="s">
        <v>619</v>
      </c>
      <c r="R2104">
        <v>25</v>
      </c>
      <c r="S2104">
        <v>1</v>
      </c>
      <c r="T2104" t="str">
        <f t="shared" si="236"/>
        <v>e</v>
      </c>
      <c r="U2104" t="s">
        <v>15</v>
      </c>
      <c r="V2104" t="s">
        <v>697</v>
      </c>
      <c r="X2104" t="s">
        <v>706</v>
      </c>
      <c r="Y2104" t="s">
        <v>712</v>
      </c>
      <c r="AA2104" t="s">
        <v>706</v>
      </c>
      <c r="AF2104" t="s">
        <v>623</v>
      </c>
      <c r="AM2104" t="str">
        <f t="shared" si="239"/>
        <v>Possession</v>
      </c>
      <c r="AN2104" t="str">
        <f t="shared" si="240"/>
        <v>PuckRetrieval</v>
      </c>
      <c r="AP2104" t="str">
        <f t="shared" si="241"/>
        <v>Offensive</v>
      </c>
      <c r="BB2104" s="23"/>
      <c r="BD2104" s="21"/>
      <c r="BE2104" s="21"/>
      <c r="BF2104" s="21"/>
      <c r="BG2104" s="21"/>
      <c r="BH2104" s="21"/>
      <c r="BI2104" s="21"/>
    </row>
    <row r="2105" spans="1:61" x14ac:dyDescent="0.2">
      <c r="A2105">
        <v>1082</v>
      </c>
      <c r="B2105" t="s">
        <v>887</v>
      </c>
      <c r="C2105" t="str">
        <f t="shared" si="237"/>
        <v/>
      </c>
      <c r="D2105" t="str">
        <f t="shared" si="242"/>
        <v/>
      </c>
      <c r="H2105">
        <f t="shared" si="238"/>
        <v>2</v>
      </c>
      <c r="I2105" s="5" t="s">
        <v>890</v>
      </c>
      <c r="J2105" s="5" t="s">
        <v>621</v>
      </c>
      <c r="Q2105" t="s">
        <v>619</v>
      </c>
      <c r="R2105">
        <v>25</v>
      </c>
      <c r="S2105">
        <v>1</v>
      </c>
      <c r="T2105" t="str">
        <f t="shared" si="236"/>
        <v>e</v>
      </c>
      <c r="U2105" t="s">
        <v>8</v>
      </c>
      <c r="V2105" t="s">
        <v>189</v>
      </c>
      <c r="W2105" t="s">
        <v>70</v>
      </c>
      <c r="X2105" t="s">
        <v>706</v>
      </c>
      <c r="AF2105" t="s">
        <v>623</v>
      </c>
      <c r="AJ2105">
        <v>1</v>
      </c>
      <c r="AM2105" t="str">
        <f t="shared" si="239"/>
        <v>Pass</v>
      </c>
      <c r="AN2105" t="str">
        <f t="shared" si="240"/>
        <v>Pass_Completed</v>
      </c>
      <c r="AP2105" t="str">
        <f t="shared" si="241"/>
        <v>Offensive</v>
      </c>
      <c r="BB2105" s="23"/>
      <c r="BD2105" s="21"/>
      <c r="BE2105" s="21"/>
      <c r="BF2105" s="21"/>
      <c r="BG2105" s="21"/>
      <c r="BH2105" s="21"/>
      <c r="BI2105" s="21"/>
    </row>
    <row r="2106" spans="1:61" x14ac:dyDescent="0.2">
      <c r="A2106">
        <v>1082</v>
      </c>
      <c r="B2106" t="s">
        <v>887</v>
      </c>
      <c r="C2106" t="str">
        <f t="shared" si="237"/>
        <v/>
      </c>
      <c r="D2106" t="str">
        <f t="shared" si="242"/>
        <v/>
      </c>
      <c r="H2106">
        <f t="shared" si="238"/>
        <v>2</v>
      </c>
      <c r="R2106">
        <v>80</v>
      </c>
      <c r="S2106">
        <v>1</v>
      </c>
      <c r="T2106" t="str">
        <f t="shared" si="236"/>
        <v>e</v>
      </c>
      <c r="AM2106" t="str">
        <f t="shared" si="239"/>
        <v>Pass</v>
      </c>
      <c r="AN2106" t="str">
        <f t="shared" si="240"/>
        <v>Pass_Completed</v>
      </c>
      <c r="AP2106" t="str">
        <f t="shared" si="241"/>
        <v>Offensive</v>
      </c>
      <c r="BB2106" s="23"/>
      <c r="BD2106" s="21"/>
      <c r="BE2106" s="21"/>
      <c r="BF2106" s="21"/>
      <c r="BG2106" s="21"/>
      <c r="BH2106" s="21"/>
      <c r="BI2106" s="21"/>
    </row>
    <row r="2107" spans="1:61" x14ac:dyDescent="0.2">
      <c r="A2107">
        <v>1082</v>
      </c>
      <c r="B2107" t="s">
        <v>887</v>
      </c>
      <c r="C2107" t="str">
        <f t="shared" si="237"/>
        <v/>
      </c>
      <c r="D2107" t="str">
        <f t="shared" si="242"/>
        <v/>
      </c>
      <c r="H2107">
        <f t="shared" si="238"/>
        <v>2</v>
      </c>
      <c r="R2107">
        <v>61</v>
      </c>
      <c r="T2107" t="str">
        <f t="shared" si="236"/>
        <v>o</v>
      </c>
      <c r="AJ2107">
        <v>1</v>
      </c>
      <c r="AM2107" t="str">
        <f t="shared" si="239"/>
        <v>Pass</v>
      </c>
      <c r="AN2107" t="str">
        <f t="shared" si="240"/>
        <v>Pass_Completed</v>
      </c>
      <c r="AP2107" t="str">
        <f t="shared" si="241"/>
        <v>Defensive</v>
      </c>
      <c r="BB2107" s="23"/>
      <c r="BD2107" s="21"/>
      <c r="BE2107" s="21"/>
      <c r="BF2107" s="21"/>
      <c r="BG2107" s="21"/>
      <c r="BH2107" s="21"/>
      <c r="BI2107" s="21"/>
    </row>
    <row r="2108" spans="1:61" x14ac:dyDescent="0.2">
      <c r="A2108">
        <v>1083</v>
      </c>
      <c r="B2108">
        <v>177</v>
      </c>
      <c r="C2108">
        <f t="shared" si="237"/>
        <v>9177</v>
      </c>
      <c r="D2108">
        <f t="shared" si="242"/>
        <v>9177</v>
      </c>
      <c r="H2108">
        <f t="shared" si="238"/>
        <v>2</v>
      </c>
      <c r="I2108" s="5" t="s">
        <v>890</v>
      </c>
      <c r="J2108" s="5" t="s">
        <v>732</v>
      </c>
      <c r="Q2108" t="s">
        <v>619</v>
      </c>
      <c r="R2108">
        <v>80</v>
      </c>
      <c r="S2108">
        <v>1</v>
      </c>
      <c r="T2108" t="str">
        <f t="shared" si="236"/>
        <v>e</v>
      </c>
      <c r="U2108" t="s">
        <v>8</v>
      </c>
      <c r="V2108" t="s">
        <v>199</v>
      </c>
      <c r="W2108" t="s">
        <v>70</v>
      </c>
      <c r="X2108" t="s">
        <v>705</v>
      </c>
      <c r="Y2108" t="s">
        <v>814</v>
      </c>
      <c r="Z2108" t="s">
        <v>744</v>
      </c>
      <c r="AA2108" t="s">
        <v>705</v>
      </c>
      <c r="AF2108" t="s">
        <v>623</v>
      </c>
      <c r="AM2108" t="str">
        <f t="shared" si="239"/>
        <v>Pass</v>
      </c>
      <c r="AN2108" t="str">
        <f t="shared" si="240"/>
        <v>Pass_Missed</v>
      </c>
      <c r="AP2108" t="str">
        <f t="shared" si="241"/>
        <v>Offensive</v>
      </c>
      <c r="BB2108" s="23"/>
      <c r="BD2108" s="21"/>
      <c r="BE2108" s="21"/>
      <c r="BF2108" s="21"/>
      <c r="BG2108" s="21"/>
      <c r="BH2108" s="21"/>
      <c r="BI2108" s="21"/>
    </row>
    <row r="2109" spans="1:61" x14ac:dyDescent="0.2">
      <c r="A2109">
        <v>1083</v>
      </c>
      <c r="B2109">
        <v>177</v>
      </c>
      <c r="C2109">
        <f t="shared" si="237"/>
        <v>9177</v>
      </c>
      <c r="D2109">
        <f t="shared" si="242"/>
        <v>9177</v>
      </c>
      <c r="H2109">
        <f t="shared" si="238"/>
        <v>2</v>
      </c>
      <c r="R2109">
        <v>91</v>
      </c>
      <c r="S2109">
        <v>1</v>
      </c>
      <c r="T2109" t="str">
        <f t="shared" si="236"/>
        <v>e</v>
      </c>
      <c r="AM2109" t="str">
        <f t="shared" si="239"/>
        <v>Pass</v>
      </c>
      <c r="AN2109" t="str">
        <f t="shared" si="240"/>
        <v>Pass_Missed</v>
      </c>
      <c r="AP2109" t="str">
        <f t="shared" si="241"/>
        <v>Offensive</v>
      </c>
      <c r="BB2109" s="23"/>
      <c r="BD2109" s="21"/>
      <c r="BE2109" s="21"/>
      <c r="BF2109" s="21"/>
      <c r="BG2109" s="21"/>
      <c r="BH2109" s="21"/>
      <c r="BI2109" s="21"/>
    </row>
    <row r="2110" spans="1:61" x14ac:dyDescent="0.2">
      <c r="A2110">
        <v>1084</v>
      </c>
      <c r="B2110">
        <v>177</v>
      </c>
      <c r="C2110">
        <f t="shared" si="237"/>
        <v>9177</v>
      </c>
      <c r="D2110">
        <f t="shared" si="242"/>
        <v>9177</v>
      </c>
      <c r="H2110">
        <f t="shared" si="238"/>
        <v>2</v>
      </c>
      <c r="I2110" s="5" t="s">
        <v>890</v>
      </c>
      <c r="J2110" s="5" t="s">
        <v>732</v>
      </c>
      <c r="Q2110" t="s">
        <v>619</v>
      </c>
      <c r="R2110">
        <v>80</v>
      </c>
      <c r="S2110">
        <v>1</v>
      </c>
      <c r="T2110" t="str">
        <f t="shared" ref="T2110:T2115" si="244">IF(S2110="x","",IF(S2110=1,"e","o"))</f>
        <v>e</v>
      </c>
      <c r="U2110" t="s">
        <v>257</v>
      </c>
      <c r="V2110" t="s">
        <v>201</v>
      </c>
      <c r="W2110" t="s">
        <v>409</v>
      </c>
      <c r="X2110" t="s">
        <v>705</v>
      </c>
      <c r="Y2110" t="s">
        <v>814</v>
      </c>
      <c r="Z2110" t="s">
        <v>744</v>
      </c>
      <c r="AA2110" t="s">
        <v>705</v>
      </c>
      <c r="AF2110" t="s">
        <v>623</v>
      </c>
      <c r="AM2110" t="str">
        <f t="shared" si="239"/>
        <v>Zone_Entry_Exit</v>
      </c>
      <c r="AN2110" t="str">
        <f t="shared" si="240"/>
        <v>Zone_Exit</v>
      </c>
      <c r="AP2110" t="str">
        <f t="shared" si="241"/>
        <v>Offensive</v>
      </c>
      <c r="BB2110" s="23"/>
      <c r="BD2110" s="21"/>
      <c r="BE2110" s="21"/>
      <c r="BF2110" s="21"/>
      <c r="BG2110" s="21"/>
      <c r="BH2110" s="21"/>
      <c r="BI2110" s="21"/>
    </row>
    <row r="2111" spans="1:61" x14ac:dyDescent="0.2">
      <c r="A2111">
        <v>1084</v>
      </c>
      <c r="B2111">
        <v>177</v>
      </c>
      <c r="C2111">
        <f t="shared" si="237"/>
        <v>9177</v>
      </c>
      <c r="D2111">
        <f t="shared" si="242"/>
        <v>9177</v>
      </c>
      <c r="H2111">
        <f t="shared" si="238"/>
        <v>2</v>
      </c>
      <c r="R2111">
        <v>91</v>
      </c>
      <c r="S2111">
        <v>1</v>
      </c>
      <c r="T2111" t="str">
        <f t="shared" si="244"/>
        <v>e</v>
      </c>
      <c r="AM2111" t="str">
        <f t="shared" si="239"/>
        <v>Zone_Entry_Exit</v>
      </c>
      <c r="AN2111" t="str">
        <f t="shared" si="240"/>
        <v>Zone_Exit</v>
      </c>
      <c r="AP2111" t="str">
        <f t="shared" si="241"/>
        <v>Offensive</v>
      </c>
      <c r="BB2111" s="23"/>
      <c r="BD2111" s="21"/>
      <c r="BE2111" s="21"/>
      <c r="BF2111" s="21"/>
      <c r="BG2111" s="21"/>
      <c r="BH2111" s="21"/>
      <c r="BI2111" s="21"/>
    </row>
    <row r="2112" spans="1:61" x14ac:dyDescent="0.2">
      <c r="A2112">
        <v>1085</v>
      </c>
      <c r="B2112">
        <v>177</v>
      </c>
      <c r="C2112">
        <f t="shared" si="237"/>
        <v>9177</v>
      </c>
      <c r="D2112">
        <f t="shared" si="242"/>
        <v>9177</v>
      </c>
      <c r="H2112">
        <f t="shared" si="238"/>
        <v>2</v>
      </c>
      <c r="I2112" s="5" t="s">
        <v>890</v>
      </c>
      <c r="J2112" s="5" t="s">
        <v>732</v>
      </c>
      <c r="Q2112" t="s">
        <v>619</v>
      </c>
      <c r="R2112">
        <v>80</v>
      </c>
      <c r="S2112">
        <v>1</v>
      </c>
      <c r="T2112" t="str">
        <f t="shared" si="244"/>
        <v>e</v>
      </c>
      <c r="U2112" t="s">
        <v>257</v>
      </c>
      <c r="V2112" t="s">
        <v>191</v>
      </c>
      <c r="W2112" t="s">
        <v>423</v>
      </c>
      <c r="X2112" t="s">
        <v>705</v>
      </c>
      <c r="Y2112" t="s">
        <v>814</v>
      </c>
      <c r="Z2112" t="s">
        <v>744</v>
      </c>
      <c r="AA2112" t="s">
        <v>705</v>
      </c>
      <c r="AF2112" t="s">
        <v>623</v>
      </c>
      <c r="AM2112" t="str">
        <f t="shared" si="239"/>
        <v>Zone_Entry_Exit</v>
      </c>
      <c r="AN2112" t="str">
        <f t="shared" si="240"/>
        <v>Zone_Entry</v>
      </c>
      <c r="AP2112" t="str">
        <f t="shared" si="241"/>
        <v>Offensive</v>
      </c>
      <c r="BB2112" s="23"/>
      <c r="BD2112" s="21"/>
      <c r="BE2112" s="21"/>
      <c r="BF2112" s="21"/>
      <c r="BG2112" s="21"/>
      <c r="BH2112" s="21"/>
      <c r="BI2112" s="21"/>
    </row>
    <row r="2113" spans="1:61" x14ac:dyDescent="0.2">
      <c r="A2113">
        <v>1085</v>
      </c>
      <c r="B2113">
        <v>177</v>
      </c>
      <c r="C2113">
        <f t="shared" si="237"/>
        <v>9177</v>
      </c>
      <c r="D2113">
        <f t="shared" si="242"/>
        <v>9177</v>
      </c>
      <c r="H2113">
        <f t="shared" si="238"/>
        <v>2</v>
      </c>
      <c r="R2113">
        <v>91</v>
      </c>
      <c r="S2113">
        <v>1</v>
      </c>
      <c r="T2113" t="str">
        <f t="shared" si="244"/>
        <v>e</v>
      </c>
      <c r="AM2113" t="str">
        <f t="shared" si="239"/>
        <v>Zone_Entry_Exit</v>
      </c>
      <c r="AN2113" t="str">
        <f t="shared" si="240"/>
        <v>Zone_Entry</v>
      </c>
      <c r="AP2113" t="str">
        <f t="shared" si="241"/>
        <v>Offensive</v>
      </c>
      <c r="BB2113" s="23"/>
      <c r="BD2113" s="21"/>
      <c r="BE2113" s="21"/>
      <c r="BF2113" s="21"/>
      <c r="BG2113" s="21"/>
      <c r="BH2113" s="21"/>
      <c r="BI2113" s="21"/>
    </row>
    <row r="2114" spans="1:61" x14ac:dyDescent="0.2">
      <c r="A2114">
        <v>1086</v>
      </c>
      <c r="B2114">
        <v>177</v>
      </c>
      <c r="C2114">
        <f t="shared" si="237"/>
        <v>9177</v>
      </c>
      <c r="D2114">
        <f t="shared" si="242"/>
        <v>9177</v>
      </c>
      <c r="H2114">
        <f t="shared" si="238"/>
        <v>2</v>
      </c>
      <c r="I2114" s="5" t="s">
        <v>890</v>
      </c>
      <c r="J2114" s="5" t="s">
        <v>732</v>
      </c>
      <c r="Q2114" t="s">
        <v>619</v>
      </c>
      <c r="R2114">
        <v>80</v>
      </c>
      <c r="S2114">
        <v>1</v>
      </c>
      <c r="T2114" t="str">
        <f t="shared" si="244"/>
        <v>e</v>
      </c>
      <c r="U2114" t="s">
        <v>10</v>
      </c>
      <c r="V2114" t="s">
        <v>190</v>
      </c>
      <c r="W2114" t="s">
        <v>76</v>
      </c>
      <c r="X2114" t="s">
        <v>705</v>
      </c>
      <c r="Y2114" t="s">
        <v>814</v>
      </c>
      <c r="Z2114" t="s">
        <v>744</v>
      </c>
      <c r="AA2114" t="s">
        <v>705</v>
      </c>
      <c r="AF2114" t="s">
        <v>623</v>
      </c>
      <c r="AM2114" t="str">
        <f t="shared" si="239"/>
        <v>Turnover</v>
      </c>
      <c r="AN2114" t="str">
        <f t="shared" si="240"/>
        <v>Turnover_Giveaway</v>
      </c>
      <c r="AP2114" t="str">
        <f t="shared" si="241"/>
        <v>Offensive</v>
      </c>
      <c r="BB2114" s="23"/>
      <c r="BD2114" s="21"/>
      <c r="BE2114" s="21"/>
      <c r="BF2114" s="21"/>
      <c r="BG2114" s="21"/>
      <c r="BH2114" s="21"/>
      <c r="BI2114" s="21"/>
    </row>
    <row r="2115" spans="1:61" x14ac:dyDescent="0.2">
      <c r="A2115">
        <v>1086</v>
      </c>
      <c r="B2115">
        <v>177</v>
      </c>
      <c r="C2115">
        <f t="shared" si="237"/>
        <v>9177</v>
      </c>
      <c r="D2115">
        <f t="shared" si="242"/>
        <v>9177</v>
      </c>
      <c r="H2115">
        <f t="shared" si="238"/>
        <v>2</v>
      </c>
      <c r="R2115">
        <v>91</v>
      </c>
      <c r="S2115">
        <v>1</v>
      </c>
      <c r="T2115" t="str">
        <f t="shared" si="244"/>
        <v>e</v>
      </c>
      <c r="AM2115" t="str">
        <f t="shared" si="239"/>
        <v>Turnover</v>
      </c>
      <c r="AN2115" t="str">
        <f t="shared" si="240"/>
        <v>Turnover_Giveaway</v>
      </c>
      <c r="AP2115" t="str">
        <f t="shared" si="241"/>
        <v>Offensive</v>
      </c>
      <c r="BB2115" s="23"/>
      <c r="BD2115" s="21"/>
      <c r="BE2115" s="21"/>
      <c r="BF2115" s="21"/>
      <c r="BG2115" s="21"/>
      <c r="BH2115" s="21"/>
      <c r="BI2115" s="21"/>
    </row>
    <row r="2116" spans="1:61" x14ac:dyDescent="0.2">
      <c r="A2116">
        <v>1087</v>
      </c>
      <c r="B2116" t="s">
        <v>887</v>
      </c>
      <c r="C2116" t="str">
        <f t="shared" ref="C2116:C2179" si="245">IF(B2116&lt;&gt;"",9000+B2116,"")</f>
        <v/>
      </c>
      <c r="D2116" t="str">
        <f t="shared" si="242"/>
        <v/>
      </c>
      <c r="H2116">
        <f t="shared" si="238"/>
        <v>2</v>
      </c>
      <c r="I2116" s="5" t="s">
        <v>890</v>
      </c>
      <c r="J2116" s="5" t="s">
        <v>734</v>
      </c>
      <c r="K2116" s="5" t="s">
        <v>890</v>
      </c>
      <c r="L2116" s="7" t="s">
        <v>736</v>
      </c>
      <c r="Q2116" t="s">
        <v>620</v>
      </c>
      <c r="R2116">
        <v>22</v>
      </c>
      <c r="S2116">
        <v>1</v>
      </c>
      <c r="T2116" t="str">
        <f t="shared" ref="T2116:T2178" si="246">IF(S2116="x","",IF(S2116=1,"e","o"))</f>
        <v>e</v>
      </c>
      <c r="U2116" t="s">
        <v>15</v>
      </c>
      <c r="V2116" t="s">
        <v>697</v>
      </c>
      <c r="X2116" t="s">
        <v>706</v>
      </c>
      <c r="Y2116" t="s">
        <v>712</v>
      </c>
      <c r="AA2116" t="s">
        <v>706</v>
      </c>
      <c r="AF2116" t="s">
        <v>623</v>
      </c>
      <c r="AM2116" t="str">
        <f t="shared" si="239"/>
        <v>Possession</v>
      </c>
      <c r="AN2116" t="str">
        <f t="shared" si="240"/>
        <v>PuckRetrieval</v>
      </c>
      <c r="AP2116" t="str">
        <f t="shared" si="241"/>
        <v>Offensive</v>
      </c>
      <c r="BB2116" s="23"/>
      <c r="BD2116" s="21"/>
      <c r="BE2116" s="21"/>
      <c r="BF2116" s="21"/>
      <c r="BG2116" s="21"/>
      <c r="BH2116" s="21"/>
      <c r="BI2116" s="21"/>
    </row>
    <row r="2117" spans="1:61" x14ac:dyDescent="0.2">
      <c r="A2117">
        <v>1088</v>
      </c>
      <c r="B2117" t="s">
        <v>887</v>
      </c>
      <c r="C2117" t="str">
        <f t="shared" si="245"/>
        <v/>
      </c>
      <c r="D2117" t="str">
        <f t="shared" si="242"/>
        <v/>
      </c>
      <c r="H2117">
        <f t="shared" ref="H2117:H2180" si="247">IF(U2117="Intermission",H2116+1,H2116)</f>
        <v>2</v>
      </c>
      <c r="I2117" s="5" t="s">
        <v>890</v>
      </c>
      <c r="J2117" s="5" t="s">
        <v>736</v>
      </c>
      <c r="K2117" s="5" t="s">
        <v>890</v>
      </c>
      <c r="L2117" s="7" t="s">
        <v>738</v>
      </c>
      <c r="Q2117" t="s">
        <v>620</v>
      </c>
      <c r="R2117">
        <v>22</v>
      </c>
      <c r="S2117">
        <v>1</v>
      </c>
      <c r="T2117" t="str">
        <f t="shared" si="246"/>
        <v>e</v>
      </c>
      <c r="U2117" t="s">
        <v>15</v>
      </c>
      <c r="Y2117" t="s">
        <v>777</v>
      </c>
      <c r="AF2117" t="s">
        <v>623</v>
      </c>
      <c r="AJ2117">
        <v>1</v>
      </c>
      <c r="AM2117" t="str">
        <f t="shared" ref="AM2117:AM2180" si="248">IF(U2117&lt;&gt;"",U2117,IF($A2117=$A2116,AM2116,""))</f>
        <v>Possession</v>
      </c>
      <c r="AN2117" t="str">
        <f t="shared" ref="AN2117:AN2180" si="249">IF(V2117&lt;&gt;"",V2117,IF($A2117=$A2116,AN2116,""))</f>
        <v/>
      </c>
      <c r="AP2117" t="str">
        <f t="shared" si="241"/>
        <v>Offensive</v>
      </c>
      <c r="BB2117" s="23"/>
      <c r="BD2117" s="21"/>
      <c r="BE2117" s="21"/>
      <c r="BF2117" s="21"/>
      <c r="BG2117" s="21"/>
      <c r="BH2117" s="21"/>
      <c r="BI2117" s="21"/>
    </row>
    <row r="2118" spans="1:61" x14ac:dyDescent="0.2">
      <c r="A2118">
        <v>1088</v>
      </c>
      <c r="B2118" t="s">
        <v>887</v>
      </c>
      <c r="C2118" t="str">
        <f t="shared" si="245"/>
        <v/>
      </c>
      <c r="D2118" t="str">
        <f t="shared" si="242"/>
        <v/>
      </c>
      <c r="H2118">
        <f t="shared" si="247"/>
        <v>2</v>
      </c>
      <c r="R2118">
        <v>91</v>
      </c>
      <c r="T2118" t="str">
        <f t="shared" si="246"/>
        <v>o</v>
      </c>
      <c r="AJ2118">
        <v>1</v>
      </c>
      <c r="AM2118" t="str">
        <f t="shared" si="248"/>
        <v>Possession</v>
      </c>
      <c r="AN2118" t="str">
        <f t="shared" si="249"/>
        <v/>
      </c>
      <c r="AP2118" t="str">
        <f t="shared" ref="AP2118:AP2181" si="250">IF(AND(T2118="e",OR(AM2118="Save",AN2118="Turnover_Takeaway",AN2118="Play_Defensive")),"Defensive",IF(AND(T2118="o",OR(AM2118="Save",AN2118="Turnover_Takeaway",AN2118="Play_Defensive")),"Offensive",IF(OR(AM2118="Deadice",AM2118="Stoppage",AM2118="Intermission"),"",IF(T2118="e","Offensive",IF(T2118="o","Defensive","")))))</f>
        <v>Defensive</v>
      </c>
      <c r="BB2118" s="23"/>
      <c r="BD2118" s="21"/>
      <c r="BE2118" s="21"/>
      <c r="BF2118" s="21"/>
      <c r="BG2118" s="21"/>
      <c r="BH2118" s="21"/>
      <c r="BI2118" s="21"/>
    </row>
    <row r="2119" spans="1:61" x14ac:dyDescent="0.2">
      <c r="A2119">
        <v>1089</v>
      </c>
      <c r="B2119" t="s">
        <v>887</v>
      </c>
      <c r="C2119" t="str">
        <f t="shared" si="245"/>
        <v/>
      </c>
      <c r="D2119" t="str">
        <f t="shared" si="242"/>
        <v/>
      </c>
      <c r="H2119">
        <f t="shared" si="247"/>
        <v>2</v>
      </c>
      <c r="I2119" s="5" t="s">
        <v>890</v>
      </c>
      <c r="J2119" s="5" t="s">
        <v>738</v>
      </c>
      <c r="K2119" s="5" t="s">
        <v>890</v>
      </c>
      <c r="L2119" s="7" t="s">
        <v>741</v>
      </c>
      <c r="Q2119" t="s">
        <v>620</v>
      </c>
      <c r="R2119">
        <v>22</v>
      </c>
      <c r="S2119">
        <v>1</v>
      </c>
      <c r="T2119" t="str">
        <f t="shared" si="246"/>
        <v>e</v>
      </c>
      <c r="U2119" t="s">
        <v>15</v>
      </c>
      <c r="Y2119" t="s">
        <v>679</v>
      </c>
      <c r="AF2119" t="s">
        <v>623</v>
      </c>
      <c r="AJ2119">
        <v>1</v>
      </c>
      <c r="AM2119" t="str">
        <f t="shared" si="248"/>
        <v>Possession</v>
      </c>
      <c r="AN2119" t="str">
        <f t="shared" si="249"/>
        <v/>
      </c>
      <c r="AP2119" t="str">
        <f t="shared" si="250"/>
        <v>Offensive</v>
      </c>
      <c r="BB2119" s="23"/>
      <c r="BD2119" s="21"/>
      <c r="BE2119" s="21"/>
      <c r="BF2119" s="21"/>
      <c r="BG2119" s="21"/>
      <c r="BH2119" s="21"/>
      <c r="BI2119" s="21"/>
    </row>
    <row r="2120" spans="1:61" x14ac:dyDescent="0.2">
      <c r="A2120">
        <v>1089</v>
      </c>
      <c r="B2120" t="s">
        <v>887</v>
      </c>
      <c r="C2120" t="str">
        <f t="shared" si="245"/>
        <v/>
      </c>
      <c r="D2120" t="str">
        <f t="shared" si="242"/>
        <v/>
      </c>
      <c r="H2120">
        <f t="shared" si="247"/>
        <v>2</v>
      </c>
      <c r="R2120">
        <v>91</v>
      </c>
      <c r="T2120" t="str">
        <f t="shared" si="246"/>
        <v>o</v>
      </c>
      <c r="AJ2120">
        <v>1</v>
      </c>
      <c r="AM2120" t="str">
        <f t="shared" si="248"/>
        <v>Possession</v>
      </c>
      <c r="AN2120" t="str">
        <f t="shared" si="249"/>
        <v/>
      </c>
      <c r="AP2120" t="str">
        <f t="shared" si="250"/>
        <v>Defensive</v>
      </c>
      <c r="BB2120" s="23"/>
      <c r="BD2120" s="21"/>
      <c r="BE2120" s="21"/>
      <c r="BF2120" s="21"/>
      <c r="BG2120" s="21"/>
      <c r="BH2120" s="21"/>
      <c r="BI2120" s="21"/>
    </row>
    <row r="2121" spans="1:61" x14ac:dyDescent="0.2">
      <c r="A2121">
        <v>1090</v>
      </c>
      <c r="B2121" t="s">
        <v>887</v>
      </c>
      <c r="C2121" t="str">
        <f t="shared" si="245"/>
        <v/>
      </c>
      <c r="D2121" t="str">
        <f t="shared" ref="D2121:D2184" si="251">IF(C2121&lt;&gt;"",C2121,B2121)</f>
        <v/>
      </c>
      <c r="H2121">
        <f t="shared" si="247"/>
        <v>2</v>
      </c>
      <c r="I2121" s="5" t="s">
        <v>890</v>
      </c>
      <c r="J2121" s="5" t="s">
        <v>741</v>
      </c>
      <c r="Q2121" t="s">
        <v>620</v>
      </c>
      <c r="R2121">
        <v>22</v>
      </c>
      <c r="S2121">
        <v>1</v>
      </c>
      <c r="T2121" t="str">
        <f t="shared" si="246"/>
        <v>e</v>
      </c>
      <c r="U2121" t="s">
        <v>8</v>
      </c>
      <c r="V2121" t="s">
        <v>189</v>
      </c>
      <c r="W2121" t="s">
        <v>68</v>
      </c>
      <c r="X2121" t="s">
        <v>706</v>
      </c>
      <c r="Y2121" t="s">
        <v>784</v>
      </c>
      <c r="AA2121" t="s">
        <v>706</v>
      </c>
      <c r="AF2121" t="s">
        <v>623</v>
      </c>
      <c r="AM2121" t="str">
        <f t="shared" si="248"/>
        <v>Pass</v>
      </c>
      <c r="AN2121" t="str">
        <f t="shared" si="249"/>
        <v>Pass_Completed</v>
      </c>
      <c r="AP2121" t="str">
        <f t="shared" si="250"/>
        <v>Offensive</v>
      </c>
      <c r="BB2121" s="23"/>
      <c r="BD2121" s="21"/>
      <c r="BE2121" s="21"/>
      <c r="BF2121" s="21"/>
      <c r="BG2121" s="21"/>
      <c r="BH2121" s="21"/>
      <c r="BI2121" s="21"/>
    </row>
    <row r="2122" spans="1:61" x14ac:dyDescent="0.2">
      <c r="A2122">
        <v>1090</v>
      </c>
      <c r="B2122" t="s">
        <v>887</v>
      </c>
      <c r="C2122" t="str">
        <f t="shared" si="245"/>
        <v/>
      </c>
      <c r="D2122" t="str">
        <f t="shared" si="251"/>
        <v/>
      </c>
      <c r="H2122">
        <f t="shared" si="247"/>
        <v>2</v>
      </c>
      <c r="R2122">
        <v>91</v>
      </c>
      <c r="S2122">
        <v>1</v>
      </c>
      <c r="T2122" t="str">
        <f t="shared" si="246"/>
        <v>e</v>
      </c>
      <c r="AM2122" t="str">
        <f t="shared" si="248"/>
        <v>Pass</v>
      </c>
      <c r="AN2122" t="str">
        <f t="shared" si="249"/>
        <v>Pass_Completed</v>
      </c>
      <c r="AP2122" t="str">
        <f t="shared" si="250"/>
        <v>Offensive</v>
      </c>
      <c r="BB2122" s="23"/>
      <c r="BD2122" s="21"/>
      <c r="BE2122" s="21"/>
      <c r="BF2122" s="21"/>
      <c r="BG2122" s="21"/>
      <c r="BH2122" s="21"/>
      <c r="BI2122" s="21"/>
    </row>
    <row r="2123" spans="1:61" x14ac:dyDescent="0.2">
      <c r="A2123">
        <v>1091</v>
      </c>
      <c r="B2123" t="s">
        <v>887</v>
      </c>
      <c r="C2123" t="str">
        <f t="shared" si="245"/>
        <v/>
      </c>
      <c r="D2123" t="str">
        <f t="shared" si="251"/>
        <v/>
      </c>
      <c r="H2123">
        <f t="shared" si="247"/>
        <v>2</v>
      </c>
      <c r="I2123" s="5" t="s">
        <v>890</v>
      </c>
      <c r="J2123" s="5" t="s">
        <v>786</v>
      </c>
      <c r="Q2123" t="s">
        <v>620</v>
      </c>
      <c r="R2123">
        <v>91</v>
      </c>
      <c r="S2123">
        <v>1</v>
      </c>
      <c r="T2123" t="str">
        <f t="shared" si="246"/>
        <v>e</v>
      </c>
      <c r="U2123" t="s">
        <v>8</v>
      </c>
      <c r="V2123" t="s">
        <v>199</v>
      </c>
      <c r="W2123" t="s">
        <v>68</v>
      </c>
      <c r="X2123" t="s">
        <v>705</v>
      </c>
      <c r="Y2123" t="s">
        <v>744</v>
      </c>
      <c r="Z2123" t="s">
        <v>814</v>
      </c>
      <c r="AA2123" t="s">
        <v>705</v>
      </c>
      <c r="AF2123" t="s">
        <v>623</v>
      </c>
      <c r="AM2123" t="str">
        <f t="shared" si="248"/>
        <v>Pass</v>
      </c>
      <c r="AN2123" t="str">
        <f t="shared" si="249"/>
        <v>Pass_Missed</v>
      </c>
      <c r="AP2123" t="str">
        <f t="shared" si="250"/>
        <v>Offensive</v>
      </c>
      <c r="BB2123" s="23"/>
      <c r="BD2123" s="21"/>
      <c r="BE2123" s="21"/>
      <c r="BF2123" s="21"/>
      <c r="BG2123" s="21"/>
      <c r="BH2123" s="21"/>
      <c r="BI2123" s="21"/>
    </row>
    <row r="2124" spans="1:61" x14ac:dyDescent="0.2">
      <c r="A2124">
        <v>1091</v>
      </c>
      <c r="B2124" t="s">
        <v>887</v>
      </c>
      <c r="C2124" t="str">
        <f t="shared" si="245"/>
        <v/>
      </c>
      <c r="D2124" t="str">
        <f t="shared" si="251"/>
        <v/>
      </c>
      <c r="H2124">
        <f t="shared" si="247"/>
        <v>2</v>
      </c>
      <c r="R2124">
        <v>55</v>
      </c>
      <c r="S2124">
        <v>1</v>
      </c>
      <c r="T2124" t="str">
        <f t="shared" si="246"/>
        <v>e</v>
      </c>
      <c r="AM2124" t="str">
        <f t="shared" si="248"/>
        <v>Pass</v>
      </c>
      <c r="AN2124" t="str">
        <f t="shared" si="249"/>
        <v>Pass_Missed</v>
      </c>
      <c r="AP2124" t="str">
        <f t="shared" si="250"/>
        <v>Offensive</v>
      </c>
      <c r="BB2124" s="23"/>
      <c r="BD2124" s="21"/>
      <c r="BE2124" s="21"/>
      <c r="BF2124" s="21"/>
      <c r="BG2124" s="21"/>
      <c r="BH2124" s="21"/>
      <c r="BI2124" s="21"/>
    </row>
    <row r="2125" spans="1:61" x14ac:dyDescent="0.2">
      <c r="A2125">
        <v>1092</v>
      </c>
      <c r="B2125" t="s">
        <v>887</v>
      </c>
      <c r="C2125" t="str">
        <f t="shared" si="245"/>
        <v/>
      </c>
      <c r="D2125" t="str">
        <f t="shared" si="251"/>
        <v/>
      </c>
      <c r="H2125">
        <f t="shared" si="247"/>
        <v>2</v>
      </c>
      <c r="I2125" s="5" t="s">
        <v>890</v>
      </c>
      <c r="J2125" s="5" t="s">
        <v>786</v>
      </c>
      <c r="Q2125" t="s">
        <v>620</v>
      </c>
      <c r="R2125">
        <v>91</v>
      </c>
      <c r="S2125">
        <v>1</v>
      </c>
      <c r="T2125" t="str">
        <f t="shared" si="246"/>
        <v>e</v>
      </c>
      <c r="U2125" t="s">
        <v>257</v>
      </c>
      <c r="V2125" t="s">
        <v>201</v>
      </c>
      <c r="W2125" t="s">
        <v>409</v>
      </c>
      <c r="X2125" t="s">
        <v>705</v>
      </c>
      <c r="Y2125" t="s">
        <v>744</v>
      </c>
      <c r="Z2125" t="s">
        <v>814</v>
      </c>
      <c r="AA2125" t="s">
        <v>705</v>
      </c>
      <c r="AF2125" t="s">
        <v>623</v>
      </c>
      <c r="AM2125" t="str">
        <f t="shared" si="248"/>
        <v>Zone_Entry_Exit</v>
      </c>
      <c r="AN2125" t="str">
        <f t="shared" si="249"/>
        <v>Zone_Exit</v>
      </c>
      <c r="AP2125" t="str">
        <f t="shared" si="250"/>
        <v>Offensive</v>
      </c>
      <c r="BB2125" s="23"/>
      <c r="BD2125" s="21"/>
      <c r="BE2125" s="21"/>
      <c r="BF2125" s="21"/>
      <c r="BG2125" s="21"/>
      <c r="BH2125" s="21"/>
      <c r="BI2125" s="21"/>
    </row>
    <row r="2126" spans="1:61" x14ac:dyDescent="0.2">
      <c r="A2126">
        <v>1092</v>
      </c>
      <c r="B2126" t="s">
        <v>887</v>
      </c>
      <c r="C2126" t="str">
        <f t="shared" si="245"/>
        <v/>
      </c>
      <c r="D2126" t="str">
        <f t="shared" si="251"/>
        <v/>
      </c>
      <c r="H2126">
        <f t="shared" si="247"/>
        <v>2</v>
      </c>
      <c r="R2126">
        <v>55</v>
      </c>
      <c r="S2126">
        <v>1</v>
      </c>
      <c r="T2126" t="str">
        <f t="shared" si="246"/>
        <v>e</v>
      </c>
      <c r="AM2126" t="str">
        <f t="shared" si="248"/>
        <v>Zone_Entry_Exit</v>
      </c>
      <c r="AN2126" t="str">
        <f t="shared" si="249"/>
        <v>Zone_Exit</v>
      </c>
      <c r="AP2126" t="str">
        <f t="shared" si="250"/>
        <v>Offensive</v>
      </c>
      <c r="BB2126" s="23"/>
      <c r="BD2126" s="21"/>
      <c r="BE2126" s="21"/>
      <c r="BF2126" s="21"/>
      <c r="BG2126" s="21"/>
      <c r="BH2126" s="21"/>
      <c r="BI2126" s="21"/>
    </row>
    <row r="2127" spans="1:61" x14ac:dyDescent="0.2">
      <c r="A2127">
        <v>1093</v>
      </c>
      <c r="B2127" t="s">
        <v>887</v>
      </c>
      <c r="C2127" t="str">
        <f t="shared" si="245"/>
        <v/>
      </c>
      <c r="D2127" t="str">
        <f t="shared" si="251"/>
        <v/>
      </c>
      <c r="H2127">
        <f t="shared" si="247"/>
        <v>2</v>
      </c>
      <c r="I2127" s="5" t="s">
        <v>890</v>
      </c>
      <c r="J2127" s="5" t="s">
        <v>786</v>
      </c>
      <c r="Q2127" t="s">
        <v>620</v>
      </c>
      <c r="R2127">
        <v>91</v>
      </c>
      <c r="S2127">
        <v>1</v>
      </c>
      <c r="T2127" t="str">
        <f t="shared" si="246"/>
        <v>e</v>
      </c>
      <c r="U2127" t="s">
        <v>10</v>
      </c>
      <c r="V2127" t="s">
        <v>190</v>
      </c>
      <c r="W2127" t="s">
        <v>76</v>
      </c>
      <c r="X2127" t="s">
        <v>705</v>
      </c>
      <c r="Y2127" t="s">
        <v>744</v>
      </c>
      <c r="Z2127" t="s">
        <v>814</v>
      </c>
      <c r="AA2127" t="s">
        <v>705</v>
      </c>
      <c r="AF2127" t="s">
        <v>623</v>
      </c>
      <c r="AM2127" t="str">
        <f t="shared" si="248"/>
        <v>Turnover</v>
      </c>
      <c r="AN2127" t="str">
        <f t="shared" si="249"/>
        <v>Turnover_Giveaway</v>
      </c>
      <c r="AP2127" t="str">
        <f t="shared" si="250"/>
        <v>Offensive</v>
      </c>
      <c r="BB2127" s="23"/>
      <c r="BD2127" s="21"/>
      <c r="BE2127" s="21"/>
      <c r="BF2127" s="21"/>
      <c r="BG2127" s="21"/>
      <c r="BH2127" s="21"/>
      <c r="BI2127" s="21"/>
    </row>
    <row r="2128" spans="1:61" x14ac:dyDescent="0.2">
      <c r="A2128">
        <v>1093</v>
      </c>
      <c r="B2128" t="s">
        <v>887</v>
      </c>
      <c r="C2128" t="str">
        <f t="shared" si="245"/>
        <v/>
      </c>
      <c r="D2128" t="str">
        <f t="shared" si="251"/>
        <v/>
      </c>
      <c r="H2128">
        <f t="shared" si="247"/>
        <v>2</v>
      </c>
      <c r="R2128">
        <v>55</v>
      </c>
      <c r="S2128">
        <v>1</v>
      </c>
      <c r="T2128" t="str">
        <f t="shared" si="246"/>
        <v>e</v>
      </c>
      <c r="AM2128" t="str">
        <f t="shared" si="248"/>
        <v>Turnover</v>
      </c>
      <c r="AN2128" t="str">
        <f t="shared" si="249"/>
        <v>Turnover_Giveaway</v>
      </c>
      <c r="AP2128" t="str">
        <f t="shared" si="250"/>
        <v>Offensive</v>
      </c>
      <c r="BB2128" s="23"/>
      <c r="BD2128" s="21"/>
      <c r="BE2128" s="21"/>
      <c r="BF2128" s="21"/>
      <c r="BG2128" s="21"/>
      <c r="BH2128" s="21"/>
      <c r="BI2128" s="21"/>
    </row>
    <row r="2129" spans="1:61" x14ac:dyDescent="0.2">
      <c r="A2129">
        <v>1094</v>
      </c>
      <c r="B2129" t="s">
        <v>887</v>
      </c>
      <c r="C2129" t="str">
        <f t="shared" si="245"/>
        <v/>
      </c>
      <c r="D2129" t="str">
        <f t="shared" si="251"/>
        <v/>
      </c>
      <c r="H2129">
        <f t="shared" si="247"/>
        <v>2</v>
      </c>
      <c r="I2129" s="5" t="s">
        <v>905</v>
      </c>
      <c r="J2129" s="5" t="s">
        <v>762</v>
      </c>
      <c r="Q2129" t="s">
        <v>619</v>
      </c>
      <c r="R2129">
        <v>4</v>
      </c>
      <c r="S2129">
        <v>1</v>
      </c>
      <c r="T2129" t="str">
        <f t="shared" si="246"/>
        <v>e</v>
      </c>
      <c r="U2129" t="s">
        <v>15</v>
      </c>
      <c r="V2129" t="s">
        <v>697</v>
      </c>
      <c r="X2129" t="s">
        <v>705</v>
      </c>
      <c r="Y2129" t="s">
        <v>712</v>
      </c>
      <c r="AA2129" t="s">
        <v>705</v>
      </c>
      <c r="AF2129" t="s">
        <v>635</v>
      </c>
      <c r="AM2129" t="str">
        <f t="shared" si="248"/>
        <v>Possession</v>
      </c>
      <c r="AN2129" t="str">
        <f t="shared" si="249"/>
        <v>PuckRetrieval</v>
      </c>
      <c r="AP2129" t="str">
        <f t="shared" si="250"/>
        <v>Offensive</v>
      </c>
      <c r="BB2129" s="23"/>
      <c r="BD2129" s="21"/>
      <c r="BE2129" s="21"/>
      <c r="BF2129" s="21"/>
      <c r="BG2129" s="21"/>
      <c r="BH2129" s="21"/>
      <c r="BI2129" s="21"/>
    </row>
    <row r="2130" spans="1:61" x14ac:dyDescent="0.2">
      <c r="A2130">
        <v>1095</v>
      </c>
      <c r="B2130" t="s">
        <v>887</v>
      </c>
      <c r="C2130" t="str">
        <f t="shared" si="245"/>
        <v/>
      </c>
      <c r="D2130" t="str">
        <f t="shared" si="251"/>
        <v/>
      </c>
      <c r="H2130">
        <f t="shared" si="247"/>
        <v>2</v>
      </c>
      <c r="I2130" s="5" t="s">
        <v>905</v>
      </c>
      <c r="J2130" s="5" t="s">
        <v>762</v>
      </c>
      <c r="K2130" s="5" t="s">
        <v>905</v>
      </c>
      <c r="L2130" s="7" t="s">
        <v>751</v>
      </c>
      <c r="Q2130" t="s">
        <v>619</v>
      </c>
      <c r="R2130">
        <v>4</v>
      </c>
      <c r="S2130">
        <v>1</v>
      </c>
      <c r="T2130" t="str">
        <f t="shared" si="246"/>
        <v>e</v>
      </c>
      <c r="U2130" t="s">
        <v>15</v>
      </c>
      <c r="Y2130" t="s">
        <v>767</v>
      </c>
      <c r="AA2130" t="s">
        <v>706</v>
      </c>
      <c r="AF2130" t="s">
        <v>635</v>
      </c>
      <c r="AJ2130">
        <v>1</v>
      </c>
      <c r="AM2130" t="str">
        <f t="shared" si="248"/>
        <v>Possession</v>
      </c>
      <c r="AN2130" t="str">
        <f t="shared" si="249"/>
        <v/>
      </c>
      <c r="AP2130" t="str">
        <f t="shared" si="250"/>
        <v>Offensive</v>
      </c>
      <c r="BB2130" s="23"/>
      <c r="BD2130" s="21"/>
      <c r="BE2130" s="21"/>
      <c r="BF2130" s="21"/>
      <c r="BG2130" s="21"/>
      <c r="BH2130" s="21"/>
      <c r="BI2130" s="21"/>
    </row>
    <row r="2131" spans="1:61" x14ac:dyDescent="0.2">
      <c r="A2131">
        <v>1095</v>
      </c>
      <c r="B2131" t="s">
        <v>887</v>
      </c>
      <c r="C2131" t="str">
        <f t="shared" si="245"/>
        <v/>
      </c>
      <c r="D2131" t="str">
        <f t="shared" si="251"/>
        <v/>
      </c>
      <c r="H2131">
        <f t="shared" si="247"/>
        <v>2</v>
      </c>
      <c r="R2131">
        <v>55</v>
      </c>
      <c r="T2131" t="str">
        <f t="shared" si="246"/>
        <v>o</v>
      </c>
      <c r="Y2131" t="s">
        <v>764</v>
      </c>
      <c r="Z2131" t="s">
        <v>714</v>
      </c>
      <c r="AA2131" t="s">
        <v>705</v>
      </c>
      <c r="AJ2131">
        <v>1</v>
      </c>
      <c r="AM2131" t="str">
        <f t="shared" si="248"/>
        <v>Possession</v>
      </c>
      <c r="AN2131" t="str">
        <f t="shared" si="249"/>
        <v/>
      </c>
      <c r="AP2131" t="str">
        <f t="shared" si="250"/>
        <v>Defensive</v>
      </c>
      <c r="BB2131" s="23"/>
      <c r="BD2131" s="21"/>
      <c r="BE2131" s="21"/>
      <c r="BF2131" s="21"/>
      <c r="BG2131" s="21"/>
      <c r="BH2131" s="21"/>
      <c r="BI2131" s="21"/>
    </row>
    <row r="2132" spans="1:61" x14ac:dyDescent="0.2">
      <c r="A2132">
        <v>1096</v>
      </c>
      <c r="B2132" t="s">
        <v>887</v>
      </c>
      <c r="C2132" t="str">
        <f t="shared" si="245"/>
        <v/>
      </c>
      <c r="D2132" t="str">
        <f t="shared" si="251"/>
        <v/>
      </c>
      <c r="H2132">
        <f t="shared" si="247"/>
        <v>2</v>
      </c>
      <c r="I2132" s="5" t="s">
        <v>905</v>
      </c>
      <c r="J2132" s="5" t="s">
        <v>751</v>
      </c>
      <c r="Q2132" t="s">
        <v>619</v>
      </c>
      <c r="R2132">
        <v>4</v>
      </c>
      <c r="S2132">
        <v>1</v>
      </c>
      <c r="T2132" t="str">
        <f t="shared" si="246"/>
        <v>e</v>
      </c>
      <c r="U2132" t="s">
        <v>257</v>
      </c>
      <c r="V2132" t="s">
        <v>191</v>
      </c>
      <c r="W2132" t="s">
        <v>89</v>
      </c>
      <c r="X2132" t="s">
        <v>705</v>
      </c>
      <c r="Y2132" t="s">
        <v>718</v>
      </c>
      <c r="AA2132" t="s">
        <v>705</v>
      </c>
      <c r="AF2132" t="s">
        <v>635</v>
      </c>
      <c r="AM2132" t="str">
        <f t="shared" si="248"/>
        <v>Zone_Entry_Exit</v>
      </c>
      <c r="AN2132" t="str">
        <f t="shared" si="249"/>
        <v>Zone_Entry</v>
      </c>
      <c r="AP2132" t="str">
        <f t="shared" si="250"/>
        <v>Offensive</v>
      </c>
      <c r="BB2132" s="23"/>
      <c r="BD2132" s="21"/>
      <c r="BE2132" s="21"/>
      <c r="BF2132" s="21"/>
      <c r="BG2132" s="21"/>
      <c r="BH2132" s="21"/>
      <c r="BI2132" s="21"/>
    </row>
    <row r="2133" spans="1:61" x14ac:dyDescent="0.2">
      <c r="A2133">
        <v>1097</v>
      </c>
      <c r="B2133" t="s">
        <v>887</v>
      </c>
      <c r="C2133" t="str">
        <f t="shared" si="245"/>
        <v/>
      </c>
      <c r="D2133" t="str">
        <f t="shared" si="251"/>
        <v/>
      </c>
      <c r="H2133">
        <f t="shared" si="247"/>
        <v>2</v>
      </c>
      <c r="I2133" s="5" t="s">
        <v>905</v>
      </c>
      <c r="J2133" s="5" t="s">
        <v>640</v>
      </c>
      <c r="Q2133" t="s">
        <v>620</v>
      </c>
      <c r="R2133">
        <v>91</v>
      </c>
      <c r="S2133">
        <v>1</v>
      </c>
      <c r="T2133" t="str">
        <f t="shared" si="246"/>
        <v>e</v>
      </c>
      <c r="U2133" t="s">
        <v>15</v>
      </c>
      <c r="V2133" t="s">
        <v>697</v>
      </c>
      <c r="X2133" t="s">
        <v>706</v>
      </c>
      <c r="Y2133" t="s">
        <v>720</v>
      </c>
      <c r="AA2133" t="s">
        <v>706</v>
      </c>
      <c r="AF2133" t="s">
        <v>623</v>
      </c>
      <c r="AM2133" t="str">
        <f t="shared" si="248"/>
        <v>Possession</v>
      </c>
      <c r="AN2133" t="str">
        <f t="shared" si="249"/>
        <v>PuckRetrieval</v>
      </c>
      <c r="AP2133" t="str">
        <f t="shared" si="250"/>
        <v>Offensive</v>
      </c>
      <c r="BB2133" s="23"/>
      <c r="BD2133" s="21"/>
      <c r="BE2133" s="21"/>
      <c r="BF2133" s="21"/>
      <c r="BG2133" s="21"/>
      <c r="BH2133" s="21"/>
      <c r="BI2133" s="21"/>
    </row>
    <row r="2134" spans="1:61" x14ac:dyDescent="0.2">
      <c r="A2134">
        <v>1098</v>
      </c>
      <c r="B2134" t="s">
        <v>887</v>
      </c>
      <c r="C2134" t="str">
        <f t="shared" si="245"/>
        <v/>
      </c>
      <c r="D2134" t="str">
        <f t="shared" si="251"/>
        <v/>
      </c>
      <c r="H2134">
        <f t="shared" si="247"/>
        <v>2</v>
      </c>
      <c r="I2134" s="5" t="s">
        <v>905</v>
      </c>
      <c r="J2134" s="5" t="s">
        <v>789</v>
      </c>
      <c r="Q2134" t="s">
        <v>620</v>
      </c>
      <c r="R2134">
        <v>91</v>
      </c>
      <c r="S2134">
        <v>1</v>
      </c>
      <c r="T2134" t="str">
        <f t="shared" si="246"/>
        <v>e</v>
      </c>
      <c r="U2134" t="s">
        <v>8</v>
      </c>
      <c r="V2134" t="s">
        <v>189</v>
      </c>
      <c r="W2134" t="s">
        <v>70</v>
      </c>
      <c r="X2134" t="s">
        <v>706</v>
      </c>
      <c r="Y2134" t="s">
        <v>784</v>
      </c>
      <c r="Z2134" t="s">
        <v>814</v>
      </c>
      <c r="AA2134" t="s">
        <v>706</v>
      </c>
      <c r="AF2134" t="s">
        <v>623</v>
      </c>
      <c r="AM2134" t="str">
        <f t="shared" si="248"/>
        <v>Pass</v>
      </c>
      <c r="AN2134" t="str">
        <f t="shared" si="249"/>
        <v>Pass_Completed</v>
      </c>
      <c r="AP2134" t="str">
        <f t="shared" si="250"/>
        <v>Offensive</v>
      </c>
      <c r="BB2134" s="23"/>
      <c r="BD2134" s="21"/>
      <c r="BE2134" s="21"/>
      <c r="BF2134" s="21"/>
      <c r="BG2134" s="21"/>
      <c r="BH2134" s="21"/>
      <c r="BI2134" s="21"/>
    </row>
    <row r="2135" spans="1:61" x14ac:dyDescent="0.2">
      <c r="A2135">
        <v>1098</v>
      </c>
      <c r="B2135" t="s">
        <v>887</v>
      </c>
      <c r="C2135" t="str">
        <f t="shared" si="245"/>
        <v/>
      </c>
      <c r="D2135" t="str">
        <f t="shared" si="251"/>
        <v/>
      </c>
      <c r="H2135">
        <f t="shared" si="247"/>
        <v>2</v>
      </c>
      <c r="R2135">
        <v>22</v>
      </c>
      <c r="S2135">
        <v>1</v>
      </c>
      <c r="T2135" t="str">
        <f t="shared" si="246"/>
        <v>e</v>
      </c>
      <c r="AM2135" t="str">
        <f t="shared" si="248"/>
        <v>Pass</v>
      </c>
      <c r="AN2135" t="str">
        <f t="shared" si="249"/>
        <v>Pass_Completed</v>
      </c>
      <c r="AP2135" t="str">
        <f t="shared" si="250"/>
        <v>Offensive</v>
      </c>
      <c r="BB2135" s="23"/>
      <c r="BD2135" s="21"/>
      <c r="BE2135" s="21"/>
      <c r="BF2135" s="21"/>
      <c r="BG2135" s="21"/>
      <c r="BH2135" s="21"/>
      <c r="BI2135" s="21"/>
    </row>
    <row r="2136" spans="1:61" x14ac:dyDescent="0.2">
      <c r="A2136">
        <v>1099</v>
      </c>
      <c r="B2136">
        <v>178</v>
      </c>
      <c r="C2136">
        <f t="shared" si="245"/>
        <v>9178</v>
      </c>
      <c r="D2136">
        <f t="shared" si="251"/>
        <v>9178</v>
      </c>
      <c r="H2136">
        <f t="shared" si="247"/>
        <v>2</v>
      </c>
      <c r="I2136" s="5" t="s">
        <v>905</v>
      </c>
      <c r="J2136" s="5" t="s">
        <v>673</v>
      </c>
      <c r="Q2136" t="s">
        <v>620</v>
      </c>
      <c r="R2136">
        <v>22</v>
      </c>
      <c r="S2136">
        <v>1</v>
      </c>
      <c r="T2136" t="str">
        <f t="shared" si="246"/>
        <v>e</v>
      </c>
      <c r="U2136" t="s">
        <v>8</v>
      </c>
      <c r="V2136" t="s">
        <v>199</v>
      </c>
      <c r="W2136" t="s">
        <v>68</v>
      </c>
      <c r="X2136" t="s">
        <v>705</v>
      </c>
      <c r="Y2136" t="s">
        <v>814</v>
      </c>
      <c r="Z2136" t="s">
        <v>744</v>
      </c>
      <c r="AA2136" t="s">
        <v>705</v>
      </c>
      <c r="AF2136" t="s">
        <v>623</v>
      </c>
      <c r="AM2136" t="str">
        <f t="shared" si="248"/>
        <v>Pass</v>
      </c>
      <c r="AN2136" t="str">
        <f t="shared" si="249"/>
        <v>Pass_Missed</v>
      </c>
      <c r="AP2136" t="str">
        <f t="shared" si="250"/>
        <v>Offensive</v>
      </c>
      <c r="BB2136" s="23"/>
      <c r="BD2136" s="21"/>
      <c r="BE2136" s="21"/>
      <c r="BF2136" s="21"/>
      <c r="BG2136" s="21"/>
      <c r="BH2136" s="21"/>
      <c r="BI2136" s="21"/>
    </row>
    <row r="2137" spans="1:61" x14ac:dyDescent="0.2">
      <c r="A2137">
        <v>1099</v>
      </c>
      <c r="B2137">
        <v>178</v>
      </c>
      <c r="C2137">
        <f t="shared" si="245"/>
        <v>9178</v>
      </c>
      <c r="D2137">
        <f t="shared" si="251"/>
        <v>9178</v>
      </c>
      <c r="H2137">
        <f t="shared" si="247"/>
        <v>2</v>
      </c>
      <c r="R2137">
        <v>55</v>
      </c>
      <c r="S2137">
        <v>1</v>
      </c>
      <c r="T2137" t="str">
        <f t="shared" si="246"/>
        <v>e</v>
      </c>
      <c r="AM2137" t="str">
        <f t="shared" si="248"/>
        <v>Pass</v>
      </c>
      <c r="AN2137" t="str">
        <f t="shared" si="249"/>
        <v>Pass_Missed</v>
      </c>
      <c r="AP2137" t="str">
        <f t="shared" si="250"/>
        <v>Offensive</v>
      </c>
      <c r="BB2137" s="23"/>
      <c r="BD2137" s="21"/>
      <c r="BE2137" s="21"/>
      <c r="BF2137" s="21"/>
      <c r="BG2137" s="21"/>
      <c r="BH2137" s="21"/>
      <c r="BI2137" s="21"/>
    </row>
    <row r="2138" spans="1:61" x14ac:dyDescent="0.2">
      <c r="A2138">
        <v>1100</v>
      </c>
      <c r="B2138">
        <v>178</v>
      </c>
      <c r="C2138">
        <f t="shared" si="245"/>
        <v>9178</v>
      </c>
      <c r="D2138">
        <f t="shared" si="251"/>
        <v>9178</v>
      </c>
      <c r="H2138">
        <f t="shared" si="247"/>
        <v>2</v>
      </c>
      <c r="I2138" s="5" t="s">
        <v>905</v>
      </c>
      <c r="J2138" s="5" t="s">
        <v>673</v>
      </c>
      <c r="Q2138" t="s">
        <v>620</v>
      </c>
      <c r="R2138">
        <v>22</v>
      </c>
      <c r="S2138">
        <v>1</v>
      </c>
      <c r="T2138" t="str">
        <f t="shared" si="246"/>
        <v>e</v>
      </c>
      <c r="U2138" t="s">
        <v>257</v>
      </c>
      <c r="V2138" t="s">
        <v>201</v>
      </c>
      <c r="W2138" t="s">
        <v>409</v>
      </c>
      <c r="X2138" t="s">
        <v>705</v>
      </c>
      <c r="Y2138" t="s">
        <v>814</v>
      </c>
      <c r="Z2138" t="s">
        <v>744</v>
      </c>
      <c r="AA2138" t="s">
        <v>705</v>
      </c>
      <c r="AF2138" t="s">
        <v>623</v>
      </c>
      <c r="AM2138" t="str">
        <f t="shared" si="248"/>
        <v>Zone_Entry_Exit</v>
      </c>
      <c r="AN2138" t="str">
        <f t="shared" si="249"/>
        <v>Zone_Exit</v>
      </c>
      <c r="AP2138" t="str">
        <f t="shared" si="250"/>
        <v>Offensive</v>
      </c>
      <c r="BB2138" s="23"/>
      <c r="BD2138" s="21"/>
      <c r="BE2138" s="21"/>
      <c r="BF2138" s="21"/>
      <c r="BG2138" s="21"/>
      <c r="BH2138" s="21"/>
      <c r="BI2138" s="21"/>
    </row>
    <row r="2139" spans="1:61" x14ac:dyDescent="0.2">
      <c r="A2139">
        <v>1100</v>
      </c>
      <c r="B2139">
        <v>178</v>
      </c>
      <c r="C2139">
        <f t="shared" si="245"/>
        <v>9178</v>
      </c>
      <c r="D2139">
        <f t="shared" si="251"/>
        <v>9178</v>
      </c>
      <c r="H2139">
        <f t="shared" si="247"/>
        <v>2</v>
      </c>
      <c r="R2139">
        <v>55</v>
      </c>
      <c r="S2139">
        <v>1</v>
      </c>
      <c r="T2139" t="str">
        <f t="shared" si="246"/>
        <v>e</v>
      </c>
      <c r="AM2139" t="str">
        <f t="shared" si="248"/>
        <v>Zone_Entry_Exit</v>
      </c>
      <c r="AN2139" t="str">
        <f t="shared" si="249"/>
        <v>Zone_Exit</v>
      </c>
      <c r="AP2139" t="str">
        <f t="shared" si="250"/>
        <v>Offensive</v>
      </c>
      <c r="BB2139" s="23"/>
      <c r="BD2139" s="21"/>
      <c r="BE2139" s="21"/>
      <c r="BF2139" s="21"/>
      <c r="BG2139" s="21"/>
      <c r="BH2139" s="21"/>
      <c r="BI2139" s="21"/>
    </row>
    <row r="2140" spans="1:61" x14ac:dyDescent="0.2">
      <c r="A2140">
        <v>1101</v>
      </c>
      <c r="B2140">
        <v>178</v>
      </c>
      <c r="C2140">
        <f t="shared" si="245"/>
        <v>9178</v>
      </c>
      <c r="D2140">
        <f t="shared" si="251"/>
        <v>9178</v>
      </c>
      <c r="H2140">
        <f t="shared" si="247"/>
        <v>2</v>
      </c>
      <c r="I2140" s="5" t="s">
        <v>905</v>
      </c>
      <c r="J2140" s="5" t="s">
        <v>673</v>
      </c>
      <c r="Q2140" t="s">
        <v>620</v>
      </c>
      <c r="R2140">
        <v>22</v>
      </c>
      <c r="S2140">
        <v>1</v>
      </c>
      <c r="T2140" t="str">
        <f t="shared" si="246"/>
        <v>e</v>
      </c>
      <c r="U2140" t="s">
        <v>10</v>
      </c>
      <c r="V2140" t="s">
        <v>190</v>
      </c>
      <c r="W2140" t="s">
        <v>416</v>
      </c>
      <c r="X2140" t="s">
        <v>705</v>
      </c>
      <c r="Y2140" t="s">
        <v>814</v>
      </c>
      <c r="Z2140" t="s">
        <v>744</v>
      </c>
      <c r="AA2140" t="s">
        <v>705</v>
      </c>
      <c r="AF2140" t="s">
        <v>623</v>
      </c>
      <c r="AM2140" t="str">
        <f t="shared" si="248"/>
        <v>Turnover</v>
      </c>
      <c r="AN2140" t="str">
        <f t="shared" si="249"/>
        <v>Turnover_Giveaway</v>
      </c>
      <c r="AP2140" t="str">
        <f t="shared" si="250"/>
        <v>Offensive</v>
      </c>
      <c r="BB2140" s="23"/>
      <c r="BD2140" s="21"/>
      <c r="BE2140" s="21"/>
      <c r="BF2140" s="21"/>
      <c r="BG2140" s="21"/>
      <c r="BH2140" s="21"/>
      <c r="BI2140" s="21"/>
    </row>
    <row r="2141" spans="1:61" x14ac:dyDescent="0.2">
      <c r="A2141">
        <v>1101</v>
      </c>
      <c r="B2141">
        <v>178</v>
      </c>
      <c r="C2141">
        <f t="shared" si="245"/>
        <v>9178</v>
      </c>
      <c r="D2141">
        <f t="shared" si="251"/>
        <v>9178</v>
      </c>
      <c r="H2141">
        <f t="shared" si="247"/>
        <v>2</v>
      </c>
      <c r="R2141">
        <v>55</v>
      </c>
      <c r="S2141">
        <v>1</v>
      </c>
      <c r="T2141" t="str">
        <f t="shared" si="246"/>
        <v>e</v>
      </c>
      <c r="AM2141" t="str">
        <f t="shared" si="248"/>
        <v>Turnover</v>
      </c>
      <c r="AN2141" t="str">
        <f t="shared" si="249"/>
        <v>Turnover_Giveaway</v>
      </c>
      <c r="AP2141" t="str">
        <f t="shared" si="250"/>
        <v>Offensive</v>
      </c>
      <c r="BB2141" s="23"/>
      <c r="BD2141" s="21"/>
      <c r="BE2141" s="21"/>
      <c r="BF2141" s="21"/>
      <c r="BG2141" s="21"/>
      <c r="BH2141" s="21"/>
      <c r="BI2141" s="21"/>
    </row>
    <row r="2142" spans="1:61" x14ac:dyDescent="0.2">
      <c r="A2142">
        <v>1102</v>
      </c>
      <c r="B2142" t="s">
        <v>887</v>
      </c>
      <c r="C2142" t="str">
        <f t="shared" si="245"/>
        <v/>
      </c>
      <c r="D2142" t="str">
        <f t="shared" si="251"/>
        <v/>
      </c>
      <c r="H2142">
        <f t="shared" si="247"/>
        <v>2</v>
      </c>
      <c r="I2142" s="5" t="s">
        <v>905</v>
      </c>
      <c r="J2142" s="5" t="s">
        <v>755</v>
      </c>
      <c r="Q2142" t="s">
        <v>619</v>
      </c>
      <c r="R2142">
        <v>44</v>
      </c>
      <c r="S2142">
        <v>1</v>
      </c>
      <c r="T2142" t="str">
        <f t="shared" si="246"/>
        <v>e</v>
      </c>
      <c r="U2142" t="s">
        <v>10</v>
      </c>
      <c r="V2142" t="s">
        <v>190</v>
      </c>
      <c r="W2142" t="s">
        <v>398</v>
      </c>
      <c r="X2142" t="s">
        <v>705</v>
      </c>
      <c r="AF2142" t="s">
        <v>635</v>
      </c>
      <c r="AM2142" t="str">
        <f t="shared" si="248"/>
        <v>Turnover</v>
      </c>
      <c r="AN2142" t="str">
        <f t="shared" si="249"/>
        <v>Turnover_Giveaway</v>
      </c>
      <c r="AP2142" t="str">
        <f t="shared" si="250"/>
        <v>Offensive</v>
      </c>
      <c r="BB2142" s="23"/>
      <c r="BD2142" s="21"/>
      <c r="BE2142" s="21"/>
      <c r="BF2142" s="21"/>
      <c r="BG2142" s="21"/>
      <c r="BH2142" s="21"/>
      <c r="BI2142" s="21"/>
    </row>
    <row r="2143" spans="1:61" x14ac:dyDescent="0.2">
      <c r="A2143">
        <v>1103</v>
      </c>
      <c r="B2143" t="s">
        <v>887</v>
      </c>
      <c r="C2143" t="str">
        <f t="shared" si="245"/>
        <v/>
      </c>
      <c r="D2143" t="str">
        <f t="shared" si="251"/>
        <v/>
      </c>
      <c r="H2143">
        <f t="shared" si="247"/>
        <v>2</v>
      </c>
      <c r="I2143" s="5" t="s">
        <v>905</v>
      </c>
      <c r="J2143" s="5" t="s">
        <v>716</v>
      </c>
      <c r="K2143" s="5" t="s">
        <v>905</v>
      </c>
      <c r="L2143" s="7" t="s">
        <v>717</v>
      </c>
      <c r="Q2143" t="s">
        <v>620</v>
      </c>
      <c r="R2143">
        <v>22</v>
      </c>
      <c r="S2143">
        <v>1</v>
      </c>
      <c r="T2143" t="str">
        <f t="shared" si="246"/>
        <v>e</v>
      </c>
      <c r="U2143" t="s">
        <v>15</v>
      </c>
      <c r="V2143" t="s">
        <v>697</v>
      </c>
      <c r="X2143" t="s">
        <v>705</v>
      </c>
      <c r="Y2143" t="s">
        <v>712</v>
      </c>
      <c r="AA2143" t="s">
        <v>705</v>
      </c>
      <c r="AF2143" t="s">
        <v>635</v>
      </c>
      <c r="AM2143" t="str">
        <f t="shared" si="248"/>
        <v>Possession</v>
      </c>
      <c r="AN2143" t="str">
        <f t="shared" si="249"/>
        <v>PuckRetrieval</v>
      </c>
      <c r="AP2143" t="str">
        <f t="shared" si="250"/>
        <v>Offensive</v>
      </c>
      <c r="BB2143" s="23"/>
      <c r="BD2143" s="21"/>
      <c r="BE2143" s="21"/>
      <c r="BF2143" s="21"/>
      <c r="BG2143" s="21"/>
      <c r="BH2143" s="21"/>
      <c r="BI2143" s="21"/>
    </row>
    <row r="2144" spans="1:61" x14ac:dyDescent="0.2">
      <c r="A2144">
        <v>1104</v>
      </c>
      <c r="B2144">
        <v>179</v>
      </c>
      <c r="C2144">
        <f t="shared" si="245"/>
        <v>9179</v>
      </c>
      <c r="D2144">
        <f t="shared" si="251"/>
        <v>9179</v>
      </c>
      <c r="H2144">
        <f t="shared" si="247"/>
        <v>2</v>
      </c>
      <c r="I2144" s="5" t="s">
        <v>905</v>
      </c>
      <c r="J2144" s="5" t="s">
        <v>717</v>
      </c>
      <c r="Q2144" t="s">
        <v>620</v>
      </c>
      <c r="R2144">
        <v>22</v>
      </c>
      <c r="S2144">
        <v>1</v>
      </c>
      <c r="T2144" t="str">
        <f t="shared" si="246"/>
        <v>e</v>
      </c>
      <c r="U2144" t="s">
        <v>8</v>
      </c>
      <c r="V2144" t="s">
        <v>199</v>
      </c>
      <c r="W2144" t="s">
        <v>70</v>
      </c>
      <c r="X2144" t="s">
        <v>705</v>
      </c>
      <c r="AF2144" t="s">
        <v>635</v>
      </c>
      <c r="AM2144" t="str">
        <f t="shared" si="248"/>
        <v>Pass</v>
      </c>
      <c r="AN2144" t="str">
        <f t="shared" si="249"/>
        <v>Pass_Missed</v>
      </c>
      <c r="AP2144" t="str">
        <f t="shared" si="250"/>
        <v>Offensive</v>
      </c>
      <c r="BB2144" s="23"/>
      <c r="BD2144" s="21"/>
      <c r="BE2144" s="21"/>
      <c r="BF2144" s="21"/>
      <c r="BG2144" s="21"/>
      <c r="BH2144" s="21"/>
      <c r="BI2144" s="21"/>
    </row>
    <row r="2145" spans="1:61" x14ac:dyDescent="0.2">
      <c r="A2145">
        <v>1104</v>
      </c>
      <c r="B2145">
        <v>179</v>
      </c>
      <c r="C2145">
        <f t="shared" si="245"/>
        <v>9179</v>
      </c>
      <c r="D2145">
        <f t="shared" si="251"/>
        <v>9179</v>
      </c>
      <c r="H2145">
        <f t="shared" si="247"/>
        <v>2</v>
      </c>
      <c r="R2145">
        <v>61</v>
      </c>
      <c r="S2145">
        <v>1</v>
      </c>
      <c r="T2145" t="str">
        <f t="shared" si="246"/>
        <v>e</v>
      </c>
      <c r="AM2145" t="str">
        <f t="shared" si="248"/>
        <v>Pass</v>
      </c>
      <c r="AN2145" t="str">
        <f t="shared" si="249"/>
        <v>Pass_Missed</v>
      </c>
      <c r="AP2145" t="str">
        <f t="shared" si="250"/>
        <v>Offensive</v>
      </c>
      <c r="BB2145" s="23"/>
      <c r="BD2145" s="21"/>
      <c r="BE2145" s="21"/>
      <c r="BF2145" s="21"/>
      <c r="BG2145" s="21"/>
      <c r="BH2145" s="21"/>
      <c r="BI2145" s="21"/>
    </row>
    <row r="2146" spans="1:61" x14ac:dyDescent="0.2">
      <c r="A2146">
        <v>1105</v>
      </c>
      <c r="B2146">
        <v>179</v>
      </c>
      <c r="C2146">
        <f t="shared" si="245"/>
        <v>9179</v>
      </c>
      <c r="D2146">
        <f t="shared" si="251"/>
        <v>9179</v>
      </c>
      <c r="H2146">
        <f t="shared" si="247"/>
        <v>2</v>
      </c>
      <c r="I2146" s="5" t="s">
        <v>905</v>
      </c>
      <c r="J2146" s="5" t="s">
        <v>717</v>
      </c>
      <c r="Q2146" t="s">
        <v>620</v>
      </c>
      <c r="R2146">
        <v>22</v>
      </c>
      <c r="S2146">
        <v>1</v>
      </c>
      <c r="T2146" t="str">
        <f t="shared" si="246"/>
        <v>e</v>
      </c>
      <c r="U2146" t="s">
        <v>257</v>
      </c>
      <c r="V2146" t="s">
        <v>191</v>
      </c>
      <c r="W2146" t="s">
        <v>423</v>
      </c>
      <c r="X2146" t="s">
        <v>705</v>
      </c>
      <c r="AF2146" t="s">
        <v>635</v>
      </c>
      <c r="AM2146" t="str">
        <f t="shared" si="248"/>
        <v>Zone_Entry_Exit</v>
      </c>
      <c r="AN2146" t="str">
        <f t="shared" si="249"/>
        <v>Zone_Entry</v>
      </c>
      <c r="AP2146" t="str">
        <f t="shared" si="250"/>
        <v>Offensive</v>
      </c>
      <c r="BB2146" s="23"/>
      <c r="BD2146" s="21"/>
      <c r="BE2146" s="21"/>
      <c r="BF2146" s="21"/>
      <c r="BG2146" s="21"/>
      <c r="BH2146" s="21"/>
      <c r="BI2146" s="21"/>
    </row>
    <row r="2147" spans="1:61" x14ac:dyDescent="0.2">
      <c r="A2147">
        <v>1105</v>
      </c>
      <c r="B2147">
        <v>179</v>
      </c>
      <c r="C2147">
        <f t="shared" si="245"/>
        <v>9179</v>
      </c>
      <c r="D2147">
        <f t="shared" si="251"/>
        <v>9179</v>
      </c>
      <c r="H2147">
        <f t="shared" si="247"/>
        <v>2</v>
      </c>
      <c r="R2147">
        <v>61</v>
      </c>
      <c r="S2147">
        <v>1</v>
      </c>
      <c r="T2147" t="str">
        <f t="shared" si="246"/>
        <v>e</v>
      </c>
      <c r="AM2147" t="str">
        <f t="shared" si="248"/>
        <v>Zone_Entry_Exit</v>
      </c>
      <c r="AN2147" t="str">
        <f t="shared" si="249"/>
        <v>Zone_Entry</v>
      </c>
      <c r="AP2147" t="str">
        <f t="shared" si="250"/>
        <v>Offensive</v>
      </c>
      <c r="BB2147" s="23"/>
      <c r="BD2147" s="21"/>
      <c r="BE2147" s="21"/>
      <c r="BF2147" s="21"/>
      <c r="BG2147" s="21"/>
      <c r="BH2147" s="21"/>
      <c r="BI2147" s="21"/>
    </row>
    <row r="2148" spans="1:61" x14ac:dyDescent="0.2">
      <c r="A2148">
        <v>1106</v>
      </c>
      <c r="B2148" t="s">
        <v>887</v>
      </c>
      <c r="C2148" t="str">
        <f t="shared" si="245"/>
        <v/>
      </c>
      <c r="D2148" t="str">
        <f t="shared" si="251"/>
        <v/>
      </c>
      <c r="H2148">
        <f t="shared" si="247"/>
        <v>2</v>
      </c>
      <c r="I2148" s="5" t="s">
        <v>905</v>
      </c>
      <c r="J2148" s="5" t="s">
        <v>719</v>
      </c>
      <c r="K2148" s="5" t="s">
        <v>905</v>
      </c>
      <c r="L2148" s="7" t="s">
        <v>779</v>
      </c>
      <c r="Q2148" t="s">
        <v>620</v>
      </c>
      <c r="R2148">
        <v>61</v>
      </c>
      <c r="S2148">
        <v>1</v>
      </c>
      <c r="T2148" t="str">
        <f t="shared" si="246"/>
        <v>e</v>
      </c>
      <c r="U2148" t="s">
        <v>15</v>
      </c>
      <c r="V2148" t="s">
        <v>698</v>
      </c>
      <c r="X2148" t="s">
        <v>706</v>
      </c>
      <c r="Y2148" t="s">
        <v>756</v>
      </c>
      <c r="AA2148" t="s">
        <v>706</v>
      </c>
      <c r="AF2148" t="s">
        <v>401</v>
      </c>
      <c r="AJ2148">
        <v>1</v>
      </c>
      <c r="AM2148" t="str">
        <f t="shared" si="248"/>
        <v>Possession</v>
      </c>
      <c r="AN2148" t="str">
        <f t="shared" si="249"/>
        <v>PuckRecovery</v>
      </c>
      <c r="AP2148" t="str">
        <f t="shared" si="250"/>
        <v>Offensive</v>
      </c>
      <c r="BB2148" s="23"/>
      <c r="BD2148" s="21"/>
      <c r="BE2148" s="21"/>
      <c r="BF2148" s="21"/>
      <c r="BG2148" s="21"/>
      <c r="BH2148" s="21"/>
      <c r="BI2148" s="21"/>
    </row>
    <row r="2149" spans="1:61" x14ac:dyDescent="0.2">
      <c r="A2149">
        <v>1106</v>
      </c>
      <c r="B2149" t="s">
        <v>887</v>
      </c>
      <c r="C2149" t="str">
        <f t="shared" si="245"/>
        <v/>
      </c>
      <c r="D2149" t="str">
        <f t="shared" si="251"/>
        <v/>
      </c>
      <c r="H2149">
        <f t="shared" si="247"/>
        <v>2</v>
      </c>
      <c r="R2149">
        <v>44</v>
      </c>
      <c r="T2149" t="str">
        <f t="shared" si="246"/>
        <v>o</v>
      </c>
      <c r="AJ2149">
        <v>1</v>
      </c>
      <c r="AM2149" t="str">
        <f t="shared" si="248"/>
        <v>Possession</v>
      </c>
      <c r="AN2149" t="str">
        <f t="shared" si="249"/>
        <v>PuckRecovery</v>
      </c>
      <c r="AP2149" t="str">
        <f t="shared" si="250"/>
        <v>Defensive</v>
      </c>
      <c r="BB2149" s="23"/>
      <c r="BD2149" s="21"/>
      <c r="BE2149" s="21"/>
      <c r="BF2149" s="21"/>
      <c r="BG2149" s="21"/>
      <c r="BH2149" s="21"/>
      <c r="BI2149" s="21"/>
    </row>
    <row r="2150" spans="1:61" x14ac:dyDescent="0.2">
      <c r="A2150">
        <v>1106</v>
      </c>
      <c r="B2150" t="s">
        <v>887</v>
      </c>
      <c r="C2150" t="str">
        <f t="shared" si="245"/>
        <v/>
      </c>
      <c r="D2150" t="str">
        <f t="shared" si="251"/>
        <v/>
      </c>
      <c r="H2150">
        <f t="shared" si="247"/>
        <v>2</v>
      </c>
      <c r="R2150">
        <v>68</v>
      </c>
      <c r="T2150" t="str">
        <f t="shared" si="246"/>
        <v>o</v>
      </c>
      <c r="AJ2150">
        <v>1</v>
      </c>
      <c r="AM2150" t="str">
        <f t="shared" si="248"/>
        <v>Possession</v>
      </c>
      <c r="AN2150" t="str">
        <f t="shared" si="249"/>
        <v>PuckRecovery</v>
      </c>
      <c r="AP2150" t="str">
        <f t="shared" si="250"/>
        <v>Defensive</v>
      </c>
      <c r="BB2150" s="23"/>
      <c r="BD2150" s="21"/>
      <c r="BE2150" s="21"/>
      <c r="BF2150" s="21"/>
      <c r="BG2150" s="21"/>
      <c r="BH2150" s="21"/>
      <c r="BI2150" s="21"/>
    </row>
    <row r="2151" spans="1:61" x14ac:dyDescent="0.2">
      <c r="A2151">
        <v>1107</v>
      </c>
      <c r="B2151" t="s">
        <v>887</v>
      </c>
      <c r="C2151" t="str">
        <f t="shared" si="245"/>
        <v/>
      </c>
      <c r="D2151" t="str">
        <f t="shared" si="251"/>
        <v/>
      </c>
      <c r="H2151">
        <f t="shared" si="247"/>
        <v>2</v>
      </c>
      <c r="I2151" s="5" t="s">
        <v>905</v>
      </c>
      <c r="J2151" s="5" t="s">
        <v>779</v>
      </c>
      <c r="K2151" s="5" t="s">
        <v>905</v>
      </c>
      <c r="L2151" s="7" t="s">
        <v>721</v>
      </c>
      <c r="Q2151" t="s">
        <v>620</v>
      </c>
      <c r="R2151">
        <v>61</v>
      </c>
      <c r="S2151">
        <v>1</v>
      </c>
      <c r="T2151" t="str">
        <f t="shared" si="246"/>
        <v>e</v>
      </c>
      <c r="U2151" t="s">
        <v>15</v>
      </c>
      <c r="Y2151" t="s">
        <v>777</v>
      </c>
      <c r="Z2151" t="s">
        <v>679</v>
      </c>
      <c r="AA2151" t="s">
        <v>706</v>
      </c>
      <c r="AF2151" t="s">
        <v>401</v>
      </c>
      <c r="AJ2151">
        <v>1</v>
      </c>
      <c r="AM2151" t="str">
        <f t="shared" si="248"/>
        <v>Possession</v>
      </c>
      <c r="AN2151" t="str">
        <f t="shared" si="249"/>
        <v/>
      </c>
      <c r="AP2151" t="str">
        <f t="shared" si="250"/>
        <v>Offensive</v>
      </c>
      <c r="BB2151" s="23"/>
      <c r="BD2151" s="21"/>
      <c r="BE2151" s="21"/>
      <c r="BF2151" s="21"/>
      <c r="BG2151" s="21"/>
      <c r="BH2151" s="21"/>
      <c r="BI2151" s="21"/>
    </row>
    <row r="2152" spans="1:61" x14ac:dyDescent="0.2">
      <c r="A2152">
        <v>1107</v>
      </c>
      <c r="B2152" t="s">
        <v>887</v>
      </c>
      <c r="C2152" t="str">
        <f t="shared" si="245"/>
        <v/>
      </c>
      <c r="D2152" t="str">
        <f t="shared" si="251"/>
        <v/>
      </c>
      <c r="H2152">
        <f t="shared" si="247"/>
        <v>2</v>
      </c>
      <c r="R2152">
        <v>44</v>
      </c>
      <c r="T2152" t="str">
        <f t="shared" si="246"/>
        <v>o</v>
      </c>
      <c r="Y2152" t="s">
        <v>715</v>
      </c>
      <c r="AJ2152">
        <v>1</v>
      </c>
      <c r="AM2152" t="str">
        <f t="shared" si="248"/>
        <v>Possession</v>
      </c>
      <c r="AN2152" t="str">
        <f t="shared" si="249"/>
        <v/>
      </c>
      <c r="AP2152" t="str">
        <f t="shared" si="250"/>
        <v>Defensive</v>
      </c>
      <c r="BB2152" s="23"/>
      <c r="BD2152" s="21"/>
      <c r="BE2152" s="21"/>
      <c r="BF2152" s="21"/>
      <c r="BG2152" s="21"/>
      <c r="BH2152" s="21"/>
      <c r="BI2152" s="21"/>
    </row>
    <row r="2153" spans="1:61" x14ac:dyDescent="0.2">
      <c r="A2153">
        <v>1107</v>
      </c>
      <c r="B2153" t="s">
        <v>887</v>
      </c>
      <c r="C2153" t="str">
        <f t="shared" si="245"/>
        <v/>
      </c>
      <c r="D2153" t="str">
        <f t="shared" si="251"/>
        <v/>
      </c>
      <c r="H2153">
        <f t="shared" si="247"/>
        <v>2</v>
      </c>
      <c r="R2153">
        <v>68</v>
      </c>
      <c r="T2153" t="str">
        <f t="shared" si="246"/>
        <v>o</v>
      </c>
      <c r="Y2153" t="s">
        <v>715</v>
      </c>
      <c r="AJ2153">
        <v>1</v>
      </c>
      <c r="AM2153" t="str">
        <f t="shared" si="248"/>
        <v>Possession</v>
      </c>
      <c r="AN2153" t="str">
        <f t="shared" si="249"/>
        <v/>
      </c>
      <c r="AP2153" t="str">
        <f t="shared" si="250"/>
        <v>Defensive</v>
      </c>
      <c r="BB2153" s="23"/>
      <c r="BD2153" s="21"/>
      <c r="BE2153" s="21"/>
      <c r="BF2153" s="21"/>
      <c r="BG2153" s="21"/>
      <c r="BH2153" s="21"/>
      <c r="BI2153" s="21"/>
    </row>
    <row r="2154" spans="1:61" x14ac:dyDescent="0.2">
      <c r="A2154">
        <v>1108</v>
      </c>
      <c r="B2154" t="s">
        <v>887</v>
      </c>
      <c r="C2154" t="str">
        <f t="shared" si="245"/>
        <v/>
      </c>
      <c r="D2154" t="str">
        <f t="shared" si="251"/>
        <v/>
      </c>
      <c r="H2154">
        <f t="shared" si="247"/>
        <v>2</v>
      </c>
      <c r="I2154" s="5" t="s">
        <v>905</v>
      </c>
      <c r="J2154" s="5" t="s">
        <v>721</v>
      </c>
      <c r="Q2154" t="s">
        <v>620</v>
      </c>
      <c r="R2154">
        <v>61</v>
      </c>
      <c r="S2154">
        <v>1</v>
      </c>
      <c r="T2154" t="str">
        <f t="shared" si="246"/>
        <v>e</v>
      </c>
      <c r="U2154" t="s">
        <v>8</v>
      </c>
      <c r="V2154" t="s">
        <v>189</v>
      </c>
      <c r="W2154" t="s">
        <v>70</v>
      </c>
      <c r="X2154" t="s">
        <v>706</v>
      </c>
      <c r="AF2154" t="s">
        <v>401</v>
      </c>
      <c r="AM2154" t="str">
        <f t="shared" si="248"/>
        <v>Pass</v>
      </c>
      <c r="AN2154" t="str">
        <f t="shared" si="249"/>
        <v>Pass_Completed</v>
      </c>
      <c r="AP2154" t="str">
        <f t="shared" si="250"/>
        <v>Offensive</v>
      </c>
      <c r="BB2154" s="23"/>
      <c r="BD2154" s="21"/>
      <c r="BE2154" s="21"/>
      <c r="BF2154" s="21"/>
      <c r="BG2154" s="21"/>
      <c r="BH2154" s="21"/>
      <c r="BI2154" s="21"/>
    </row>
    <row r="2155" spans="1:61" x14ac:dyDescent="0.2">
      <c r="A2155">
        <v>1108</v>
      </c>
      <c r="B2155" t="s">
        <v>887</v>
      </c>
      <c r="C2155" t="str">
        <f t="shared" si="245"/>
        <v/>
      </c>
      <c r="D2155" t="str">
        <f t="shared" si="251"/>
        <v/>
      </c>
      <c r="H2155">
        <f t="shared" si="247"/>
        <v>2</v>
      </c>
      <c r="R2155">
        <v>22</v>
      </c>
      <c r="S2155">
        <v>1</v>
      </c>
      <c r="T2155" t="str">
        <f t="shared" si="246"/>
        <v>e</v>
      </c>
      <c r="AM2155" t="str">
        <f t="shared" si="248"/>
        <v>Pass</v>
      </c>
      <c r="AN2155" t="str">
        <f t="shared" si="249"/>
        <v>Pass_Completed</v>
      </c>
      <c r="AP2155" t="str">
        <f t="shared" si="250"/>
        <v>Offensive</v>
      </c>
      <c r="BB2155" s="23"/>
      <c r="BD2155" s="21"/>
      <c r="BE2155" s="21"/>
      <c r="BF2155" s="21"/>
      <c r="BG2155" s="21"/>
      <c r="BH2155" s="21"/>
      <c r="BI2155" s="21"/>
    </row>
    <row r="2156" spans="1:61" x14ac:dyDescent="0.2">
      <c r="A2156">
        <v>1108</v>
      </c>
      <c r="B2156" t="s">
        <v>887</v>
      </c>
      <c r="C2156" t="str">
        <f t="shared" si="245"/>
        <v/>
      </c>
      <c r="D2156" t="str">
        <f t="shared" si="251"/>
        <v/>
      </c>
      <c r="H2156">
        <f t="shared" si="247"/>
        <v>2</v>
      </c>
      <c r="R2156">
        <v>77</v>
      </c>
      <c r="T2156" t="str">
        <f t="shared" si="246"/>
        <v>o</v>
      </c>
      <c r="Y2156" t="s">
        <v>722</v>
      </c>
      <c r="AM2156" t="str">
        <f t="shared" si="248"/>
        <v>Pass</v>
      </c>
      <c r="AN2156" t="str">
        <f t="shared" si="249"/>
        <v>Pass_Completed</v>
      </c>
      <c r="AP2156" t="str">
        <f t="shared" si="250"/>
        <v>Defensive</v>
      </c>
      <c r="BB2156" s="23"/>
      <c r="BD2156" s="21"/>
      <c r="BE2156" s="21"/>
      <c r="BF2156" s="21"/>
      <c r="BG2156" s="21"/>
      <c r="BH2156" s="21"/>
      <c r="BI2156" s="21"/>
    </row>
    <row r="2157" spans="1:61" x14ac:dyDescent="0.2">
      <c r="A2157">
        <v>1109</v>
      </c>
      <c r="B2157" t="s">
        <v>887</v>
      </c>
      <c r="C2157" t="str">
        <f t="shared" si="245"/>
        <v/>
      </c>
      <c r="D2157" t="str">
        <f t="shared" si="251"/>
        <v/>
      </c>
      <c r="H2157">
        <f t="shared" si="247"/>
        <v>2</v>
      </c>
      <c r="I2157" s="5" t="s">
        <v>905</v>
      </c>
      <c r="J2157" s="5" t="s">
        <v>724</v>
      </c>
      <c r="Q2157" t="s">
        <v>620</v>
      </c>
      <c r="R2157">
        <v>22</v>
      </c>
      <c r="S2157">
        <v>1</v>
      </c>
      <c r="T2157" t="str">
        <f t="shared" si="246"/>
        <v>e</v>
      </c>
      <c r="U2157" t="s">
        <v>7</v>
      </c>
      <c r="V2157" t="s">
        <v>198</v>
      </c>
      <c r="W2157" t="s">
        <v>53</v>
      </c>
      <c r="X2157" t="s">
        <v>705</v>
      </c>
      <c r="AF2157" t="s">
        <v>401</v>
      </c>
      <c r="AJ2157">
        <v>1</v>
      </c>
      <c r="AM2157" t="str">
        <f t="shared" si="248"/>
        <v>Shot</v>
      </c>
      <c r="AN2157" t="str">
        <f t="shared" si="249"/>
        <v>Shot_Missed</v>
      </c>
      <c r="AP2157" t="str">
        <f t="shared" si="250"/>
        <v>Offensive</v>
      </c>
      <c r="BB2157" s="23"/>
      <c r="BD2157" s="21"/>
      <c r="BE2157" s="21"/>
      <c r="BF2157" s="21"/>
      <c r="BG2157" s="21"/>
      <c r="BH2157" s="21"/>
      <c r="BI2157" s="21"/>
    </row>
    <row r="2158" spans="1:61" x14ac:dyDescent="0.2">
      <c r="A2158">
        <v>1109</v>
      </c>
      <c r="B2158" t="s">
        <v>887</v>
      </c>
      <c r="C2158" t="str">
        <f t="shared" si="245"/>
        <v/>
      </c>
      <c r="D2158" t="str">
        <f t="shared" si="251"/>
        <v/>
      </c>
      <c r="H2158">
        <f t="shared" si="247"/>
        <v>2</v>
      </c>
      <c r="R2158">
        <v>44</v>
      </c>
      <c r="T2158" t="str">
        <f t="shared" si="246"/>
        <v>o</v>
      </c>
      <c r="Y2158" t="s">
        <v>715</v>
      </c>
      <c r="AJ2158">
        <v>1</v>
      </c>
      <c r="AM2158" t="str">
        <f t="shared" si="248"/>
        <v>Shot</v>
      </c>
      <c r="AN2158" t="str">
        <f t="shared" si="249"/>
        <v>Shot_Missed</v>
      </c>
      <c r="AP2158" t="str">
        <f t="shared" si="250"/>
        <v>Defensive</v>
      </c>
      <c r="BB2158" s="23"/>
      <c r="BD2158" s="21"/>
      <c r="BE2158" s="21"/>
      <c r="BF2158" s="21"/>
      <c r="BG2158" s="21"/>
      <c r="BH2158" s="21"/>
      <c r="BI2158" s="21"/>
    </row>
    <row r="2159" spans="1:61" x14ac:dyDescent="0.2">
      <c r="A2159">
        <v>1110</v>
      </c>
      <c r="B2159" t="s">
        <v>887</v>
      </c>
      <c r="C2159" t="str">
        <f t="shared" si="245"/>
        <v/>
      </c>
      <c r="D2159" t="str">
        <f t="shared" si="251"/>
        <v/>
      </c>
      <c r="H2159">
        <f t="shared" si="247"/>
        <v>2</v>
      </c>
      <c r="I2159" s="5" t="s">
        <v>905</v>
      </c>
      <c r="J2159" s="5" t="s">
        <v>724</v>
      </c>
      <c r="Q2159" t="s">
        <v>620</v>
      </c>
      <c r="R2159">
        <v>22</v>
      </c>
      <c r="S2159">
        <v>1</v>
      </c>
      <c r="T2159" t="str">
        <f>IF(S2159="x","",IF(S2159=1,"e","o"))</f>
        <v>e</v>
      </c>
      <c r="U2159" t="s">
        <v>10</v>
      </c>
      <c r="V2159" t="s">
        <v>190</v>
      </c>
      <c r="W2159" t="s">
        <v>79</v>
      </c>
      <c r="X2159" t="s">
        <v>705</v>
      </c>
      <c r="AF2159" t="s">
        <v>401</v>
      </c>
      <c r="AJ2159">
        <v>1</v>
      </c>
      <c r="AM2159" t="str">
        <f t="shared" si="248"/>
        <v>Turnover</v>
      </c>
      <c r="AN2159" t="str">
        <f t="shared" si="249"/>
        <v>Turnover_Giveaway</v>
      </c>
      <c r="AP2159" t="str">
        <f t="shared" si="250"/>
        <v>Offensive</v>
      </c>
      <c r="BB2159" s="23"/>
      <c r="BD2159" s="21"/>
      <c r="BE2159" s="21"/>
      <c r="BF2159" s="21"/>
      <c r="BG2159" s="21"/>
      <c r="BH2159" s="21"/>
      <c r="BI2159" s="21"/>
    </row>
    <row r="2160" spans="1:61" x14ac:dyDescent="0.2">
      <c r="A2160">
        <v>1110</v>
      </c>
      <c r="B2160" t="s">
        <v>887</v>
      </c>
      <c r="C2160" t="str">
        <f t="shared" si="245"/>
        <v/>
      </c>
      <c r="D2160" t="str">
        <f t="shared" si="251"/>
        <v/>
      </c>
      <c r="H2160">
        <f t="shared" si="247"/>
        <v>2</v>
      </c>
      <c r="R2160">
        <v>44</v>
      </c>
      <c r="T2160" t="str">
        <f>IF(S2160="x","",IF(S2160=1,"e","o"))</f>
        <v>o</v>
      </c>
      <c r="Y2160" t="s">
        <v>715</v>
      </c>
      <c r="AJ2160">
        <v>1</v>
      </c>
      <c r="AM2160" t="str">
        <f t="shared" si="248"/>
        <v>Turnover</v>
      </c>
      <c r="AN2160" t="str">
        <f t="shared" si="249"/>
        <v>Turnover_Giveaway</v>
      </c>
      <c r="AP2160" t="str">
        <f t="shared" si="250"/>
        <v>Defensive</v>
      </c>
      <c r="BB2160" s="23"/>
      <c r="BD2160" s="21"/>
      <c r="BE2160" s="21"/>
      <c r="BF2160" s="21"/>
      <c r="BG2160" s="21"/>
      <c r="BH2160" s="21"/>
      <c r="BI2160" s="21"/>
    </row>
    <row r="2161" spans="1:61" x14ac:dyDescent="0.2">
      <c r="A2161">
        <v>1111</v>
      </c>
      <c r="B2161" t="s">
        <v>887</v>
      </c>
      <c r="C2161" t="str">
        <f t="shared" si="245"/>
        <v/>
      </c>
      <c r="D2161" t="str">
        <f t="shared" si="251"/>
        <v/>
      </c>
      <c r="H2161">
        <f t="shared" si="247"/>
        <v>2</v>
      </c>
      <c r="I2161" s="5" t="s">
        <v>905</v>
      </c>
      <c r="J2161" s="5" t="s">
        <v>813</v>
      </c>
      <c r="K2161" s="5" t="s">
        <v>905</v>
      </c>
      <c r="L2161" s="7" t="s">
        <v>731</v>
      </c>
      <c r="Q2161" t="s">
        <v>619</v>
      </c>
      <c r="R2161">
        <v>68</v>
      </c>
      <c r="S2161">
        <v>1</v>
      </c>
      <c r="T2161" t="str">
        <f t="shared" si="246"/>
        <v>e</v>
      </c>
      <c r="U2161" t="s">
        <v>15</v>
      </c>
      <c r="V2161" t="s">
        <v>697</v>
      </c>
      <c r="X2161" t="s">
        <v>705</v>
      </c>
      <c r="Y2161" t="s">
        <v>857</v>
      </c>
      <c r="AA2161" t="s">
        <v>705</v>
      </c>
      <c r="AF2161" t="s">
        <v>623</v>
      </c>
      <c r="AJ2161">
        <v>1</v>
      </c>
      <c r="AM2161" t="str">
        <f t="shared" si="248"/>
        <v>Possession</v>
      </c>
      <c r="AN2161" t="str">
        <f t="shared" si="249"/>
        <v>PuckRetrieval</v>
      </c>
      <c r="AP2161" t="str">
        <f t="shared" si="250"/>
        <v>Offensive</v>
      </c>
      <c r="BB2161" s="23"/>
      <c r="BD2161" s="21"/>
      <c r="BE2161" s="21"/>
      <c r="BF2161" s="21"/>
      <c r="BG2161" s="21"/>
      <c r="BH2161" s="21"/>
      <c r="BI2161" s="21"/>
    </row>
    <row r="2162" spans="1:61" x14ac:dyDescent="0.2">
      <c r="A2162">
        <v>1111</v>
      </c>
      <c r="B2162" t="s">
        <v>887</v>
      </c>
      <c r="C2162" t="str">
        <f t="shared" si="245"/>
        <v/>
      </c>
      <c r="D2162" t="str">
        <f t="shared" si="251"/>
        <v/>
      </c>
      <c r="H2162">
        <f t="shared" si="247"/>
        <v>2</v>
      </c>
      <c r="R2162">
        <v>42</v>
      </c>
      <c r="T2162" t="str">
        <f t="shared" si="246"/>
        <v>o</v>
      </c>
      <c r="Y2162" t="s">
        <v>832</v>
      </c>
      <c r="AJ2162">
        <v>1</v>
      </c>
      <c r="AM2162" t="str">
        <f t="shared" si="248"/>
        <v>Possession</v>
      </c>
      <c r="AN2162" t="str">
        <f t="shared" si="249"/>
        <v>PuckRetrieval</v>
      </c>
      <c r="AP2162" t="str">
        <f t="shared" si="250"/>
        <v>Defensive</v>
      </c>
      <c r="BB2162" s="23"/>
      <c r="BD2162" s="21"/>
      <c r="BE2162" s="21"/>
      <c r="BF2162" s="21"/>
      <c r="BG2162" s="21"/>
      <c r="BH2162" s="21"/>
      <c r="BI2162" s="21"/>
    </row>
    <row r="2163" spans="1:61" x14ac:dyDescent="0.2">
      <c r="A2163">
        <v>1112</v>
      </c>
      <c r="B2163" t="s">
        <v>887</v>
      </c>
      <c r="C2163" t="str">
        <f t="shared" si="245"/>
        <v/>
      </c>
      <c r="D2163" t="str">
        <f t="shared" si="251"/>
        <v/>
      </c>
      <c r="H2163">
        <f t="shared" si="247"/>
        <v>2</v>
      </c>
      <c r="I2163" s="5" t="s">
        <v>905</v>
      </c>
      <c r="J2163" s="5" t="s">
        <v>731</v>
      </c>
      <c r="Q2163" t="s">
        <v>620</v>
      </c>
      <c r="R2163">
        <v>42</v>
      </c>
      <c r="S2163">
        <v>1</v>
      </c>
      <c r="T2163" t="str">
        <f t="shared" si="246"/>
        <v>e</v>
      </c>
      <c r="U2163" t="s">
        <v>10</v>
      </c>
      <c r="V2163" t="s">
        <v>200</v>
      </c>
      <c r="W2163" t="s">
        <v>82</v>
      </c>
      <c r="Y2163" t="s">
        <v>714</v>
      </c>
      <c r="Z2163" t="s">
        <v>774</v>
      </c>
      <c r="AA2163" t="s">
        <v>705</v>
      </c>
      <c r="AF2163" t="s">
        <v>401</v>
      </c>
      <c r="AJ2163">
        <v>1</v>
      </c>
      <c r="AM2163" t="str">
        <f t="shared" si="248"/>
        <v>Turnover</v>
      </c>
      <c r="AN2163" t="str">
        <f t="shared" si="249"/>
        <v>Turnover_Takeaway</v>
      </c>
      <c r="AP2163" t="str">
        <f t="shared" si="250"/>
        <v>Defensive</v>
      </c>
      <c r="BB2163" s="23"/>
      <c r="BD2163" s="21"/>
      <c r="BE2163" s="21"/>
      <c r="BF2163" s="21"/>
      <c r="BG2163" s="21"/>
      <c r="BH2163" s="21"/>
      <c r="BI2163" s="21"/>
    </row>
    <row r="2164" spans="1:61" x14ac:dyDescent="0.2">
      <c r="A2164">
        <v>1112</v>
      </c>
      <c r="B2164" t="s">
        <v>887</v>
      </c>
      <c r="C2164" t="str">
        <f t="shared" si="245"/>
        <v/>
      </c>
      <c r="D2164" t="str">
        <f t="shared" si="251"/>
        <v/>
      </c>
      <c r="H2164">
        <f t="shared" si="247"/>
        <v>2</v>
      </c>
      <c r="R2164">
        <v>68</v>
      </c>
      <c r="T2164" t="str">
        <f t="shared" si="246"/>
        <v>o</v>
      </c>
      <c r="AM2164" t="str">
        <f t="shared" si="248"/>
        <v>Turnover</v>
      </c>
      <c r="AN2164" t="str">
        <f t="shared" si="249"/>
        <v>Turnover_Takeaway</v>
      </c>
      <c r="AP2164" t="str">
        <f t="shared" si="250"/>
        <v>Offensive</v>
      </c>
      <c r="BB2164" s="23"/>
      <c r="BD2164" s="21"/>
      <c r="BE2164" s="21"/>
      <c r="BF2164" s="21"/>
      <c r="BG2164" s="21"/>
      <c r="BH2164" s="21"/>
      <c r="BI2164" s="21"/>
    </row>
    <row r="2165" spans="1:61" x14ac:dyDescent="0.2">
      <c r="A2165">
        <v>1113</v>
      </c>
      <c r="B2165" t="s">
        <v>887</v>
      </c>
      <c r="C2165" t="str">
        <f t="shared" si="245"/>
        <v/>
      </c>
      <c r="D2165" t="str">
        <f t="shared" si="251"/>
        <v/>
      </c>
      <c r="H2165">
        <f t="shared" si="247"/>
        <v>2</v>
      </c>
      <c r="I2165" s="5" t="s">
        <v>905</v>
      </c>
      <c r="J2165" s="5" t="s">
        <v>731</v>
      </c>
      <c r="K2165" s="5" t="s">
        <v>905</v>
      </c>
      <c r="L2165" s="7" t="s">
        <v>732</v>
      </c>
      <c r="Q2165" t="s">
        <v>620</v>
      </c>
      <c r="R2165">
        <v>42</v>
      </c>
      <c r="S2165">
        <v>1</v>
      </c>
      <c r="T2165" t="str">
        <f t="shared" si="246"/>
        <v>e</v>
      </c>
      <c r="U2165" t="s">
        <v>15</v>
      </c>
      <c r="Y2165" t="s">
        <v>809</v>
      </c>
      <c r="AF2165" t="s">
        <v>401</v>
      </c>
      <c r="AJ2165">
        <v>1</v>
      </c>
      <c r="AM2165" t="str">
        <f t="shared" si="248"/>
        <v>Possession</v>
      </c>
      <c r="AN2165" t="str">
        <f t="shared" si="249"/>
        <v/>
      </c>
      <c r="AP2165" t="str">
        <f t="shared" si="250"/>
        <v>Offensive</v>
      </c>
      <c r="BB2165" s="23"/>
      <c r="BD2165" s="21"/>
      <c r="BE2165" s="21"/>
      <c r="BF2165" s="21"/>
      <c r="BG2165" s="21"/>
      <c r="BH2165" s="21"/>
      <c r="BI2165" s="21"/>
    </row>
    <row r="2166" spans="1:61" x14ac:dyDescent="0.2">
      <c r="A2166">
        <v>1113</v>
      </c>
      <c r="B2166" t="s">
        <v>887</v>
      </c>
      <c r="C2166" t="str">
        <f t="shared" si="245"/>
        <v/>
      </c>
      <c r="D2166" t="str">
        <f t="shared" si="251"/>
        <v/>
      </c>
      <c r="H2166">
        <f t="shared" si="247"/>
        <v>2</v>
      </c>
      <c r="R2166">
        <v>68</v>
      </c>
      <c r="T2166" t="str">
        <f t="shared" si="246"/>
        <v>o</v>
      </c>
      <c r="AJ2166">
        <v>1</v>
      </c>
      <c r="AM2166" t="str">
        <f t="shared" si="248"/>
        <v>Possession</v>
      </c>
      <c r="AN2166" t="str">
        <f t="shared" si="249"/>
        <v/>
      </c>
      <c r="AP2166" t="str">
        <f t="shared" si="250"/>
        <v>Defensive</v>
      </c>
      <c r="BB2166" s="23"/>
      <c r="BD2166" s="21"/>
      <c r="BE2166" s="21"/>
      <c r="BF2166" s="21"/>
      <c r="BG2166" s="21"/>
      <c r="BH2166" s="21"/>
      <c r="BI2166" s="21"/>
    </row>
    <row r="2167" spans="1:61" x14ac:dyDescent="0.2">
      <c r="A2167">
        <v>1114</v>
      </c>
      <c r="B2167" t="s">
        <v>887</v>
      </c>
      <c r="C2167" t="str">
        <f t="shared" si="245"/>
        <v/>
      </c>
      <c r="D2167" t="str">
        <f t="shared" si="251"/>
        <v/>
      </c>
      <c r="H2167">
        <f t="shared" si="247"/>
        <v>2</v>
      </c>
      <c r="I2167" s="5" t="s">
        <v>905</v>
      </c>
      <c r="J2167" s="5" t="s">
        <v>732</v>
      </c>
      <c r="K2167" s="5" t="s">
        <v>905</v>
      </c>
      <c r="L2167" s="7" t="s">
        <v>733</v>
      </c>
      <c r="Q2167" t="s">
        <v>620</v>
      </c>
      <c r="R2167">
        <v>42</v>
      </c>
      <c r="S2167">
        <v>1</v>
      </c>
      <c r="T2167" t="str">
        <f t="shared" si="246"/>
        <v>e</v>
      </c>
      <c r="U2167" t="s">
        <v>15</v>
      </c>
      <c r="Y2167" t="s">
        <v>809</v>
      </c>
      <c r="Z2167" t="s">
        <v>767</v>
      </c>
      <c r="AA2167" t="s">
        <v>705</v>
      </c>
      <c r="AF2167" t="s">
        <v>401</v>
      </c>
      <c r="AJ2167">
        <v>1</v>
      </c>
      <c r="AM2167" t="str">
        <f t="shared" si="248"/>
        <v>Possession</v>
      </c>
      <c r="AN2167" t="str">
        <f t="shared" si="249"/>
        <v/>
      </c>
      <c r="AP2167" t="str">
        <f t="shared" si="250"/>
        <v>Offensive</v>
      </c>
      <c r="BB2167" s="23"/>
      <c r="BD2167" s="21"/>
      <c r="BE2167" s="21"/>
      <c r="BF2167" s="21"/>
      <c r="BG2167" s="21"/>
      <c r="BH2167" s="21"/>
      <c r="BI2167" s="21"/>
    </row>
    <row r="2168" spans="1:61" x14ac:dyDescent="0.2">
      <c r="A2168">
        <v>1114</v>
      </c>
      <c r="B2168" t="s">
        <v>887</v>
      </c>
      <c r="C2168" t="str">
        <f t="shared" si="245"/>
        <v/>
      </c>
      <c r="D2168" t="str">
        <f t="shared" si="251"/>
        <v/>
      </c>
      <c r="H2168">
        <f t="shared" si="247"/>
        <v>2</v>
      </c>
      <c r="R2168">
        <v>44</v>
      </c>
      <c r="T2168" t="str">
        <f t="shared" si="246"/>
        <v>o</v>
      </c>
      <c r="AJ2168">
        <v>1</v>
      </c>
      <c r="AM2168" t="str">
        <f t="shared" si="248"/>
        <v>Possession</v>
      </c>
      <c r="AN2168" t="str">
        <f t="shared" si="249"/>
        <v/>
      </c>
      <c r="AP2168" t="str">
        <f t="shared" si="250"/>
        <v>Defensive</v>
      </c>
      <c r="BB2168" s="23"/>
      <c r="BD2168" s="21"/>
      <c r="BE2168" s="21"/>
      <c r="BF2168" s="21"/>
      <c r="BG2168" s="21"/>
      <c r="BH2168" s="21"/>
      <c r="BI2168" s="21"/>
    </row>
    <row r="2169" spans="1:61" x14ac:dyDescent="0.2">
      <c r="A2169">
        <v>1114</v>
      </c>
      <c r="B2169" t="s">
        <v>887</v>
      </c>
      <c r="C2169" t="str">
        <f t="shared" si="245"/>
        <v/>
      </c>
      <c r="D2169" t="str">
        <f t="shared" si="251"/>
        <v/>
      </c>
      <c r="H2169">
        <f t="shared" si="247"/>
        <v>2</v>
      </c>
      <c r="R2169">
        <v>77</v>
      </c>
      <c r="T2169" t="str">
        <f t="shared" si="246"/>
        <v>o</v>
      </c>
      <c r="Y2169" t="s">
        <v>714</v>
      </c>
      <c r="AA2169" t="s">
        <v>706</v>
      </c>
      <c r="AJ2169">
        <v>1</v>
      </c>
      <c r="AM2169" t="str">
        <f t="shared" si="248"/>
        <v>Possession</v>
      </c>
      <c r="AN2169" t="str">
        <f t="shared" si="249"/>
        <v/>
      </c>
      <c r="AP2169" t="str">
        <f t="shared" si="250"/>
        <v>Defensive</v>
      </c>
      <c r="BB2169" s="23"/>
      <c r="BD2169" s="21"/>
      <c r="BE2169" s="21"/>
      <c r="BF2169" s="21"/>
      <c r="BG2169" s="21"/>
      <c r="BH2169" s="21"/>
      <c r="BI2169" s="21"/>
    </row>
    <row r="2170" spans="1:61" x14ac:dyDescent="0.2">
      <c r="A2170">
        <v>1115</v>
      </c>
      <c r="B2170" t="s">
        <v>887</v>
      </c>
      <c r="C2170" t="str">
        <f t="shared" si="245"/>
        <v/>
      </c>
      <c r="D2170" t="str">
        <f t="shared" si="251"/>
        <v/>
      </c>
      <c r="H2170">
        <f t="shared" si="247"/>
        <v>2</v>
      </c>
      <c r="I2170" s="5" t="s">
        <v>905</v>
      </c>
      <c r="J2170" s="5" t="s">
        <v>733</v>
      </c>
      <c r="Q2170" t="s">
        <v>619</v>
      </c>
      <c r="R2170">
        <v>77</v>
      </c>
      <c r="S2170">
        <v>1</v>
      </c>
      <c r="T2170" t="str">
        <f t="shared" si="246"/>
        <v>e</v>
      </c>
      <c r="U2170" t="s">
        <v>10</v>
      </c>
      <c r="V2170" t="s">
        <v>200</v>
      </c>
      <c r="W2170" t="s">
        <v>82</v>
      </c>
      <c r="X2170" t="s">
        <v>706</v>
      </c>
      <c r="Y2170" t="s">
        <v>714</v>
      </c>
      <c r="AA2170" t="s">
        <v>706</v>
      </c>
      <c r="AF2170" t="s">
        <v>623</v>
      </c>
      <c r="AJ2170">
        <v>1</v>
      </c>
      <c r="AM2170" t="str">
        <f t="shared" si="248"/>
        <v>Turnover</v>
      </c>
      <c r="AN2170" t="str">
        <f t="shared" si="249"/>
        <v>Turnover_Takeaway</v>
      </c>
      <c r="AP2170" t="str">
        <f t="shared" si="250"/>
        <v>Defensive</v>
      </c>
      <c r="BB2170" s="23"/>
      <c r="BD2170" s="21"/>
      <c r="BE2170" s="21"/>
      <c r="BF2170" s="21"/>
      <c r="BG2170" s="21"/>
      <c r="BH2170" s="21"/>
      <c r="BI2170" s="21"/>
    </row>
    <row r="2171" spans="1:61" x14ac:dyDescent="0.2">
      <c r="A2171">
        <v>1115</v>
      </c>
      <c r="B2171" t="s">
        <v>887</v>
      </c>
      <c r="C2171" t="str">
        <f t="shared" si="245"/>
        <v/>
      </c>
      <c r="D2171" t="str">
        <f t="shared" si="251"/>
        <v/>
      </c>
      <c r="H2171">
        <f t="shared" si="247"/>
        <v>2</v>
      </c>
      <c r="R2171">
        <v>42</v>
      </c>
      <c r="T2171" t="str">
        <f t="shared" si="246"/>
        <v>o</v>
      </c>
      <c r="Y2171" t="s">
        <v>809</v>
      </c>
      <c r="AA2171" t="s">
        <v>705</v>
      </c>
      <c r="AJ2171">
        <v>1</v>
      </c>
      <c r="AM2171" t="str">
        <f t="shared" si="248"/>
        <v>Turnover</v>
      </c>
      <c r="AN2171" t="str">
        <f t="shared" si="249"/>
        <v>Turnover_Takeaway</v>
      </c>
      <c r="AP2171" t="str">
        <f t="shared" si="250"/>
        <v>Offensive</v>
      </c>
      <c r="BB2171" s="23"/>
      <c r="BD2171" s="21"/>
      <c r="BE2171" s="21"/>
      <c r="BF2171" s="21"/>
      <c r="BG2171" s="21"/>
      <c r="BH2171" s="21"/>
      <c r="BI2171" s="21"/>
    </row>
    <row r="2172" spans="1:61" x14ac:dyDescent="0.2">
      <c r="A2172">
        <v>1116</v>
      </c>
      <c r="B2172" t="s">
        <v>887</v>
      </c>
      <c r="C2172" t="str">
        <f t="shared" si="245"/>
        <v/>
      </c>
      <c r="D2172" t="str">
        <f t="shared" si="251"/>
        <v/>
      </c>
      <c r="H2172">
        <f t="shared" si="247"/>
        <v>2</v>
      </c>
      <c r="I2172" s="5" t="s">
        <v>905</v>
      </c>
      <c r="J2172" s="5" t="s">
        <v>734</v>
      </c>
      <c r="K2172" s="5" t="s">
        <v>905</v>
      </c>
      <c r="L2172" s="7" t="s">
        <v>736</v>
      </c>
      <c r="Q2172" t="s">
        <v>619</v>
      </c>
      <c r="R2172">
        <v>77</v>
      </c>
      <c r="S2172">
        <v>1</v>
      </c>
      <c r="T2172" t="str">
        <f t="shared" si="246"/>
        <v>e</v>
      </c>
      <c r="U2172" t="s">
        <v>15</v>
      </c>
      <c r="Y2172" t="s">
        <v>767</v>
      </c>
      <c r="Z2172" t="s">
        <v>679</v>
      </c>
      <c r="AA2172" t="s">
        <v>706</v>
      </c>
      <c r="AF2172" t="s">
        <v>623</v>
      </c>
      <c r="AJ2172">
        <v>1</v>
      </c>
      <c r="AM2172" t="str">
        <f t="shared" si="248"/>
        <v>Possession</v>
      </c>
      <c r="AN2172" t="str">
        <f t="shared" si="249"/>
        <v/>
      </c>
      <c r="AP2172" t="str">
        <f t="shared" si="250"/>
        <v>Offensive</v>
      </c>
      <c r="BB2172" s="23"/>
      <c r="BD2172" s="21"/>
      <c r="BE2172" s="21"/>
      <c r="BF2172" s="21"/>
      <c r="BG2172" s="21"/>
      <c r="BH2172" s="21"/>
      <c r="BI2172" s="21"/>
    </row>
    <row r="2173" spans="1:61" x14ac:dyDescent="0.2">
      <c r="A2173">
        <v>1116</v>
      </c>
      <c r="B2173" t="s">
        <v>887</v>
      </c>
      <c r="C2173" t="str">
        <f t="shared" si="245"/>
        <v/>
      </c>
      <c r="D2173" t="str">
        <f t="shared" si="251"/>
        <v/>
      </c>
      <c r="H2173">
        <f t="shared" si="247"/>
        <v>2</v>
      </c>
      <c r="R2173">
        <v>55</v>
      </c>
      <c r="T2173" t="str">
        <f t="shared" si="246"/>
        <v>o</v>
      </c>
      <c r="AJ2173">
        <v>1</v>
      </c>
      <c r="AM2173" t="str">
        <f t="shared" si="248"/>
        <v>Possession</v>
      </c>
      <c r="AN2173" t="str">
        <f t="shared" si="249"/>
        <v/>
      </c>
      <c r="AP2173" t="str">
        <f t="shared" si="250"/>
        <v>Defensive</v>
      </c>
      <c r="BB2173" s="23"/>
      <c r="BD2173" s="21"/>
      <c r="BE2173" s="21"/>
      <c r="BF2173" s="21"/>
      <c r="BG2173" s="21"/>
      <c r="BH2173" s="21"/>
      <c r="BI2173" s="21"/>
    </row>
    <row r="2174" spans="1:61" x14ac:dyDescent="0.2">
      <c r="A2174">
        <v>1116</v>
      </c>
      <c r="B2174" t="s">
        <v>887</v>
      </c>
      <c r="C2174" t="str">
        <f t="shared" si="245"/>
        <v/>
      </c>
      <c r="D2174" t="str">
        <f t="shared" si="251"/>
        <v/>
      </c>
      <c r="H2174">
        <f t="shared" si="247"/>
        <v>2</v>
      </c>
      <c r="R2174">
        <v>42</v>
      </c>
      <c r="T2174" t="str">
        <f t="shared" si="246"/>
        <v>o</v>
      </c>
      <c r="Y2174" t="s">
        <v>764</v>
      </c>
      <c r="AA2174" t="s">
        <v>705</v>
      </c>
      <c r="AJ2174">
        <v>1</v>
      </c>
      <c r="AM2174" t="str">
        <f t="shared" si="248"/>
        <v>Possession</v>
      </c>
      <c r="AN2174" t="str">
        <f t="shared" si="249"/>
        <v/>
      </c>
      <c r="AP2174" t="str">
        <f t="shared" si="250"/>
        <v>Defensive</v>
      </c>
      <c r="BB2174" s="23"/>
      <c r="BD2174" s="21"/>
      <c r="BE2174" s="21"/>
      <c r="BF2174" s="21"/>
      <c r="BG2174" s="21"/>
      <c r="BH2174" s="21"/>
      <c r="BI2174" s="21"/>
    </row>
    <row r="2175" spans="1:61" x14ac:dyDescent="0.2">
      <c r="A2175">
        <v>1117</v>
      </c>
      <c r="B2175" t="s">
        <v>887</v>
      </c>
      <c r="C2175" t="str">
        <f t="shared" si="245"/>
        <v/>
      </c>
      <c r="D2175" t="str">
        <f t="shared" si="251"/>
        <v/>
      </c>
      <c r="H2175">
        <f t="shared" si="247"/>
        <v>2</v>
      </c>
      <c r="I2175" s="5" t="s">
        <v>905</v>
      </c>
      <c r="J2175" s="5" t="s">
        <v>736</v>
      </c>
      <c r="K2175" s="5" t="s">
        <v>905</v>
      </c>
      <c r="L2175" s="7" t="s">
        <v>738</v>
      </c>
      <c r="Q2175" t="s">
        <v>619</v>
      </c>
      <c r="R2175">
        <v>77</v>
      </c>
      <c r="S2175">
        <v>1</v>
      </c>
      <c r="T2175" t="str">
        <f t="shared" si="246"/>
        <v>e</v>
      </c>
      <c r="U2175" t="s">
        <v>257</v>
      </c>
      <c r="V2175" t="s">
        <v>201</v>
      </c>
      <c r="W2175" t="s">
        <v>90</v>
      </c>
      <c r="X2175" t="s">
        <v>706</v>
      </c>
      <c r="AF2175" t="s">
        <v>623</v>
      </c>
      <c r="AM2175" t="str">
        <f t="shared" si="248"/>
        <v>Zone_Entry_Exit</v>
      </c>
      <c r="AN2175" t="str">
        <f t="shared" si="249"/>
        <v>Zone_Exit</v>
      </c>
      <c r="AP2175" t="str">
        <f t="shared" si="250"/>
        <v>Offensive</v>
      </c>
      <c r="BB2175" s="23"/>
      <c r="BD2175" s="21"/>
      <c r="BE2175" s="21"/>
      <c r="BF2175" s="21"/>
      <c r="BG2175" s="21"/>
      <c r="BH2175" s="21"/>
      <c r="BI2175" s="21"/>
    </row>
    <row r="2176" spans="1:61" x14ac:dyDescent="0.2">
      <c r="A2176">
        <v>1118</v>
      </c>
      <c r="B2176" t="s">
        <v>887</v>
      </c>
      <c r="C2176" t="str">
        <f t="shared" si="245"/>
        <v/>
      </c>
      <c r="D2176" t="str">
        <f t="shared" si="251"/>
        <v/>
      </c>
      <c r="H2176">
        <f t="shared" si="247"/>
        <v>2</v>
      </c>
      <c r="I2176" s="5" t="s">
        <v>905</v>
      </c>
      <c r="J2176" s="5" t="s">
        <v>738</v>
      </c>
      <c r="K2176" s="5" t="s">
        <v>905</v>
      </c>
      <c r="L2176" s="7" t="s">
        <v>785</v>
      </c>
      <c r="Q2176" t="s">
        <v>619</v>
      </c>
      <c r="R2176">
        <v>77</v>
      </c>
      <c r="S2176">
        <v>1</v>
      </c>
      <c r="T2176" t="str">
        <f t="shared" si="246"/>
        <v>e</v>
      </c>
      <c r="U2176" t="s">
        <v>15</v>
      </c>
      <c r="AF2176" t="s">
        <v>635</v>
      </c>
      <c r="AM2176" t="str">
        <f t="shared" si="248"/>
        <v>Possession</v>
      </c>
      <c r="AN2176" t="str">
        <f t="shared" si="249"/>
        <v/>
      </c>
      <c r="AP2176" t="str">
        <f t="shared" si="250"/>
        <v>Offensive</v>
      </c>
      <c r="BB2176" s="23"/>
      <c r="BD2176" s="21"/>
      <c r="BE2176" s="21"/>
      <c r="BF2176" s="21"/>
      <c r="BG2176" s="21"/>
      <c r="BH2176" s="21"/>
      <c r="BI2176" s="21"/>
    </row>
    <row r="2177" spans="1:61" x14ac:dyDescent="0.2">
      <c r="A2177">
        <v>1119</v>
      </c>
      <c r="B2177" t="s">
        <v>887</v>
      </c>
      <c r="C2177" t="str">
        <f t="shared" si="245"/>
        <v/>
      </c>
      <c r="D2177" t="str">
        <f t="shared" si="251"/>
        <v/>
      </c>
      <c r="H2177">
        <f t="shared" si="247"/>
        <v>2</v>
      </c>
      <c r="I2177" s="5" t="s">
        <v>905</v>
      </c>
      <c r="J2177" s="5" t="s">
        <v>785</v>
      </c>
      <c r="K2177" s="5" t="s">
        <v>905</v>
      </c>
      <c r="L2177" s="7" t="s">
        <v>740</v>
      </c>
      <c r="Q2177" t="s">
        <v>619</v>
      </c>
      <c r="R2177">
        <v>77</v>
      </c>
      <c r="S2177">
        <v>1</v>
      </c>
      <c r="T2177" t="str">
        <f t="shared" si="246"/>
        <v>e</v>
      </c>
      <c r="U2177" t="s">
        <v>257</v>
      </c>
      <c r="V2177" t="s">
        <v>191</v>
      </c>
      <c r="W2177" t="s">
        <v>87</v>
      </c>
      <c r="X2177" t="s">
        <v>706</v>
      </c>
      <c r="AF2177" t="s">
        <v>401</v>
      </c>
      <c r="AJ2177">
        <v>1</v>
      </c>
      <c r="AM2177" t="str">
        <f t="shared" si="248"/>
        <v>Zone_Entry_Exit</v>
      </c>
      <c r="AN2177" t="str">
        <f t="shared" si="249"/>
        <v>Zone_Entry</v>
      </c>
      <c r="AP2177" t="str">
        <f t="shared" si="250"/>
        <v>Offensive</v>
      </c>
      <c r="BB2177" s="23"/>
      <c r="BD2177" s="21"/>
      <c r="BE2177" s="21"/>
      <c r="BF2177" s="21"/>
      <c r="BG2177" s="21"/>
      <c r="BH2177" s="21"/>
      <c r="BI2177" s="21"/>
    </row>
    <row r="2178" spans="1:61" x14ac:dyDescent="0.2">
      <c r="A2178">
        <v>1119</v>
      </c>
      <c r="B2178" t="s">
        <v>887</v>
      </c>
      <c r="C2178" t="str">
        <f t="shared" si="245"/>
        <v/>
      </c>
      <c r="D2178" t="str">
        <f t="shared" si="251"/>
        <v/>
      </c>
      <c r="H2178">
        <f t="shared" si="247"/>
        <v>2</v>
      </c>
      <c r="R2178">
        <v>68</v>
      </c>
      <c r="S2178">
        <v>1</v>
      </c>
      <c r="T2178" t="str">
        <f t="shared" si="246"/>
        <v>e</v>
      </c>
      <c r="AM2178" t="str">
        <f t="shared" si="248"/>
        <v>Zone_Entry_Exit</v>
      </c>
      <c r="AN2178" t="str">
        <f t="shared" si="249"/>
        <v>Zone_Entry</v>
      </c>
      <c r="AP2178" t="str">
        <f t="shared" si="250"/>
        <v>Offensive</v>
      </c>
      <c r="BB2178" s="23"/>
      <c r="BD2178" s="21"/>
      <c r="BE2178" s="21"/>
      <c r="BF2178" s="21"/>
      <c r="BG2178" s="21"/>
      <c r="BH2178" s="21"/>
      <c r="BI2178" s="21"/>
    </row>
    <row r="2179" spans="1:61" x14ac:dyDescent="0.2">
      <c r="A2179">
        <v>1119</v>
      </c>
      <c r="B2179" t="s">
        <v>887</v>
      </c>
      <c r="C2179" t="str">
        <f t="shared" si="245"/>
        <v/>
      </c>
      <c r="D2179" t="str">
        <f t="shared" si="251"/>
        <v/>
      </c>
      <c r="H2179">
        <f t="shared" si="247"/>
        <v>2</v>
      </c>
      <c r="R2179">
        <v>91</v>
      </c>
      <c r="T2179" t="str">
        <f t="shared" ref="T2179:T2242" si="252">IF(S2179="x","",IF(S2179=1,"e","o"))</f>
        <v>o</v>
      </c>
      <c r="AJ2179">
        <v>1</v>
      </c>
      <c r="AM2179" t="str">
        <f t="shared" si="248"/>
        <v>Zone_Entry_Exit</v>
      </c>
      <c r="AN2179" t="str">
        <f t="shared" si="249"/>
        <v>Zone_Entry</v>
      </c>
      <c r="AP2179" t="str">
        <f t="shared" si="250"/>
        <v>Defensive</v>
      </c>
      <c r="BB2179" s="23"/>
      <c r="BD2179" s="21"/>
      <c r="BE2179" s="21"/>
      <c r="BF2179" s="21"/>
      <c r="BG2179" s="21"/>
      <c r="BH2179" s="21"/>
      <c r="BI2179" s="21"/>
    </row>
    <row r="2180" spans="1:61" x14ac:dyDescent="0.2">
      <c r="A2180">
        <v>1119</v>
      </c>
      <c r="B2180" t="s">
        <v>887</v>
      </c>
      <c r="C2180" t="str">
        <f t="shared" ref="C2180:C2243" si="253">IF(B2180&lt;&gt;"",9000+B2180,"")</f>
        <v/>
      </c>
      <c r="D2180" t="str">
        <f t="shared" si="251"/>
        <v/>
      </c>
      <c r="H2180">
        <f t="shared" si="247"/>
        <v>2</v>
      </c>
      <c r="R2180">
        <v>22</v>
      </c>
      <c r="T2180" t="str">
        <f t="shared" si="252"/>
        <v>o</v>
      </c>
      <c r="AJ2180">
        <v>1</v>
      </c>
      <c r="AM2180" t="str">
        <f t="shared" si="248"/>
        <v>Zone_Entry_Exit</v>
      </c>
      <c r="AN2180" t="str">
        <f t="shared" si="249"/>
        <v>Zone_Entry</v>
      </c>
      <c r="AP2180" t="str">
        <f t="shared" si="250"/>
        <v>Defensive</v>
      </c>
      <c r="BB2180" s="23"/>
      <c r="BD2180" s="21"/>
      <c r="BE2180" s="21"/>
      <c r="BF2180" s="21"/>
      <c r="BG2180" s="21"/>
      <c r="BH2180" s="21"/>
      <c r="BI2180" s="21"/>
    </row>
    <row r="2181" spans="1:61" x14ac:dyDescent="0.2">
      <c r="A2181">
        <v>1120</v>
      </c>
      <c r="B2181" t="s">
        <v>887</v>
      </c>
      <c r="C2181" t="str">
        <f t="shared" si="253"/>
        <v/>
      </c>
      <c r="D2181" t="str">
        <f t="shared" si="251"/>
        <v/>
      </c>
      <c r="H2181">
        <f t="shared" ref="H2181:H2244" si="254">IF(U2181="Intermission",H2180+1,H2180)</f>
        <v>2</v>
      </c>
      <c r="I2181" s="5" t="s">
        <v>905</v>
      </c>
      <c r="J2181" s="5" t="s">
        <v>740</v>
      </c>
      <c r="K2181" s="5" t="s">
        <v>905</v>
      </c>
      <c r="L2181" s="7" t="s">
        <v>741</v>
      </c>
      <c r="Q2181" t="s">
        <v>619</v>
      </c>
      <c r="R2181">
        <v>77</v>
      </c>
      <c r="S2181">
        <v>1</v>
      </c>
      <c r="T2181" t="str">
        <f t="shared" si="252"/>
        <v>e</v>
      </c>
      <c r="U2181" t="s">
        <v>15</v>
      </c>
      <c r="X2181" t="s">
        <v>706</v>
      </c>
      <c r="Y2181" t="s">
        <v>677</v>
      </c>
      <c r="Z2181" t="s">
        <v>767</v>
      </c>
      <c r="AA2181" t="s">
        <v>706</v>
      </c>
      <c r="AF2181" t="s">
        <v>401</v>
      </c>
      <c r="AJ2181">
        <v>1</v>
      </c>
      <c r="AM2181" t="str">
        <f t="shared" ref="AM2181:AM2244" si="255">IF(U2181&lt;&gt;"",U2181,IF($A2181=$A2180,AM2180,""))</f>
        <v>Possession</v>
      </c>
      <c r="AN2181" t="str">
        <f t="shared" ref="AN2181:AN2244" si="256">IF(V2181&lt;&gt;"",V2181,IF($A2181=$A2180,AN2180,""))</f>
        <v/>
      </c>
      <c r="AP2181" t="str">
        <f t="shared" si="250"/>
        <v>Offensive</v>
      </c>
      <c r="BB2181" s="23"/>
      <c r="BD2181" s="21"/>
      <c r="BE2181" s="21"/>
      <c r="BF2181" s="21"/>
      <c r="BG2181" s="21"/>
      <c r="BH2181" s="21"/>
      <c r="BI2181" s="21"/>
    </row>
    <row r="2182" spans="1:61" x14ac:dyDescent="0.2">
      <c r="A2182">
        <v>1120</v>
      </c>
      <c r="B2182" t="s">
        <v>887</v>
      </c>
      <c r="C2182" t="str">
        <f t="shared" si="253"/>
        <v/>
      </c>
      <c r="D2182" t="str">
        <f t="shared" si="251"/>
        <v/>
      </c>
      <c r="H2182">
        <f t="shared" si="254"/>
        <v>2</v>
      </c>
      <c r="R2182">
        <v>91</v>
      </c>
      <c r="T2182" t="str">
        <f t="shared" si="252"/>
        <v>o</v>
      </c>
      <c r="Y2182" t="s">
        <v>764</v>
      </c>
      <c r="AA2182" t="s">
        <v>705</v>
      </c>
      <c r="AJ2182">
        <v>1</v>
      </c>
      <c r="AM2182" t="str">
        <f t="shared" si="255"/>
        <v>Possession</v>
      </c>
      <c r="AN2182" t="str">
        <f t="shared" si="256"/>
        <v/>
      </c>
      <c r="AP2182" t="str">
        <f t="shared" ref="AP2182:AP2245" si="257">IF(AND(T2182="e",OR(AM2182="Save",AN2182="Turnover_Takeaway",AN2182="Play_Defensive")),"Defensive",IF(AND(T2182="o",OR(AM2182="Save",AN2182="Turnover_Takeaway",AN2182="Play_Defensive")),"Offensive",IF(OR(AM2182="Deadice",AM2182="Stoppage",AM2182="Intermission"),"",IF(T2182="e","Offensive",IF(T2182="o","Defensive","")))))</f>
        <v>Defensive</v>
      </c>
      <c r="BB2182" s="23"/>
      <c r="BD2182" s="21"/>
      <c r="BE2182" s="21"/>
      <c r="BF2182" s="21"/>
      <c r="BG2182" s="21"/>
      <c r="BH2182" s="21"/>
      <c r="BI2182" s="21"/>
    </row>
    <row r="2183" spans="1:61" x14ac:dyDescent="0.2">
      <c r="A2183">
        <v>1120</v>
      </c>
      <c r="B2183" t="s">
        <v>887</v>
      </c>
      <c r="C2183" t="str">
        <f t="shared" si="253"/>
        <v/>
      </c>
      <c r="D2183" t="str">
        <f t="shared" si="251"/>
        <v/>
      </c>
      <c r="H2183">
        <f t="shared" si="254"/>
        <v>2</v>
      </c>
      <c r="R2183">
        <v>22</v>
      </c>
      <c r="T2183" t="str">
        <f t="shared" si="252"/>
        <v>o</v>
      </c>
      <c r="Y2183" t="s">
        <v>715</v>
      </c>
      <c r="AA2183" t="s">
        <v>705</v>
      </c>
      <c r="AJ2183">
        <v>1</v>
      </c>
      <c r="AM2183" t="str">
        <f t="shared" si="255"/>
        <v>Possession</v>
      </c>
      <c r="AN2183" t="str">
        <f t="shared" si="256"/>
        <v/>
      </c>
      <c r="AP2183" t="str">
        <f t="shared" si="257"/>
        <v>Defensive</v>
      </c>
      <c r="BB2183" s="23"/>
      <c r="BD2183" s="21"/>
      <c r="BE2183" s="21"/>
      <c r="BF2183" s="21"/>
      <c r="BG2183" s="21"/>
      <c r="BH2183" s="21"/>
      <c r="BI2183" s="21"/>
    </row>
    <row r="2184" spans="1:61" x14ac:dyDescent="0.2">
      <c r="A2184">
        <v>1121</v>
      </c>
      <c r="B2184">
        <v>180</v>
      </c>
      <c r="C2184">
        <f t="shared" si="253"/>
        <v>9180</v>
      </c>
      <c r="D2184">
        <f t="shared" si="251"/>
        <v>9180</v>
      </c>
      <c r="H2184">
        <f t="shared" si="254"/>
        <v>2</v>
      </c>
      <c r="I2184" s="5" t="s">
        <v>905</v>
      </c>
      <c r="J2184" s="5" t="s">
        <v>741</v>
      </c>
      <c r="Q2184" t="s">
        <v>619</v>
      </c>
      <c r="R2184">
        <v>77</v>
      </c>
      <c r="S2184">
        <v>1</v>
      </c>
      <c r="T2184" t="str">
        <f t="shared" si="252"/>
        <v>e</v>
      </c>
      <c r="U2184" t="s">
        <v>7</v>
      </c>
      <c r="V2184" t="s">
        <v>222</v>
      </c>
      <c r="W2184" t="s">
        <v>53</v>
      </c>
      <c r="X2184" t="s">
        <v>706</v>
      </c>
      <c r="AF2184" t="s">
        <v>401</v>
      </c>
      <c r="AJ2184">
        <v>1</v>
      </c>
      <c r="AM2184" t="str">
        <f t="shared" si="255"/>
        <v>Shot</v>
      </c>
      <c r="AN2184" t="str">
        <f t="shared" si="256"/>
        <v>Shot_OnNetSaved</v>
      </c>
      <c r="AP2184" t="str">
        <f t="shared" si="257"/>
        <v>Offensive</v>
      </c>
      <c r="BB2184" s="23"/>
      <c r="BD2184" s="21"/>
      <c r="BE2184" s="21"/>
      <c r="BF2184" s="21"/>
      <c r="BG2184" s="21"/>
      <c r="BH2184" s="21"/>
      <c r="BI2184" s="21"/>
    </row>
    <row r="2185" spans="1:61" x14ac:dyDescent="0.2">
      <c r="A2185">
        <v>1121</v>
      </c>
      <c r="B2185">
        <v>180</v>
      </c>
      <c r="C2185">
        <f t="shared" si="253"/>
        <v>9180</v>
      </c>
      <c r="D2185">
        <f t="shared" ref="D2185:D2248" si="258">IF(C2185&lt;&gt;"",C2185,B2185)</f>
        <v>9180</v>
      </c>
      <c r="H2185">
        <f t="shared" si="254"/>
        <v>2</v>
      </c>
      <c r="R2185">
        <v>39</v>
      </c>
      <c r="T2185" t="str">
        <f t="shared" si="252"/>
        <v>o</v>
      </c>
      <c r="AM2185" t="str">
        <f t="shared" si="255"/>
        <v>Shot</v>
      </c>
      <c r="AN2185" t="str">
        <f t="shared" si="256"/>
        <v>Shot_OnNetSaved</v>
      </c>
      <c r="AP2185" t="str">
        <f t="shared" si="257"/>
        <v>Defensive</v>
      </c>
      <c r="BB2185" s="23"/>
      <c r="BD2185" s="21"/>
      <c r="BE2185" s="21"/>
      <c r="BF2185" s="21"/>
      <c r="BG2185" s="21"/>
      <c r="BH2185" s="21"/>
      <c r="BI2185" s="21"/>
    </row>
    <row r="2186" spans="1:61" x14ac:dyDescent="0.2">
      <c r="A2186">
        <v>1121</v>
      </c>
      <c r="B2186">
        <v>180</v>
      </c>
      <c r="C2186">
        <f t="shared" si="253"/>
        <v>9180</v>
      </c>
      <c r="D2186">
        <f t="shared" si="258"/>
        <v>9180</v>
      </c>
      <c r="H2186">
        <f t="shared" si="254"/>
        <v>2</v>
      </c>
      <c r="R2186">
        <v>91</v>
      </c>
      <c r="T2186" t="str">
        <f t="shared" si="252"/>
        <v>o</v>
      </c>
      <c r="Y2186" t="s">
        <v>715</v>
      </c>
      <c r="AJ2186">
        <v>1</v>
      </c>
      <c r="AM2186" t="str">
        <f t="shared" si="255"/>
        <v>Shot</v>
      </c>
      <c r="AN2186" t="str">
        <f t="shared" si="256"/>
        <v>Shot_OnNetSaved</v>
      </c>
      <c r="AP2186" t="str">
        <f t="shared" si="257"/>
        <v>Defensive</v>
      </c>
      <c r="BB2186" s="23"/>
      <c r="BD2186" s="21"/>
      <c r="BE2186" s="21"/>
      <c r="BF2186" s="21"/>
      <c r="BG2186" s="21"/>
      <c r="BH2186" s="21"/>
      <c r="BI2186" s="21"/>
    </row>
    <row r="2187" spans="1:61" x14ac:dyDescent="0.2">
      <c r="A2187">
        <v>1122</v>
      </c>
      <c r="B2187">
        <v>180</v>
      </c>
      <c r="C2187">
        <f t="shared" si="253"/>
        <v>9180</v>
      </c>
      <c r="D2187">
        <f t="shared" si="258"/>
        <v>9180</v>
      </c>
      <c r="H2187">
        <f t="shared" si="254"/>
        <v>2</v>
      </c>
      <c r="I2187" s="5" t="s">
        <v>905</v>
      </c>
      <c r="J2187" s="5" t="s">
        <v>741</v>
      </c>
      <c r="Q2187" t="s">
        <v>620</v>
      </c>
      <c r="R2187">
        <v>39</v>
      </c>
      <c r="S2187">
        <v>1</v>
      </c>
      <c r="T2187" t="str">
        <f t="shared" si="252"/>
        <v>e</v>
      </c>
      <c r="U2187" t="s">
        <v>17</v>
      </c>
      <c r="V2187" t="s">
        <v>196</v>
      </c>
      <c r="W2187" t="s">
        <v>99</v>
      </c>
      <c r="AF2187" t="s">
        <v>623</v>
      </c>
      <c r="AM2187" t="str">
        <f t="shared" si="255"/>
        <v>Save</v>
      </c>
      <c r="AN2187" t="str">
        <f t="shared" si="256"/>
        <v>Save_Rebound</v>
      </c>
      <c r="AP2187" t="str">
        <f t="shared" si="257"/>
        <v>Defensive</v>
      </c>
      <c r="BB2187" s="23"/>
      <c r="BD2187" s="21"/>
      <c r="BE2187" s="21"/>
      <c r="BF2187" s="21"/>
      <c r="BG2187" s="21"/>
      <c r="BH2187" s="21"/>
      <c r="BI2187" s="21"/>
    </row>
    <row r="2188" spans="1:61" x14ac:dyDescent="0.2">
      <c r="A2188">
        <v>1122</v>
      </c>
      <c r="B2188">
        <v>180</v>
      </c>
      <c r="C2188">
        <f t="shared" si="253"/>
        <v>9180</v>
      </c>
      <c r="D2188">
        <f t="shared" si="258"/>
        <v>9180</v>
      </c>
      <c r="H2188">
        <f t="shared" si="254"/>
        <v>2</v>
      </c>
      <c r="R2188">
        <v>91</v>
      </c>
      <c r="S2188">
        <v>1</v>
      </c>
      <c r="T2188" t="str">
        <f t="shared" si="252"/>
        <v>e</v>
      </c>
      <c r="Y2188" t="s">
        <v>715</v>
      </c>
      <c r="AJ2188">
        <v>1</v>
      </c>
      <c r="AM2188" t="str">
        <f t="shared" si="255"/>
        <v>Save</v>
      </c>
      <c r="AN2188" t="str">
        <f t="shared" si="256"/>
        <v>Save_Rebound</v>
      </c>
      <c r="AP2188" t="str">
        <f t="shared" si="257"/>
        <v>Defensive</v>
      </c>
      <c r="BB2188" s="23"/>
      <c r="BD2188" s="21"/>
      <c r="BE2188" s="21"/>
      <c r="BF2188" s="21"/>
      <c r="BG2188" s="21"/>
      <c r="BH2188" s="21"/>
      <c r="BI2188" s="21"/>
    </row>
    <row r="2189" spans="1:61" x14ac:dyDescent="0.2">
      <c r="A2189">
        <v>1122</v>
      </c>
      <c r="B2189">
        <v>180</v>
      </c>
      <c r="C2189">
        <f t="shared" si="253"/>
        <v>9180</v>
      </c>
      <c r="D2189">
        <f t="shared" si="258"/>
        <v>9180</v>
      </c>
      <c r="H2189">
        <f t="shared" si="254"/>
        <v>2</v>
      </c>
      <c r="R2189">
        <v>77</v>
      </c>
      <c r="T2189" t="str">
        <f t="shared" si="252"/>
        <v>o</v>
      </c>
      <c r="AJ2189">
        <v>1</v>
      </c>
      <c r="AM2189" t="str">
        <f t="shared" si="255"/>
        <v>Save</v>
      </c>
      <c r="AN2189" t="str">
        <f t="shared" si="256"/>
        <v>Save_Rebound</v>
      </c>
      <c r="AP2189" t="str">
        <f t="shared" si="257"/>
        <v>Offensive</v>
      </c>
      <c r="BB2189" s="23"/>
      <c r="BD2189" s="21"/>
      <c r="BE2189" s="21"/>
      <c r="BF2189" s="21"/>
      <c r="BG2189" s="21"/>
      <c r="BH2189" s="21"/>
      <c r="BI2189" s="21"/>
    </row>
    <row r="2190" spans="1:61" x14ac:dyDescent="0.2">
      <c r="A2190">
        <v>1123</v>
      </c>
      <c r="B2190">
        <v>180</v>
      </c>
      <c r="C2190">
        <f t="shared" si="253"/>
        <v>9180</v>
      </c>
      <c r="D2190">
        <f t="shared" si="258"/>
        <v>9180</v>
      </c>
      <c r="H2190">
        <f t="shared" si="254"/>
        <v>2</v>
      </c>
      <c r="I2190" s="5" t="s">
        <v>905</v>
      </c>
      <c r="J2190" s="5" t="s">
        <v>741</v>
      </c>
      <c r="Q2190" t="s">
        <v>620</v>
      </c>
      <c r="R2190">
        <v>39</v>
      </c>
      <c r="S2190">
        <v>1</v>
      </c>
      <c r="T2190" t="str">
        <f t="shared" si="252"/>
        <v>e</v>
      </c>
      <c r="U2190" t="s">
        <v>250</v>
      </c>
      <c r="AF2190" t="s">
        <v>623</v>
      </c>
      <c r="AM2190" t="str">
        <f t="shared" si="255"/>
        <v>Rebound</v>
      </c>
      <c r="AN2190" t="str">
        <f t="shared" si="256"/>
        <v/>
      </c>
      <c r="AP2190" t="str">
        <f t="shared" si="257"/>
        <v>Offensive</v>
      </c>
      <c r="BB2190" s="23"/>
      <c r="BD2190" s="21"/>
      <c r="BE2190" s="21"/>
      <c r="BF2190" s="21"/>
      <c r="BG2190" s="21"/>
      <c r="BH2190" s="21"/>
      <c r="BI2190" s="21"/>
    </row>
    <row r="2191" spans="1:61" x14ac:dyDescent="0.2">
      <c r="A2191">
        <v>1124</v>
      </c>
      <c r="B2191" t="s">
        <v>887</v>
      </c>
      <c r="C2191" t="str">
        <f t="shared" si="253"/>
        <v/>
      </c>
      <c r="D2191" t="str">
        <f t="shared" si="258"/>
        <v/>
      </c>
      <c r="H2191">
        <f t="shared" si="254"/>
        <v>2</v>
      </c>
      <c r="I2191" s="5" t="s">
        <v>905</v>
      </c>
      <c r="J2191" s="5" t="s">
        <v>446</v>
      </c>
      <c r="T2191" t="str">
        <f t="shared" si="252"/>
        <v>o</v>
      </c>
      <c r="U2191" t="s">
        <v>13</v>
      </c>
      <c r="V2191" t="s">
        <v>194</v>
      </c>
      <c r="W2191" t="s">
        <v>41</v>
      </c>
      <c r="AM2191" t="str">
        <f t="shared" si="255"/>
        <v>Stoppage</v>
      </c>
      <c r="AN2191" t="str">
        <f t="shared" si="256"/>
        <v>Stoppage_Period</v>
      </c>
      <c r="AP2191" t="str">
        <f t="shared" si="257"/>
        <v/>
      </c>
      <c r="BB2191" s="23"/>
      <c r="BD2191" s="21"/>
      <c r="BE2191" s="21"/>
      <c r="BF2191" s="21"/>
      <c r="BG2191" s="21"/>
      <c r="BH2191" s="21"/>
      <c r="BI2191" s="21"/>
    </row>
    <row r="2192" spans="1:61" x14ac:dyDescent="0.2">
      <c r="A2192">
        <v>1125</v>
      </c>
      <c r="B2192" t="s">
        <v>887</v>
      </c>
      <c r="C2192" t="str">
        <f t="shared" si="253"/>
        <v/>
      </c>
      <c r="D2192" t="str">
        <f t="shared" si="258"/>
        <v/>
      </c>
      <c r="H2192">
        <f t="shared" si="254"/>
        <v>3</v>
      </c>
      <c r="I2192" s="5" t="s">
        <v>743</v>
      </c>
      <c r="J2192" s="5" t="s">
        <v>446</v>
      </c>
      <c r="K2192" s="5" t="s">
        <v>448</v>
      </c>
      <c r="L2192" s="7" t="s">
        <v>810</v>
      </c>
      <c r="T2192" t="str">
        <f t="shared" si="252"/>
        <v>o</v>
      </c>
      <c r="U2192" t="s">
        <v>426</v>
      </c>
      <c r="AM2192" t="str">
        <f t="shared" si="255"/>
        <v>Intermission</v>
      </c>
      <c r="AN2192" t="str">
        <f t="shared" si="256"/>
        <v/>
      </c>
      <c r="AP2192" t="str">
        <f t="shared" si="257"/>
        <v/>
      </c>
      <c r="BB2192" s="23"/>
      <c r="BD2192" s="21"/>
      <c r="BE2192" s="21"/>
      <c r="BF2192" s="21"/>
      <c r="BG2192" s="21"/>
      <c r="BH2192" s="21"/>
      <c r="BI2192" s="21"/>
    </row>
    <row r="2193" spans="1:61" x14ac:dyDescent="0.2">
      <c r="A2193">
        <v>1126</v>
      </c>
      <c r="B2193" t="s">
        <v>887</v>
      </c>
      <c r="C2193" t="str">
        <f t="shared" si="253"/>
        <v/>
      </c>
      <c r="D2193" t="str">
        <f t="shared" si="258"/>
        <v/>
      </c>
      <c r="H2193">
        <f t="shared" si="254"/>
        <v>3</v>
      </c>
      <c r="I2193" s="5" t="s">
        <v>782</v>
      </c>
      <c r="J2193" s="5" t="s">
        <v>446</v>
      </c>
      <c r="Q2193" t="s">
        <v>619</v>
      </c>
      <c r="R2193">
        <v>77</v>
      </c>
      <c r="S2193">
        <v>1</v>
      </c>
      <c r="T2193" t="str">
        <f t="shared" si="252"/>
        <v>e</v>
      </c>
      <c r="U2193" t="s">
        <v>6</v>
      </c>
      <c r="V2193" t="s">
        <v>214</v>
      </c>
      <c r="AF2193" t="s">
        <v>635</v>
      </c>
      <c r="AM2193" t="str">
        <f t="shared" si="255"/>
        <v>Faceoff</v>
      </c>
      <c r="AN2193" t="str">
        <f t="shared" si="256"/>
        <v>Faceoff_PeriodStart</v>
      </c>
      <c r="AP2193" t="str">
        <f t="shared" si="257"/>
        <v>Offensive</v>
      </c>
      <c r="BB2193" s="23"/>
      <c r="BD2193" s="21"/>
      <c r="BE2193" s="21"/>
      <c r="BF2193" s="21"/>
      <c r="BG2193" s="21"/>
      <c r="BH2193" s="21"/>
      <c r="BI2193" s="21"/>
    </row>
    <row r="2194" spans="1:61" x14ac:dyDescent="0.2">
      <c r="A2194">
        <v>1126</v>
      </c>
      <c r="B2194" t="s">
        <v>887</v>
      </c>
      <c r="C2194" t="str">
        <f t="shared" si="253"/>
        <v/>
      </c>
      <c r="D2194" t="str">
        <f t="shared" si="258"/>
        <v/>
      </c>
      <c r="H2194">
        <f t="shared" si="254"/>
        <v>3</v>
      </c>
      <c r="R2194">
        <v>42</v>
      </c>
      <c r="T2194" t="str">
        <f t="shared" si="252"/>
        <v>o</v>
      </c>
      <c r="AM2194" t="str">
        <f t="shared" si="255"/>
        <v>Faceoff</v>
      </c>
      <c r="AN2194" t="str">
        <f t="shared" si="256"/>
        <v>Faceoff_PeriodStart</v>
      </c>
      <c r="AP2194" t="str">
        <f t="shared" si="257"/>
        <v>Defensive</v>
      </c>
      <c r="BB2194" s="23"/>
      <c r="BD2194" s="21"/>
      <c r="BE2194" s="21"/>
      <c r="BF2194" s="21"/>
      <c r="BG2194" s="21"/>
      <c r="BH2194" s="21"/>
      <c r="BI2194" s="21"/>
    </row>
    <row r="2195" spans="1:61" x14ac:dyDescent="0.2">
      <c r="A2195">
        <v>1127</v>
      </c>
      <c r="B2195" t="s">
        <v>887</v>
      </c>
      <c r="C2195" t="str">
        <f t="shared" si="253"/>
        <v/>
      </c>
      <c r="D2195" t="str">
        <f t="shared" si="258"/>
        <v/>
      </c>
      <c r="H2195">
        <f t="shared" si="254"/>
        <v>3</v>
      </c>
      <c r="I2195" s="5" t="s">
        <v>621</v>
      </c>
      <c r="J2195" s="5" t="s">
        <v>638</v>
      </c>
      <c r="Q2195" t="s">
        <v>619</v>
      </c>
      <c r="R2195">
        <v>77</v>
      </c>
      <c r="S2195">
        <v>1</v>
      </c>
      <c r="T2195" t="str">
        <f t="shared" si="252"/>
        <v>e</v>
      </c>
      <c r="U2195" t="s">
        <v>257</v>
      </c>
      <c r="V2195" t="s">
        <v>191</v>
      </c>
      <c r="W2195" t="s">
        <v>423</v>
      </c>
      <c r="X2195" t="s">
        <v>705</v>
      </c>
      <c r="AF2195" t="s">
        <v>635</v>
      </c>
      <c r="AJ2195">
        <v>1</v>
      </c>
      <c r="AM2195" t="str">
        <f t="shared" si="255"/>
        <v>Zone_Entry_Exit</v>
      </c>
      <c r="AN2195" t="str">
        <f t="shared" si="256"/>
        <v>Zone_Entry</v>
      </c>
      <c r="AP2195" t="str">
        <f t="shared" si="257"/>
        <v>Offensive</v>
      </c>
      <c r="BB2195" s="23"/>
      <c r="BD2195" s="21"/>
      <c r="BE2195" s="21"/>
      <c r="BF2195" s="21"/>
      <c r="BG2195" s="21"/>
      <c r="BH2195" s="21"/>
      <c r="BI2195" s="21"/>
    </row>
    <row r="2196" spans="1:61" x14ac:dyDescent="0.2">
      <c r="A2196">
        <v>1127</v>
      </c>
      <c r="B2196" t="s">
        <v>887</v>
      </c>
      <c r="C2196" t="str">
        <f t="shared" si="253"/>
        <v/>
      </c>
      <c r="D2196" t="str">
        <f t="shared" si="258"/>
        <v/>
      </c>
      <c r="H2196">
        <f t="shared" si="254"/>
        <v>3</v>
      </c>
      <c r="R2196">
        <v>84</v>
      </c>
      <c r="T2196" t="str">
        <f t="shared" si="252"/>
        <v>o</v>
      </c>
      <c r="Y2196" t="s">
        <v>714</v>
      </c>
      <c r="AA2196" t="s">
        <v>706</v>
      </c>
      <c r="AJ2196">
        <v>1</v>
      </c>
      <c r="AM2196" t="str">
        <f t="shared" si="255"/>
        <v>Zone_Entry_Exit</v>
      </c>
      <c r="AN2196" t="str">
        <f t="shared" si="256"/>
        <v>Zone_Entry</v>
      </c>
      <c r="AP2196" t="str">
        <f t="shared" si="257"/>
        <v>Defensive</v>
      </c>
      <c r="BB2196" s="23"/>
      <c r="BD2196" s="21"/>
      <c r="BE2196" s="21"/>
      <c r="BF2196" s="21"/>
      <c r="BG2196" s="21"/>
      <c r="BH2196" s="21"/>
      <c r="BI2196" s="21"/>
    </row>
    <row r="2197" spans="1:61" x14ac:dyDescent="0.2">
      <c r="A2197">
        <v>1128</v>
      </c>
      <c r="B2197" t="s">
        <v>887</v>
      </c>
      <c r="C2197" t="str">
        <f t="shared" si="253"/>
        <v/>
      </c>
      <c r="D2197" t="str">
        <f t="shared" si="258"/>
        <v/>
      </c>
      <c r="H2197">
        <f t="shared" si="254"/>
        <v>3</v>
      </c>
      <c r="I2197" s="5" t="s">
        <v>621</v>
      </c>
      <c r="J2197" s="5" t="s">
        <v>751</v>
      </c>
      <c r="K2197" s="5" t="s">
        <v>621</v>
      </c>
      <c r="L2197" s="7" t="s">
        <v>773</v>
      </c>
      <c r="Q2197" t="s">
        <v>619</v>
      </c>
      <c r="R2197">
        <v>77</v>
      </c>
      <c r="S2197">
        <v>1</v>
      </c>
      <c r="T2197" t="str">
        <f t="shared" si="252"/>
        <v>e</v>
      </c>
      <c r="U2197" t="s">
        <v>15</v>
      </c>
      <c r="V2197" t="s">
        <v>698</v>
      </c>
      <c r="X2197" t="s">
        <v>706</v>
      </c>
      <c r="Y2197" t="s">
        <v>858</v>
      </c>
      <c r="AA2197" t="s">
        <v>706</v>
      </c>
      <c r="AF2197" t="s">
        <v>401</v>
      </c>
      <c r="AJ2197">
        <v>1</v>
      </c>
      <c r="AM2197" t="str">
        <f t="shared" si="255"/>
        <v>Possession</v>
      </c>
      <c r="AN2197" t="str">
        <f t="shared" si="256"/>
        <v>PuckRecovery</v>
      </c>
      <c r="AP2197" t="str">
        <f t="shared" si="257"/>
        <v>Offensive</v>
      </c>
      <c r="BB2197" s="23"/>
      <c r="BD2197" s="21"/>
      <c r="BE2197" s="21"/>
      <c r="BF2197" s="21"/>
      <c r="BG2197" s="21"/>
      <c r="BH2197" s="21"/>
      <c r="BI2197" s="21"/>
    </row>
    <row r="2198" spans="1:61" x14ac:dyDescent="0.2">
      <c r="A2198">
        <v>1128</v>
      </c>
      <c r="B2198" t="s">
        <v>887</v>
      </c>
      <c r="C2198" t="str">
        <f t="shared" si="253"/>
        <v/>
      </c>
      <c r="D2198" t="str">
        <f t="shared" si="258"/>
        <v/>
      </c>
      <c r="H2198">
        <f t="shared" si="254"/>
        <v>3</v>
      </c>
      <c r="R2198">
        <v>84</v>
      </c>
      <c r="T2198" t="str">
        <f t="shared" si="252"/>
        <v>o</v>
      </c>
      <c r="AJ2198">
        <v>1</v>
      </c>
      <c r="AM2198" t="str">
        <f t="shared" si="255"/>
        <v>Possession</v>
      </c>
      <c r="AN2198" t="str">
        <f t="shared" si="256"/>
        <v>PuckRecovery</v>
      </c>
      <c r="AP2198" t="str">
        <f t="shared" si="257"/>
        <v>Defensive</v>
      </c>
      <c r="BB2198" s="23"/>
      <c r="BD2198" s="21"/>
      <c r="BE2198" s="21"/>
      <c r="BF2198" s="21"/>
      <c r="BG2198" s="21"/>
      <c r="BH2198" s="21"/>
      <c r="BI2198" s="21"/>
    </row>
    <row r="2199" spans="1:61" x14ac:dyDescent="0.2">
      <c r="A2199">
        <v>1129</v>
      </c>
      <c r="B2199" t="s">
        <v>887</v>
      </c>
      <c r="C2199" t="str">
        <f t="shared" si="253"/>
        <v/>
      </c>
      <c r="D2199" t="str">
        <f t="shared" si="258"/>
        <v/>
      </c>
      <c r="H2199">
        <f t="shared" si="254"/>
        <v>3</v>
      </c>
      <c r="I2199" s="5" t="s">
        <v>621</v>
      </c>
      <c r="J2199" s="5" t="s">
        <v>773</v>
      </c>
      <c r="Q2199" t="s">
        <v>619</v>
      </c>
      <c r="R2199">
        <v>77</v>
      </c>
      <c r="S2199">
        <v>1</v>
      </c>
      <c r="T2199" t="str">
        <f t="shared" si="252"/>
        <v>e</v>
      </c>
      <c r="U2199" t="s">
        <v>8</v>
      </c>
      <c r="V2199" t="s">
        <v>189</v>
      </c>
      <c r="W2199" t="s">
        <v>70</v>
      </c>
      <c r="X2199" t="s">
        <v>706</v>
      </c>
      <c r="AF2199" t="s">
        <v>401</v>
      </c>
      <c r="AJ2199">
        <v>1</v>
      </c>
      <c r="AM2199" t="str">
        <f t="shared" si="255"/>
        <v>Pass</v>
      </c>
      <c r="AN2199" t="str">
        <f t="shared" si="256"/>
        <v>Pass_Completed</v>
      </c>
      <c r="AP2199" t="str">
        <f t="shared" si="257"/>
        <v>Offensive</v>
      </c>
      <c r="BB2199" s="23"/>
      <c r="BD2199" s="21"/>
      <c r="BE2199" s="21"/>
      <c r="BF2199" s="21"/>
      <c r="BG2199" s="21"/>
      <c r="BH2199" s="21"/>
      <c r="BI2199" s="21"/>
    </row>
    <row r="2200" spans="1:61" x14ac:dyDescent="0.2">
      <c r="A2200">
        <v>1129</v>
      </c>
      <c r="B2200" t="s">
        <v>887</v>
      </c>
      <c r="C2200" t="str">
        <f t="shared" si="253"/>
        <v/>
      </c>
      <c r="D2200" t="str">
        <f t="shared" si="258"/>
        <v/>
      </c>
      <c r="H2200">
        <f t="shared" si="254"/>
        <v>3</v>
      </c>
      <c r="R2200">
        <v>68</v>
      </c>
      <c r="S2200">
        <v>1</v>
      </c>
      <c r="T2200" t="str">
        <f t="shared" si="252"/>
        <v>e</v>
      </c>
      <c r="AM2200" t="str">
        <f t="shared" si="255"/>
        <v>Pass</v>
      </c>
      <c r="AN2200" t="str">
        <f t="shared" si="256"/>
        <v>Pass_Completed</v>
      </c>
      <c r="AP2200" t="str">
        <f t="shared" si="257"/>
        <v>Offensive</v>
      </c>
      <c r="BB2200" s="23"/>
      <c r="BD2200" s="21"/>
      <c r="BE2200" s="21"/>
      <c r="BF2200" s="21"/>
      <c r="BG2200" s="21"/>
      <c r="BH2200" s="21"/>
      <c r="BI2200" s="21"/>
    </row>
    <row r="2201" spans="1:61" x14ac:dyDescent="0.2">
      <c r="A2201">
        <v>1129</v>
      </c>
      <c r="B2201" t="s">
        <v>887</v>
      </c>
      <c r="C2201" t="str">
        <f t="shared" si="253"/>
        <v/>
      </c>
      <c r="D2201" t="str">
        <f t="shared" si="258"/>
        <v/>
      </c>
      <c r="H2201">
        <f t="shared" si="254"/>
        <v>3</v>
      </c>
      <c r="R2201">
        <v>91</v>
      </c>
      <c r="T2201" t="str">
        <f t="shared" si="252"/>
        <v>o</v>
      </c>
      <c r="AJ2201">
        <v>1</v>
      </c>
      <c r="AM2201" t="str">
        <f t="shared" si="255"/>
        <v>Pass</v>
      </c>
      <c r="AN2201" t="str">
        <f t="shared" si="256"/>
        <v>Pass_Completed</v>
      </c>
      <c r="AP2201" t="str">
        <f t="shared" si="257"/>
        <v>Defensive</v>
      </c>
      <c r="BB2201" s="23"/>
      <c r="BD2201" s="21"/>
      <c r="BE2201" s="21"/>
      <c r="BF2201" s="21"/>
      <c r="BG2201" s="21"/>
      <c r="BH2201" s="21"/>
      <c r="BI2201" s="21"/>
    </row>
    <row r="2202" spans="1:61" x14ac:dyDescent="0.2">
      <c r="A2202">
        <v>1130</v>
      </c>
      <c r="B2202" t="s">
        <v>887</v>
      </c>
      <c r="C2202" t="str">
        <f t="shared" si="253"/>
        <v/>
      </c>
      <c r="D2202" t="str">
        <f t="shared" si="258"/>
        <v/>
      </c>
      <c r="H2202">
        <f t="shared" si="254"/>
        <v>3</v>
      </c>
      <c r="I2202" s="5" t="s">
        <v>621</v>
      </c>
      <c r="J2202" s="5" t="s">
        <v>773</v>
      </c>
      <c r="K2202" s="5" t="s">
        <v>621</v>
      </c>
      <c r="L2202" s="7" t="s">
        <v>753</v>
      </c>
      <c r="Q2202" t="s">
        <v>619</v>
      </c>
      <c r="R2202">
        <v>77</v>
      </c>
      <c r="S2202">
        <v>1</v>
      </c>
      <c r="T2202" t="str">
        <f t="shared" si="252"/>
        <v>e</v>
      </c>
      <c r="U2202" t="s">
        <v>15</v>
      </c>
      <c r="AF2202" t="s">
        <v>401</v>
      </c>
      <c r="AM2202" t="str">
        <f t="shared" si="255"/>
        <v>Possession</v>
      </c>
      <c r="AN2202" t="str">
        <f t="shared" si="256"/>
        <v/>
      </c>
      <c r="AP2202" t="str">
        <f t="shared" si="257"/>
        <v>Offensive</v>
      </c>
      <c r="BB2202" s="23"/>
      <c r="BD2202" s="21"/>
      <c r="BE2202" s="21"/>
      <c r="BF2202" s="21"/>
      <c r="BG2202" s="21"/>
      <c r="BH2202" s="21"/>
      <c r="BI2202" s="21"/>
    </row>
    <row r="2203" spans="1:61" x14ac:dyDescent="0.2">
      <c r="A2203">
        <v>1131</v>
      </c>
      <c r="B2203" t="s">
        <v>887</v>
      </c>
      <c r="C2203" t="str">
        <f t="shared" si="253"/>
        <v/>
      </c>
      <c r="D2203" t="str">
        <f t="shared" si="258"/>
        <v/>
      </c>
      <c r="H2203">
        <f t="shared" si="254"/>
        <v>3</v>
      </c>
      <c r="I2203" s="5" t="s">
        <v>621</v>
      </c>
      <c r="J2203" s="5" t="s">
        <v>753</v>
      </c>
      <c r="Q2203" t="s">
        <v>619</v>
      </c>
      <c r="R2203">
        <v>68</v>
      </c>
      <c r="S2203">
        <v>1</v>
      </c>
      <c r="T2203" t="str">
        <f t="shared" si="252"/>
        <v>e</v>
      </c>
      <c r="U2203" t="s">
        <v>8</v>
      </c>
      <c r="V2203" t="s">
        <v>199</v>
      </c>
      <c r="W2203" t="s">
        <v>70</v>
      </c>
      <c r="X2203" t="s">
        <v>705</v>
      </c>
      <c r="AF2203" t="s">
        <v>401</v>
      </c>
      <c r="AJ2203">
        <v>1</v>
      </c>
      <c r="AM2203" t="str">
        <f t="shared" si="255"/>
        <v>Pass</v>
      </c>
      <c r="AN2203" t="str">
        <f t="shared" si="256"/>
        <v>Pass_Missed</v>
      </c>
      <c r="AP2203" t="str">
        <f t="shared" si="257"/>
        <v>Offensive</v>
      </c>
      <c r="BB2203" s="23"/>
      <c r="BD2203" s="21"/>
      <c r="BE2203" s="21"/>
      <c r="BF2203" s="21"/>
      <c r="BG2203" s="21"/>
      <c r="BH2203" s="21"/>
      <c r="BI2203" s="21"/>
    </row>
    <row r="2204" spans="1:61" x14ac:dyDescent="0.2">
      <c r="A2204">
        <v>1131</v>
      </c>
      <c r="B2204" t="s">
        <v>887</v>
      </c>
      <c r="C2204" t="str">
        <f t="shared" si="253"/>
        <v/>
      </c>
      <c r="D2204" t="str">
        <f t="shared" si="258"/>
        <v/>
      </c>
      <c r="H2204">
        <f t="shared" si="254"/>
        <v>3</v>
      </c>
      <c r="R2204">
        <v>44</v>
      </c>
      <c r="S2204">
        <v>1</v>
      </c>
      <c r="T2204" t="str">
        <f t="shared" si="252"/>
        <v>e</v>
      </c>
      <c r="AM2204" t="str">
        <f t="shared" si="255"/>
        <v>Pass</v>
      </c>
      <c r="AN2204" t="str">
        <f t="shared" si="256"/>
        <v>Pass_Missed</v>
      </c>
      <c r="AP2204" t="str">
        <f t="shared" si="257"/>
        <v>Offensive</v>
      </c>
      <c r="BB2204" s="23"/>
      <c r="BD2204" s="21"/>
      <c r="BE2204" s="21"/>
      <c r="BF2204" s="21"/>
      <c r="BG2204" s="21"/>
      <c r="BH2204" s="21"/>
      <c r="BI2204" s="21"/>
    </row>
    <row r="2205" spans="1:61" x14ac:dyDescent="0.2">
      <c r="A2205">
        <v>1131</v>
      </c>
      <c r="B2205" t="s">
        <v>887</v>
      </c>
      <c r="C2205" t="str">
        <f t="shared" si="253"/>
        <v/>
      </c>
      <c r="D2205" t="str">
        <f t="shared" si="258"/>
        <v/>
      </c>
      <c r="H2205">
        <f t="shared" si="254"/>
        <v>3</v>
      </c>
      <c r="R2205">
        <v>91</v>
      </c>
      <c r="T2205" t="str">
        <f t="shared" si="252"/>
        <v>o</v>
      </c>
      <c r="AJ2205">
        <v>1</v>
      </c>
      <c r="AM2205" t="str">
        <f t="shared" si="255"/>
        <v>Pass</v>
      </c>
      <c r="AN2205" t="str">
        <f t="shared" si="256"/>
        <v>Pass_Missed</v>
      </c>
      <c r="AP2205" t="str">
        <f t="shared" si="257"/>
        <v>Defensive</v>
      </c>
      <c r="BB2205" s="23"/>
      <c r="BD2205" s="21"/>
      <c r="BE2205" s="21"/>
      <c r="BF2205" s="21"/>
      <c r="BG2205" s="21"/>
      <c r="BH2205" s="21"/>
      <c r="BI2205" s="21"/>
    </row>
    <row r="2206" spans="1:61" x14ac:dyDescent="0.2">
      <c r="A2206">
        <v>1132</v>
      </c>
      <c r="B2206" t="s">
        <v>887</v>
      </c>
      <c r="C2206" t="str">
        <f t="shared" si="253"/>
        <v/>
      </c>
      <c r="D2206" t="str">
        <f t="shared" si="258"/>
        <v/>
      </c>
      <c r="H2206">
        <f t="shared" si="254"/>
        <v>3</v>
      </c>
      <c r="I2206" s="5" t="s">
        <v>621</v>
      </c>
      <c r="J2206" s="5" t="s">
        <v>672</v>
      </c>
      <c r="Q2206" t="s">
        <v>619</v>
      </c>
      <c r="R2206">
        <v>18</v>
      </c>
      <c r="S2206">
        <v>1</v>
      </c>
      <c r="T2206" t="str">
        <f t="shared" si="252"/>
        <v>e</v>
      </c>
      <c r="U2206" t="s">
        <v>15</v>
      </c>
      <c r="V2206" t="s">
        <v>698</v>
      </c>
      <c r="X2206" t="s">
        <v>705</v>
      </c>
      <c r="Y2206" t="s">
        <v>756</v>
      </c>
      <c r="AA2206" t="s">
        <v>705</v>
      </c>
      <c r="AF2206" t="s">
        <v>401</v>
      </c>
      <c r="AM2206" t="str">
        <f t="shared" si="255"/>
        <v>Possession</v>
      </c>
      <c r="AN2206" t="str">
        <f t="shared" si="256"/>
        <v>PuckRecovery</v>
      </c>
      <c r="AP2206" t="str">
        <f t="shared" si="257"/>
        <v>Offensive</v>
      </c>
      <c r="BB2206" s="23"/>
      <c r="BD2206" s="21"/>
      <c r="BE2206" s="21"/>
      <c r="BF2206" s="21"/>
      <c r="BG2206" s="21"/>
      <c r="BH2206" s="21"/>
      <c r="BI2206" s="21"/>
    </row>
    <row r="2207" spans="1:61" x14ac:dyDescent="0.2">
      <c r="A2207">
        <v>1133</v>
      </c>
      <c r="B2207" t="s">
        <v>887</v>
      </c>
      <c r="C2207" t="str">
        <f t="shared" si="253"/>
        <v/>
      </c>
      <c r="D2207" t="str">
        <f t="shared" si="258"/>
        <v/>
      </c>
      <c r="H2207">
        <f t="shared" si="254"/>
        <v>3</v>
      </c>
      <c r="I2207" s="5" t="s">
        <v>621</v>
      </c>
      <c r="J2207" s="5" t="s">
        <v>672</v>
      </c>
      <c r="Q2207" t="s">
        <v>619</v>
      </c>
      <c r="R2207">
        <v>18</v>
      </c>
      <c r="S2207">
        <v>1</v>
      </c>
      <c r="T2207" t="str">
        <f t="shared" si="252"/>
        <v>e</v>
      </c>
      <c r="U2207" t="s">
        <v>7</v>
      </c>
      <c r="V2207" t="s">
        <v>215</v>
      </c>
      <c r="W2207" t="s">
        <v>53</v>
      </c>
      <c r="X2207" t="s">
        <v>705</v>
      </c>
      <c r="AF2207" t="s">
        <v>401</v>
      </c>
      <c r="AJ2207">
        <v>1</v>
      </c>
      <c r="AM2207" t="str">
        <f t="shared" si="255"/>
        <v>Shot</v>
      </c>
      <c r="AN2207" t="str">
        <f t="shared" si="256"/>
        <v>Shot_BlockedSameTeam</v>
      </c>
      <c r="AP2207" t="str">
        <f t="shared" si="257"/>
        <v>Offensive</v>
      </c>
      <c r="BB2207" s="23"/>
      <c r="BD2207" s="21"/>
      <c r="BE2207" s="21"/>
      <c r="BF2207" s="21"/>
      <c r="BG2207" s="21"/>
      <c r="BH2207" s="21"/>
      <c r="BI2207" s="21"/>
    </row>
    <row r="2208" spans="1:61" x14ac:dyDescent="0.2">
      <c r="A2208">
        <v>1133</v>
      </c>
      <c r="B2208" t="s">
        <v>887</v>
      </c>
      <c r="C2208" t="str">
        <f t="shared" si="253"/>
        <v/>
      </c>
      <c r="D2208" t="str">
        <f t="shared" si="258"/>
        <v/>
      </c>
      <c r="H2208">
        <f t="shared" si="254"/>
        <v>3</v>
      </c>
      <c r="R2208">
        <v>13</v>
      </c>
      <c r="S2208">
        <v>1</v>
      </c>
      <c r="T2208" t="str">
        <f t="shared" si="252"/>
        <v>e</v>
      </c>
      <c r="AM2208" t="str">
        <f t="shared" si="255"/>
        <v>Shot</v>
      </c>
      <c r="AN2208" t="str">
        <f t="shared" si="256"/>
        <v>Shot_BlockedSameTeam</v>
      </c>
      <c r="AP2208" t="str">
        <f t="shared" si="257"/>
        <v>Offensive</v>
      </c>
      <c r="BB2208" s="23"/>
      <c r="BD2208" s="21"/>
      <c r="BE2208" s="21"/>
      <c r="BF2208" s="21"/>
      <c r="BG2208" s="21"/>
      <c r="BH2208" s="21"/>
      <c r="BI2208" s="21"/>
    </row>
    <row r="2209" spans="1:61" x14ac:dyDescent="0.2">
      <c r="A2209">
        <v>1133</v>
      </c>
      <c r="B2209" t="s">
        <v>887</v>
      </c>
      <c r="C2209" t="str">
        <f t="shared" si="253"/>
        <v/>
      </c>
      <c r="D2209" t="str">
        <f t="shared" si="258"/>
        <v/>
      </c>
      <c r="H2209">
        <f t="shared" si="254"/>
        <v>3</v>
      </c>
      <c r="R2209">
        <v>91</v>
      </c>
      <c r="T2209" t="str">
        <f t="shared" si="252"/>
        <v>o</v>
      </c>
      <c r="Y2209" t="s">
        <v>722</v>
      </c>
      <c r="AJ2209">
        <v>1</v>
      </c>
      <c r="AM2209" t="str">
        <f t="shared" si="255"/>
        <v>Shot</v>
      </c>
      <c r="AN2209" t="str">
        <f t="shared" si="256"/>
        <v>Shot_BlockedSameTeam</v>
      </c>
      <c r="AP2209" t="str">
        <f t="shared" si="257"/>
        <v>Defensive</v>
      </c>
      <c r="BB2209" s="23"/>
      <c r="BD2209" s="21"/>
      <c r="BE2209" s="21"/>
      <c r="BF2209" s="21"/>
      <c r="BG2209" s="21"/>
      <c r="BH2209" s="21"/>
      <c r="BI2209" s="21"/>
    </row>
    <row r="2210" spans="1:61" x14ac:dyDescent="0.2">
      <c r="A2210">
        <v>1133</v>
      </c>
      <c r="B2210" t="s">
        <v>887</v>
      </c>
      <c r="C2210" t="str">
        <f t="shared" si="253"/>
        <v/>
      </c>
      <c r="D2210" t="str">
        <f t="shared" si="258"/>
        <v/>
      </c>
      <c r="H2210">
        <f t="shared" si="254"/>
        <v>3</v>
      </c>
      <c r="R2210">
        <v>22</v>
      </c>
      <c r="T2210" t="str">
        <f t="shared" si="252"/>
        <v>o</v>
      </c>
      <c r="Y2210" t="s">
        <v>715</v>
      </c>
      <c r="AJ2210">
        <v>1</v>
      </c>
      <c r="AM2210" t="str">
        <f t="shared" si="255"/>
        <v>Shot</v>
      </c>
      <c r="AN2210" t="str">
        <f t="shared" si="256"/>
        <v>Shot_BlockedSameTeam</v>
      </c>
      <c r="AP2210" t="str">
        <f t="shared" si="257"/>
        <v>Defensive</v>
      </c>
      <c r="BB2210" s="23"/>
      <c r="BD2210" s="21"/>
      <c r="BE2210" s="21"/>
      <c r="BF2210" s="21"/>
      <c r="BG2210" s="21"/>
      <c r="BH2210" s="21"/>
      <c r="BI2210" s="21"/>
    </row>
    <row r="2211" spans="1:61" x14ac:dyDescent="0.2">
      <c r="A2211">
        <v>1134</v>
      </c>
      <c r="B2211" t="s">
        <v>887</v>
      </c>
      <c r="C2211" t="str">
        <f t="shared" si="253"/>
        <v/>
      </c>
      <c r="D2211" t="str">
        <f t="shared" si="258"/>
        <v/>
      </c>
      <c r="H2211">
        <f t="shared" si="254"/>
        <v>3</v>
      </c>
      <c r="I2211" s="5" t="s">
        <v>621</v>
      </c>
      <c r="J2211" s="5" t="s">
        <v>711</v>
      </c>
      <c r="Q2211" t="s">
        <v>620</v>
      </c>
      <c r="S2211">
        <v>1</v>
      </c>
      <c r="T2211" t="str">
        <f t="shared" si="252"/>
        <v>e</v>
      </c>
      <c r="U2211" t="s">
        <v>257</v>
      </c>
      <c r="V2211" t="s">
        <v>201</v>
      </c>
      <c r="W2211" t="s">
        <v>411</v>
      </c>
      <c r="AF2211" t="s">
        <v>623</v>
      </c>
      <c r="AM2211" t="str">
        <f t="shared" si="255"/>
        <v>Zone_Entry_Exit</v>
      </c>
      <c r="AN2211" t="str">
        <f t="shared" si="256"/>
        <v>Zone_Exit</v>
      </c>
      <c r="AP2211" t="str">
        <f t="shared" si="257"/>
        <v>Offensive</v>
      </c>
      <c r="BB2211" s="23"/>
      <c r="BD2211" s="21"/>
      <c r="BE2211" s="21"/>
      <c r="BF2211" s="21"/>
      <c r="BG2211" s="21"/>
      <c r="BH2211" s="21"/>
      <c r="BI2211" s="21"/>
    </row>
    <row r="2212" spans="1:61" x14ac:dyDescent="0.2">
      <c r="A2212">
        <v>1135</v>
      </c>
      <c r="B2212" t="s">
        <v>887</v>
      </c>
      <c r="C2212" t="str">
        <f t="shared" si="253"/>
        <v/>
      </c>
      <c r="D2212" t="str">
        <f t="shared" si="258"/>
        <v/>
      </c>
      <c r="H2212">
        <f t="shared" si="254"/>
        <v>3</v>
      </c>
      <c r="I2212" s="5" t="s">
        <v>621</v>
      </c>
      <c r="J2212" s="5" t="s">
        <v>711</v>
      </c>
      <c r="K2212" s="5" t="s">
        <v>621</v>
      </c>
      <c r="L2212" s="7" t="s">
        <v>716</v>
      </c>
      <c r="Q2212" t="s">
        <v>619</v>
      </c>
      <c r="R2212">
        <v>44</v>
      </c>
      <c r="S2212">
        <v>1</v>
      </c>
      <c r="T2212" t="str">
        <f t="shared" si="252"/>
        <v>e</v>
      </c>
      <c r="U2212" t="s">
        <v>15</v>
      </c>
      <c r="V2212" t="s">
        <v>698</v>
      </c>
      <c r="X2212" t="s">
        <v>705</v>
      </c>
      <c r="Y2212" t="s">
        <v>739</v>
      </c>
      <c r="AA2212" t="s">
        <v>705</v>
      </c>
      <c r="AF2212" t="s">
        <v>635</v>
      </c>
      <c r="AM2212" t="str">
        <f t="shared" si="255"/>
        <v>Possession</v>
      </c>
      <c r="AN2212" t="str">
        <f t="shared" si="256"/>
        <v>PuckRecovery</v>
      </c>
      <c r="AP2212" t="str">
        <f t="shared" si="257"/>
        <v>Offensive</v>
      </c>
      <c r="BB2212" s="23"/>
      <c r="BD2212" s="21"/>
      <c r="BE2212" s="21"/>
      <c r="BF2212" s="21"/>
      <c r="BG2212" s="21"/>
      <c r="BH2212" s="21"/>
      <c r="BI2212" s="21"/>
    </row>
    <row r="2213" spans="1:61" x14ac:dyDescent="0.2">
      <c r="A2213">
        <v>1136</v>
      </c>
      <c r="B2213">
        <v>181</v>
      </c>
      <c r="C2213">
        <f t="shared" si="253"/>
        <v>9181</v>
      </c>
      <c r="D2213">
        <f t="shared" si="258"/>
        <v>9181</v>
      </c>
      <c r="H2213">
        <f t="shared" si="254"/>
        <v>3</v>
      </c>
      <c r="I2213" s="5" t="s">
        <v>621</v>
      </c>
      <c r="J2213" s="5" t="s">
        <v>716</v>
      </c>
      <c r="Q2213" t="s">
        <v>619</v>
      </c>
      <c r="R2213">
        <v>44</v>
      </c>
      <c r="S2213">
        <v>1</v>
      </c>
      <c r="T2213" t="str">
        <f t="shared" si="252"/>
        <v>e</v>
      </c>
      <c r="U2213" t="s">
        <v>257</v>
      </c>
      <c r="V2213" t="s">
        <v>191</v>
      </c>
      <c r="W2213" t="s">
        <v>89</v>
      </c>
      <c r="X2213" t="s">
        <v>705</v>
      </c>
      <c r="Y2213" t="s">
        <v>817</v>
      </c>
      <c r="AA2213" t="s">
        <v>705</v>
      </c>
      <c r="AF2213" t="s">
        <v>635</v>
      </c>
      <c r="AM2213" t="str">
        <f t="shared" si="255"/>
        <v>Zone_Entry_Exit</v>
      </c>
      <c r="AN2213" t="str">
        <f t="shared" si="256"/>
        <v>Zone_Entry</v>
      </c>
      <c r="AP2213" t="str">
        <f t="shared" si="257"/>
        <v>Offensive</v>
      </c>
      <c r="BB2213" s="23"/>
      <c r="BD2213" s="21"/>
      <c r="BE2213" s="21"/>
      <c r="BF2213" s="21"/>
      <c r="BG2213" s="21"/>
      <c r="BH2213" s="21"/>
      <c r="BI2213" s="21"/>
    </row>
    <row r="2214" spans="1:61" x14ac:dyDescent="0.2">
      <c r="A2214">
        <v>1137</v>
      </c>
      <c r="B2214">
        <v>181</v>
      </c>
      <c r="C2214">
        <f t="shared" si="253"/>
        <v>9181</v>
      </c>
      <c r="D2214">
        <f t="shared" si="258"/>
        <v>9181</v>
      </c>
      <c r="H2214">
        <f t="shared" si="254"/>
        <v>3</v>
      </c>
      <c r="I2214" s="5" t="s">
        <v>621</v>
      </c>
      <c r="J2214" s="5" t="s">
        <v>716</v>
      </c>
      <c r="Q2214" t="s">
        <v>619</v>
      </c>
      <c r="R2214">
        <v>44</v>
      </c>
      <c r="S2214">
        <v>1</v>
      </c>
      <c r="T2214" t="str">
        <f t="shared" si="252"/>
        <v>e</v>
      </c>
      <c r="U2214" t="s">
        <v>10</v>
      </c>
      <c r="V2214" t="s">
        <v>190</v>
      </c>
      <c r="W2214" t="s">
        <v>387</v>
      </c>
      <c r="X2214" t="s">
        <v>705</v>
      </c>
      <c r="Y2214" t="s">
        <v>817</v>
      </c>
      <c r="AF2214" t="s">
        <v>635</v>
      </c>
      <c r="AM2214" t="str">
        <f t="shared" si="255"/>
        <v>Turnover</v>
      </c>
      <c r="AN2214" t="str">
        <f t="shared" si="256"/>
        <v>Turnover_Giveaway</v>
      </c>
      <c r="AP2214" t="str">
        <f t="shared" si="257"/>
        <v>Offensive</v>
      </c>
      <c r="BB2214" s="23"/>
      <c r="BD2214" s="21"/>
      <c r="BE2214" s="21"/>
      <c r="BF2214" s="21"/>
      <c r="BG2214" s="21"/>
      <c r="BH2214" s="21"/>
      <c r="BI2214" s="21"/>
    </row>
    <row r="2215" spans="1:61" x14ac:dyDescent="0.2">
      <c r="A2215">
        <v>1138</v>
      </c>
      <c r="B2215" t="s">
        <v>887</v>
      </c>
      <c r="C2215" t="str">
        <f t="shared" si="253"/>
        <v/>
      </c>
      <c r="D2215" t="str">
        <f t="shared" si="258"/>
        <v/>
      </c>
      <c r="H2215">
        <f t="shared" si="254"/>
        <v>3</v>
      </c>
      <c r="I2215" s="5" t="s">
        <v>621</v>
      </c>
      <c r="J2215" s="5" t="s">
        <v>716</v>
      </c>
      <c r="K2215" s="5" t="s">
        <v>621</v>
      </c>
      <c r="L2215" s="7" t="s">
        <v>717</v>
      </c>
      <c r="Q2215" t="s">
        <v>620</v>
      </c>
      <c r="R2215">
        <v>42</v>
      </c>
      <c r="S2215">
        <v>1</v>
      </c>
      <c r="T2215" t="str">
        <f t="shared" si="252"/>
        <v>e</v>
      </c>
      <c r="U2215" t="s">
        <v>15</v>
      </c>
      <c r="V2215" t="s">
        <v>697</v>
      </c>
      <c r="X2215" t="s">
        <v>706</v>
      </c>
      <c r="Y2215" t="s">
        <v>720</v>
      </c>
      <c r="AA2215" t="s">
        <v>706</v>
      </c>
      <c r="AF2215" t="s">
        <v>623</v>
      </c>
      <c r="AM2215" t="str">
        <f t="shared" si="255"/>
        <v>Possession</v>
      </c>
      <c r="AN2215" t="str">
        <f t="shared" si="256"/>
        <v>PuckRetrieval</v>
      </c>
      <c r="AP2215" t="str">
        <f t="shared" si="257"/>
        <v>Offensive</v>
      </c>
      <c r="BB2215" s="23"/>
      <c r="BD2215" s="21"/>
      <c r="BE2215" s="21"/>
      <c r="BF2215" s="21"/>
      <c r="BG2215" s="21"/>
      <c r="BH2215" s="21"/>
      <c r="BI2215" s="21"/>
    </row>
    <row r="2216" spans="1:61" x14ac:dyDescent="0.2">
      <c r="A2216">
        <v>1139</v>
      </c>
      <c r="B2216" t="s">
        <v>887</v>
      </c>
      <c r="C2216" t="str">
        <f t="shared" si="253"/>
        <v/>
      </c>
      <c r="D2216" t="str">
        <f t="shared" si="258"/>
        <v/>
      </c>
      <c r="H2216">
        <f t="shared" si="254"/>
        <v>3</v>
      </c>
      <c r="I2216" s="5" t="s">
        <v>621</v>
      </c>
      <c r="J2216" s="5" t="s">
        <v>717</v>
      </c>
      <c r="K2216" s="5" t="s">
        <v>621</v>
      </c>
      <c r="L2216" s="7" t="s">
        <v>779</v>
      </c>
      <c r="Q2216" t="s">
        <v>620</v>
      </c>
      <c r="R2216">
        <v>42</v>
      </c>
      <c r="S2216">
        <v>1</v>
      </c>
      <c r="T2216" t="str">
        <f t="shared" si="252"/>
        <v>e</v>
      </c>
      <c r="U2216" t="s">
        <v>257</v>
      </c>
      <c r="V2216" t="s">
        <v>201</v>
      </c>
      <c r="W2216" t="s">
        <v>90</v>
      </c>
      <c r="X2216" t="s">
        <v>706</v>
      </c>
      <c r="AF2216" t="s">
        <v>623</v>
      </c>
      <c r="AM2216" t="str">
        <f t="shared" si="255"/>
        <v>Zone_Entry_Exit</v>
      </c>
      <c r="AN2216" t="str">
        <f t="shared" si="256"/>
        <v>Zone_Exit</v>
      </c>
      <c r="AP2216" t="str">
        <f t="shared" si="257"/>
        <v>Offensive</v>
      </c>
      <c r="BB2216" s="23"/>
      <c r="BD2216" s="21"/>
      <c r="BE2216" s="21"/>
      <c r="BF2216" s="21"/>
      <c r="BG2216" s="21"/>
      <c r="BH2216" s="21"/>
      <c r="BI2216" s="21"/>
    </row>
    <row r="2217" spans="1:61" x14ac:dyDescent="0.2">
      <c r="A2217">
        <v>1140</v>
      </c>
      <c r="B2217" t="s">
        <v>887</v>
      </c>
      <c r="C2217" t="str">
        <f t="shared" si="253"/>
        <v/>
      </c>
      <c r="D2217" t="str">
        <f t="shared" si="258"/>
        <v/>
      </c>
      <c r="H2217">
        <f t="shared" si="254"/>
        <v>3</v>
      </c>
      <c r="I2217" s="5" t="s">
        <v>621</v>
      </c>
      <c r="J2217" s="5" t="s">
        <v>779</v>
      </c>
      <c r="K2217" s="5" t="s">
        <v>621</v>
      </c>
      <c r="L2217" s="7" t="s">
        <v>791</v>
      </c>
      <c r="Q2217" t="s">
        <v>620</v>
      </c>
      <c r="R2217">
        <v>42</v>
      </c>
      <c r="S2217">
        <v>1</v>
      </c>
      <c r="T2217" t="str">
        <f t="shared" si="252"/>
        <v>e</v>
      </c>
      <c r="U2217" t="s">
        <v>15</v>
      </c>
      <c r="Y2217" t="s">
        <v>767</v>
      </c>
      <c r="AA2217" t="s">
        <v>706</v>
      </c>
      <c r="AF2217" t="s">
        <v>635</v>
      </c>
      <c r="AJ2217">
        <v>1</v>
      </c>
      <c r="AM2217" t="str">
        <f t="shared" si="255"/>
        <v>Possession</v>
      </c>
      <c r="AN2217" t="str">
        <f t="shared" si="256"/>
        <v/>
      </c>
      <c r="AP2217" t="str">
        <f t="shared" si="257"/>
        <v>Offensive</v>
      </c>
      <c r="BB2217" s="23"/>
      <c r="BD2217" s="21"/>
      <c r="BE2217" s="21"/>
      <c r="BF2217" s="21"/>
      <c r="BG2217" s="21"/>
      <c r="BH2217" s="21"/>
      <c r="BI2217" s="21"/>
    </row>
    <row r="2218" spans="1:61" x14ac:dyDescent="0.2">
      <c r="A2218">
        <v>1140</v>
      </c>
      <c r="B2218" t="s">
        <v>887</v>
      </c>
      <c r="C2218" t="str">
        <f t="shared" si="253"/>
        <v/>
      </c>
      <c r="D2218" t="str">
        <f t="shared" si="258"/>
        <v/>
      </c>
      <c r="H2218">
        <f t="shared" si="254"/>
        <v>3</v>
      </c>
      <c r="R2218">
        <v>77</v>
      </c>
      <c r="T2218" t="str">
        <f t="shared" si="252"/>
        <v>o</v>
      </c>
      <c r="Y2218" t="s">
        <v>764</v>
      </c>
      <c r="AJ2218">
        <v>1</v>
      </c>
      <c r="AM2218" t="str">
        <f t="shared" si="255"/>
        <v>Possession</v>
      </c>
      <c r="AN2218" t="str">
        <f t="shared" si="256"/>
        <v/>
      </c>
      <c r="AP2218" t="str">
        <f t="shared" si="257"/>
        <v>Defensive</v>
      </c>
      <c r="BB2218" s="23"/>
      <c r="BD2218" s="21"/>
      <c r="BE2218" s="21"/>
      <c r="BF2218" s="21"/>
      <c r="BG2218" s="21"/>
      <c r="BH2218" s="21"/>
      <c r="BI2218" s="21"/>
    </row>
    <row r="2219" spans="1:61" x14ac:dyDescent="0.2">
      <c r="A2219">
        <v>1141</v>
      </c>
      <c r="B2219" t="s">
        <v>887</v>
      </c>
      <c r="C2219" t="str">
        <f t="shared" si="253"/>
        <v/>
      </c>
      <c r="D2219" t="str">
        <f t="shared" si="258"/>
        <v/>
      </c>
      <c r="H2219">
        <f t="shared" si="254"/>
        <v>3</v>
      </c>
      <c r="I2219" s="5" t="s">
        <v>621</v>
      </c>
      <c r="J2219" s="5" t="s">
        <v>791</v>
      </c>
      <c r="Q2219" t="s">
        <v>620</v>
      </c>
      <c r="R2219">
        <v>42</v>
      </c>
      <c r="S2219">
        <v>1</v>
      </c>
      <c r="T2219" t="str">
        <f t="shared" si="252"/>
        <v>e</v>
      </c>
      <c r="U2219" t="s">
        <v>15</v>
      </c>
      <c r="AF2219" t="s">
        <v>635</v>
      </c>
      <c r="AM2219" t="str">
        <f t="shared" si="255"/>
        <v>Possession</v>
      </c>
      <c r="AN2219" t="str">
        <f t="shared" si="256"/>
        <v/>
      </c>
      <c r="AP2219" t="str">
        <f t="shared" si="257"/>
        <v>Offensive</v>
      </c>
      <c r="BB2219" s="23"/>
      <c r="BD2219" s="21"/>
      <c r="BE2219" s="21"/>
      <c r="BF2219" s="21"/>
      <c r="BG2219" s="21"/>
      <c r="BH2219" s="21"/>
      <c r="BI2219" s="21"/>
    </row>
    <row r="2220" spans="1:61" x14ac:dyDescent="0.2">
      <c r="A2220">
        <v>1142</v>
      </c>
      <c r="B2220" t="s">
        <v>887</v>
      </c>
      <c r="C2220" t="str">
        <f t="shared" si="253"/>
        <v/>
      </c>
      <c r="D2220" t="str">
        <f t="shared" si="258"/>
        <v/>
      </c>
      <c r="H2220">
        <f t="shared" si="254"/>
        <v>3</v>
      </c>
      <c r="I2220" s="5" t="s">
        <v>621</v>
      </c>
      <c r="J2220" s="5" t="s">
        <v>791</v>
      </c>
      <c r="K2220" s="5" t="s">
        <v>621</v>
      </c>
      <c r="L2220" s="7" t="s">
        <v>812</v>
      </c>
      <c r="Q2220" t="s">
        <v>620</v>
      </c>
      <c r="R2220">
        <v>42</v>
      </c>
      <c r="S2220">
        <v>1</v>
      </c>
      <c r="T2220" t="str">
        <f t="shared" si="252"/>
        <v>e</v>
      </c>
      <c r="U2220" t="s">
        <v>257</v>
      </c>
      <c r="V2220" t="s">
        <v>191</v>
      </c>
      <c r="W2220" t="s">
        <v>87</v>
      </c>
      <c r="X2220" t="s">
        <v>706</v>
      </c>
      <c r="Y2220" t="s">
        <v>767</v>
      </c>
      <c r="AA2220" t="s">
        <v>706</v>
      </c>
      <c r="AF2220" t="s">
        <v>401</v>
      </c>
      <c r="AJ2220">
        <v>1</v>
      </c>
      <c r="AM2220" t="str">
        <f t="shared" si="255"/>
        <v>Zone_Entry_Exit</v>
      </c>
      <c r="AN2220" t="str">
        <f t="shared" si="256"/>
        <v>Zone_Entry</v>
      </c>
      <c r="AP2220" t="str">
        <f t="shared" si="257"/>
        <v>Offensive</v>
      </c>
      <c r="BB2220" s="23"/>
      <c r="BD2220" s="21"/>
      <c r="BE2220" s="21"/>
      <c r="BF2220" s="21"/>
      <c r="BG2220" s="21"/>
      <c r="BH2220" s="21"/>
      <c r="BI2220" s="21"/>
    </row>
    <row r="2221" spans="1:61" x14ac:dyDescent="0.2">
      <c r="A2221">
        <v>1142</v>
      </c>
      <c r="B2221" t="s">
        <v>887</v>
      </c>
      <c r="C2221" t="str">
        <f t="shared" si="253"/>
        <v/>
      </c>
      <c r="D2221" t="str">
        <f t="shared" si="258"/>
        <v/>
      </c>
      <c r="H2221">
        <f t="shared" si="254"/>
        <v>3</v>
      </c>
      <c r="R2221">
        <v>14</v>
      </c>
      <c r="S2221">
        <v>1</v>
      </c>
      <c r="T2221" t="str">
        <f t="shared" si="252"/>
        <v>e</v>
      </c>
      <c r="AM2221" t="str">
        <f t="shared" si="255"/>
        <v>Zone_Entry_Exit</v>
      </c>
      <c r="AN2221" t="str">
        <f t="shared" si="256"/>
        <v>Zone_Entry</v>
      </c>
      <c r="AP2221" t="str">
        <f t="shared" si="257"/>
        <v>Offensive</v>
      </c>
      <c r="BB2221" s="23"/>
      <c r="BD2221" s="21"/>
      <c r="BE2221" s="21"/>
      <c r="BF2221" s="21"/>
      <c r="BG2221" s="21"/>
      <c r="BH2221" s="21"/>
      <c r="BI2221" s="21"/>
    </row>
    <row r="2222" spans="1:61" x14ac:dyDescent="0.2">
      <c r="A2222">
        <v>1142</v>
      </c>
      <c r="B2222" t="s">
        <v>887</v>
      </c>
      <c r="C2222" t="str">
        <f t="shared" si="253"/>
        <v/>
      </c>
      <c r="D2222" t="str">
        <f t="shared" si="258"/>
        <v/>
      </c>
      <c r="H2222">
        <f t="shared" si="254"/>
        <v>3</v>
      </c>
      <c r="R2222">
        <v>13</v>
      </c>
      <c r="T2222" t="str">
        <f t="shared" si="252"/>
        <v>o</v>
      </c>
      <c r="Y2222" t="s">
        <v>714</v>
      </c>
      <c r="AA2222" t="s">
        <v>705</v>
      </c>
      <c r="AJ2222">
        <v>1</v>
      </c>
      <c r="AM2222" t="str">
        <f t="shared" si="255"/>
        <v>Zone_Entry_Exit</v>
      </c>
      <c r="AN2222" t="str">
        <f t="shared" si="256"/>
        <v>Zone_Entry</v>
      </c>
      <c r="AP2222" t="str">
        <f t="shared" si="257"/>
        <v>Defensive</v>
      </c>
      <c r="BB2222" s="23"/>
      <c r="BD2222" s="21"/>
      <c r="BE2222" s="21"/>
      <c r="BF2222" s="21"/>
      <c r="BG2222" s="21"/>
      <c r="BH2222" s="21"/>
      <c r="BI2222" s="21"/>
    </row>
    <row r="2223" spans="1:61" x14ac:dyDescent="0.2">
      <c r="A2223">
        <v>1142</v>
      </c>
      <c r="B2223" t="s">
        <v>887</v>
      </c>
      <c r="C2223" t="str">
        <f t="shared" si="253"/>
        <v/>
      </c>
      <c r="D2223" t="str">
        <f t="shared" si="258"/>
        <v/>
      </c>
      <c r="H2223">
        <f t="shared" si="254"/>
        <v>3</v>
      </c>
      <c r="R2223">
        <v>44</v>
      </c>
      <c r="T2223" t="str">
        <f t="shared" si="252"/>
        <v>o</v>
      </c>
      <c r="AM2223" t="str">
        <f t="shared" si="255"/>
        <v>Zone_Entry_Exit</v>
      </c>
      <c r="AN2223" t="str">
        <f t="shared" si="256"/>
        <v>Zone_Entry</v>
      </c>
      <c r="AP2223" t="str">
        <f t="shared" si="257"/>
        <v>Defensive</v>
      </c>
      <c r="BB2223" s="23"/>
      <c r="BD2223" s="21"/>
      <c r="BE2223" s="21"/>
      <c r="BF2223" s="21"/>
      <c r="BG2223" s="21"/>
      <c r="BH2223" s="21"/>
      <c r="BI2223" s="21"/>
    </row>
    <row r="2224" spans="1:61" x14ac:dyDescent="0.2">
      <c r="A2224">
        <v>1143</v>
      </c>
      <c r="B2224" t="s">
        <v>887</v>
      </c>
      <c r="C2224" t="str">
        <f t="shared" si="253"/>
        <v/>
      </c>
      <c r="D2224" t="str">
        <f t="shared" si="258"/>
        <v/>
      </c>
      <c r="H2224">
        <f t="shared" si="254"/>
        <v>3</v>
      </c>
      <c r="I2224" s="5" t="s">
        <v>621</v>
      </c>
      <c r="J2224" s="5" t="s">
        <v>812</v>
      </c>
      <c r="K2224" s="5" t="s">
        <v>621</v>
      </c>
      <c r="L2224" s="7" t="s">
        <v>759</v>
      </c>
      <c r="Q2224" t="s">
        <v>620</v>
      </c>
      <c r="R2224">
        <v>42</v>
      </c>
      <c r="S2224">
        <v>1</v>
      </c>
      <c r="T2224" t="str">
        <f t="shared" si="252"/>
        <v>e</v>
      </c>
      <c r="U2224" t="s">
        <v>15</v>
      </c>
      <c r="Y2224" t="s">
        <v>809</v>
      </c>
      <c r="AF2224" t="s">
        <v>401</v>
      </c>
      <c r="AJ2224">
        <v>1</v>
      </c>
      <c r="AM2224" t="str">
        <f t="shared" si="255"/>
        <v>Possession</v>
      </c>
      <c r="AN2224" t="str">
        <f t="shared" si="256"/>
        <v/>
      </c>
      <c r="AP2224" t="str">
        <f t="shared" si="257"/>
        <v>Offensive</v>
      </c>
      <c r="BB2224" s="23"/>
      <c r="BD2224" s="21"/>
      <c r="BE2224" s="21"/>
      <c r="BF2224" s="21"/>
      <c r="BG2224" s="21"/>
      <c r="BH2224" s="21"/>
      <c r="BI2224" s="21"/>
    </row>
    <row r="2225" spans="1:61" x14ac:dyDescent="0.2">
      <c r="A2225">
        <v>1143</v>
      </c>
      <c r="B2225" t="s">
        <v>887</v>
      </c>
      <c r="C2225" t="str">
        <f t="shared" si="253"/>
        <v/>
      </c>
      <c r="D2225" t="str">
        <f t="shared" si="258"/>
        <v/>
      </c>
      <c r="H2225">
        <f t="shared" si="254"/>
        <v>3</v>
      </c>
      <c r="R2225">
        <v>44</v>
      </c>
      <c r="T2225" t="str">
        <f t="shared" si="252"/>
        <v>o</v>
      </c>
      <c r="AJ2225">
        <v>1</v>
      </c>
      <c r="AM2225" t="str">
        <f t="shared" si="255"/>
        <v>Possession</v>
      </c>
      <c r="AN2225" t="str">
        <f t="shared" si="256"/>
        <v/>
      </c>
      <c r="AP2225" t="str">
        <f t="shared" si="257"/>
        <v>Defensive</v>
      </c>
      <c r="BB2225" s="23"/>
      <c r="BD2225" s="21"/>
      <c r="BE2225" s="21"/>
      <c r="BF2225" s="21"/>
      <c r="BG2225" s="21"/>
      <c r="BH2225" s="21"/>
      <c r="BI2225" s="21"/>
    </row>
    <row r="2226" spans="1:61" x14ac:dyDescent="0.2">
      <c r="A2226">
        <v>1144</v>
      </c>
      <c r="B2226" t="s">
        <v>887</v>
      </c>
      <c r="C2226" t="str">
        <f t="shared" si="253"/>
        <v/>
      </c>
      <c r="D2226" t="str">
        <f t="shared" si="258"/>
        <v/>
      </c>
      <c r="H2226">
        <f t="shared" si="254"/>
        <v>3</v>
      </c>
      <c r="I2226" s="5" t="s">
        <v>621</v>
      </c>
      <c r="J2226" s="5" t="s">
        <v>759</v>
      </c>
      <c r="Q2226" t="s">
        <v>620</v>
      </c>
      <c r="R2226">
        <v>42</v>
      </c>
      <c r="S2226">
        <v>1</v>
      </c>
      <c r="T2226" t="str">
        <f t="shared" si="252"/>
        <v>e</v>
      </c>
      <c r="U2226" t="s">
        <v>8</v>
      </c>
      <c r="V2226" t="s">
        <v>209</v>
      </c>
      <c r="W2226" t="s">
        <v>69</v>
      </c>
      <c r="X2226" t="s">
        <v>705</v>
      </c>
      <c r="AF2226" t="s">
        <v>401</v>
      </c>
      <c r="AJ2226">
        <v>1</v>
      </c>
      <c r="AM2226" t="str">
        <f t="shared" si="255"/>
        <v>Pass</v>
      </c>
      <c r="AN2226" t="str">
        <f t="shared" si="256"/>
        <v>Pass_Deflected</v>
      </c>
      <c r="AP2226" t="str">
        <f t="shared" si="257"/>
        <v>Offensive</v>
      </c>
      <c r="BB2226" s="23"/>
      <c r="BD2226" s="21"/>
      <c r="BE2226" s="21"/>
      <c r="BF2226" s="21"/>
      <c r="BG2226" s="21"/>
      <c r="BH2226" s="21"/>
      <c r="BI2226" s="21"/>
    </row>
    <row r="2227" spans="1:61" x14ac:dyDescent="0.2">
      <c r="A2227">
        <v>1144</v>
      </c>
      <c r="B2227" t="s">
        <v>887</v>
      </c>
      <c r="C2227" t="str">
        <f t="shared" si="253"/>
        <v/>
      </c>
      <c r="D2227" t="str">
        <f t="shared" si="258"/>
        <v/>
      </c>
      <c r="H2227">
        <f t="shared" si="254"/>
        <v>3</v>
      </c>
      <c r="R2227">
        <v>75</v>
      </c>
      <c r="S2227">
        <v>1</v>
      </c>
      <c r="T2227" t="str">
        <f t="shared" si="252"/>
        <v>e</v>
      </c>
      <c r="AM2227" t="str">
        <f t="shared" si="255"/>
        <v>Pass</v>
      </c>
      <c r="AN2227" t="str">
        <f t="shared" si="256"/>
        <v>Pass_Deflected</v>
      </c>
      <c r="AP2227" t="str">
        <f t="shared" si="257"/>
        <v>Offensive</v>
      </c>
      <c r="BB2227" s="23"/>
      <c r="BD2227" s="21"/>
      <c r="BE2227" s="21"/>
      <c r="BF2227" s="21"/>
      <c r="BG2227" s="21"/>
      <c r="BH2227" s="21"/>
      <c r="BI2227" s="21"/>
    </row>
    <row r="2228" spans="1:61" x14ac:dyDescent="0.2">
      <c r="A2228">
        <v>1144</v>
      </c>
      <c r="B2228" t="s">
        <v>887</v>
      </c>
      <c r="C2228" t="str">
        <f t="shared" si="253"/>
        <v/>
      </c>
      <c r="D2228" t="str">
        <f t="shared" si="258"/>
        <v/>
      </c>
      <c r="H2228">
        <f t="shared" si="254"/>
        <v>3</v>
      </c>
      <c r="R2228">
        <v>44</v>
      </c>
      <c r="T2228" t="str">
        <f t="shared" si="252"/>
        <v>o</v>
      </c>
      <c r="Y2228" t="s">
        <v>722</v>
      </c>
      <c r="Z2228" t="s">
        <v>715</v>
      </c>
      <c r="AA2228" t="s">
        <v>706</v>
      </c>
      <c r="AJ2228">
        <v>1</v>
      </c>
      <c r="AM2228" t="str">
        <f t="shared" si="255"/>
        <v>Pass</v>
      </c>
      <c r="AN2228" t="str">
        <f t="shared" si="256"/>
        <v>Pass_Deflected</v>
      </c>
      <c r="AP2228" t="str">
        <f t="shared" si="257"/>
        <v>Defensive</v>
      </c>
      <c r="BB2228" s="23"/>
      <c r="BD2228" s="21"/>
      <c r="BE2228" s="21"/>
      <c r="BF2228" s="21"/>
      <c r="BG2228" s="21"/>
      <c r="BH2228" s="21"/>
      <c r="BI2228" s="21"/>
    </row>
    <row r="2229" spans="1:61" x14ac:dyDescent="0.2">
      <c r="A2229">
        <v>1145</v>
      </c>
      <c r="B2229" t="s">
        <v>887</v>
      </c>
      <c r="C2229" t="str">
        <f t="shared" si="253"/>
        <v/>
      </c>
      <c r="D2229" t="str">
        <f t="shared" si="258"/>
        <v/>
      </c>
      <c r="H2229">
        <f t="shared" si="254"/>
        <v>3</v>
      </c>
      <c r="I2229" s="5" t="s">
        <v>621</v>
      </c>
      <c r="J2229" s="5" t="s">
        <v>813</v>
      </c>
      <c r="Q2229" t="s">
        <v>620</v>
      </c>
      <c r="R2229">
        <v>84</v>
      </c>
      <c r="S2229">
        <v>1</v>
      </c>
      <c r="T2229" t="str">
        <f t="shared" si="252"/>
        <v>e</v>
      </c>
      <c r="U2229" t="s">
        <v>15</v>
      </c>
      <c r="V2229" t="s">
        <v>698</v>
      </c>
      <c r="X2229" t="s">
        <v>705</v>
      </c>
      <c r="Y2229" t="s">
        <v>756</v>
      </c>
      <c r="AA2229" t="s">
        <v>705</v>
      </c>
      <c r="AF2229" t="s">
        <v>401</v>
      </c>
      <c r="AJ2229">
        <v>1</v>
      </c>
      <c r="AM2229" t="str">
        <f t="shared" si="255"/>
        <v>Possession</v>
      </c>
      <c r="AN2229" t="str">
        <f t="shared" si="256"/>
        <v>PuckRecovery</v>
      </c>
      <c r="AP2229" t="str">
        <f t="shared" si="257"/>
        <v>Offensive</v>
      </c>
      <c r="BB2229" s="23"/>
      <c r="BD2229" s="21"/>
      <c r="BE2229" s="21"/>
      <c r="BF2229" s="21"/>
      <c r="BG2229" s="21"/>
      <c r="BH2229" s="21"/>
      <c r="BI2229" s="21"/>
    </row>
    <row r="2230" spans="1:61" x14ac:dyDescent="0.2">
      <c r="A2230">
        <v>1145</v>
      </c>
      <c r="B2230" t="s">
        <v>887</v>
      </c>
      <c r="C2230" t="str">
        <f t="shared" si="253"/>
        <v/>
      </c>
      <c r="D2230" t="str">
        <f t="shared" si="258"/>
        <v/>
      </c>
      <c r="H2230">
        <f t="shared" si="254"/>
        <v>3</v>
      </c>
      <c r="R2230">
        <v>68</v>
      </c>
      <c r="T2230" t="str">
        <f t="shared" si="252"/>
        <v>o</v>
      </c>
      <c r="AJ2230">
        <v>1</v>
      </c>
      <c r="AM2230" t="str">
        <f t="shared" si="255"/>
        <v>Possession</v>
      </c>
      <c r="AN2230" t="str">
        <f t="shared" si="256"/>
        <v>PuckRecovery</v>
      </c>
      <c r="AP2230" t="str">
        <f t="shared" si="257"/>
        <v>Defensive</v>
      </c>
      <c r="BB2230" s="23"/>
      <c r="BD2230" s="21"/>
      <c r="BE2230" s="21"/>
      <c r="BF2230" s="21"/>
      <c r="BG2230" s="21"/>
      <c r="BH2230" s="21"/>
      <c r="BI2230" s="21"/>
    </row>
    <row r="2231" spans="1:61" x14ac:dyDescent="0.2">
      <c r="A2231">
        <v>1146</v>
      </c>
      <c r="B2231" t="s">
        <v>887</v>
      </c>
      <c r="C2231" t="str">
        <f t="shared" si="253"/>
        <v/>
      </c>
      <c r="D2231" t="str">
        <f t="shared" si="258"/>
        <v/>
      </c>
      <c r="H2231">
        <f t="shared" si="254"/>
        <v>3</v>
      </c>
      <c r="I2231" s="5" t="s">
        <v>621</v>
      </c>
      <c r="J2231" s="5" t="s">
        <v>760</v>
      </c>
      <c r="Q2231" t="s">
        <v>620</v>
      </c>
      <c r="R2231">
        <v>84</v>
      </c>
      <c r="S2231">
        <v>1</v>
      </c>
      <c r="T2231" t="str">
        <f t="shared" si="252"/>
        <v>e</v>
      </c>
      <c r="U2231" t="s">
        <v>10</v>
      </c>
      <c r="V2231" t="s">
        <v>190</v>
      </c>
      <c r="W2231" t="s">
        <v>424</v>
      </c>
      <c r="X2231" t="s">
        <v>705</v>
      </c>
      <c r="Y2231" t="s">
        <v>680</v>
      </c>
      <c r="AA2231" t="s">
        <v>705</v>
      </c>
      <c r="AF2231" t="s">
        <v>401</v>
      </c>
      <c r="AJ2231">
        <v>1</v>
      </c>
      <c r="AM2231" t="str">
        <f t="shared" si="255"/>
        <v>Turnover</v>
      </c>
      <c r="AN2231" t="str">
        <f t="shared" si="256"/>
        <v>Turnover_Giveaway</v>
      </c>
      <c r="AP2231" t="str">
        <f t="shared" si="257"/>
        <v>Offensive</v>
      </c>
      <c r="BB2231" s="23"/>
      <c r="BD2231" s="21"/>
      <c r="BE2231" s="21"/>
      <c r="BF2231" s="21"/>
      <c r="BG2231" s="21"/>
      <c r="BH2231" s="21"/>
      <c r="BI2231" s="21"/>
    </row>
    <row r="2232" spans="1:61" x14ac:dyDescent="0.2">
      <c r="A2232">
        <v>1146</v>
      </c>
      <c r="B2232" t="s">
        <v>887</v>
      </c>
      <c r="C2232" t="str">
        <f t="shared" si="253"/>
        <v/>
      </c>
      <c r="D2232" t="str">
        <f t="shared" si="258"/>
        <v/>
      </c>
      <c r="H2232">
        <f t="shared" si="254"/>
        <v>3</v>
      </c>
      <c r="R2232">
        <v>68</v>
      </c>
      <c r="T2232" t="str">
        <f t="shared" si="252"/>
        <v>o</v>
      </c>
      <c r="AJ2232">
        <v>1</v>
      </c>
      <c r="AM2232" t="str">
        <f t="shared" si="255"/>
        <v>Turnover</v>
      </c>
      <c r="AN2232" t="str">
        <f t="shared" si="256"/>
        <v>Turnover_Giveaway</v>
      </c>
      <c r="AP2232" t="str">
        <f t="shared" si="257"/>
        <v>Defensive</v>
      </c>
      <c r="BB2232" s="23"/>
      <c r="BD2232" s="21"/>
      <c r="BE2232" s="21"/>
      <c r="BF2232" s="21"/>
      <c r="BG2232" s="21"/>
      <c r="BH2232" s="21"/>
      <c r="BI2232" s="21"/>
    </row>
    <row r="2233" spans="1:61" x14ac:dyDescent="0.2">
      <c r="A2233">
        <v>1147</v>
      </c>
      <c r="B2233" t="s">
        <v>887</v>
      </c>
      <c r="C2233" t="str">
        <f t="shared" si="253"/>
        <v/>
      </c>
      <c r="D2233" t="str">
        <f t="shared" si="258"/>
        <v/>
      </c>
      <c r="H2233">
        <f t="shared" si="254"/>
        <v>3</v>
      </c>
      <c r="I2233" s="5" t="s">
        <v>621</v>
      </c>
      <c r="J2233" s="5" t="s">
        <v>782</v>
      </c>
      <c r="Q2233" t="s">
        <v>619</v>
      </c>
      <c r="R2233">
        <v>18</v>
      </c>
      <c r="S2233">
        <v>1</v>
      </c>
      <c r="T2233" t="str">
        <f t="shared" si="252"/>
        <v>e</v>
      </c>
      <c r="U2233" t="s">
        <v>10</v>
      </c>
      <c r="V2233" t="s">
        <v>190</v>
      </c>
      <c r="W2233" t="s">
        <v>398</v>
      </c>
      <c r="X2233" t="s">
        <v>705</v>
      </c>
      <c r="Y2233" t="s">
        <v>746</v>
      </c>
      <c r="AA2233" t="s">
        <v>705</v>
      </c>
      <c r="AF2233" t="s">
        <v>623</v>
      </c>
      <c r="AM2233" t="str">
        <f t="shared" si="255"/>
        <v>Turnover</v>
      </c>
      <c r="AN2233" t="str">
        <f t="shared" si="256"/>
        <v>Turnover_Giveaway</v>
      </c>
      <c r="AP2233" t="str">
        <f t="shared" si="257"/>
        <v>Offensive</v>
      </c>
      <c r="BB2233" s="23"/>
      <c r="BD2233" s="21"/>
      <c r="BE2233" s="21"/>
      <c r="BF2233" s="21"/>
      <c r="BG2233" s="21"/>
      <c r="BH2233" s="21"/>
      <c r="BI2233" s="21"/>
    </row>
    <row r="2234" spans="1:61" x14ac:dyDescent="0.2">
      <c r="A2234">
        <v>1148</v>
      </c>
      <c r="B2234" t="s">
        <v>887</v>
      </c>
      <c r="C2234" t="str">
        <f t="shared" si="253"/>
        <v/>
      </c>
      <c r="D2234" t="str">
        <f t="shared" si="258"/>
        <v/>
      </c>
      <c r="H2234">
        <f t="shared" si="254"/>
        <v>3</v>
      </c>
      <c r="I2234" s="5" t="s">
        <v>621</v>
      </c>
      <c r="J2234" s="5" t="s">
        <v>743</v>
      </c>
      <c r="K2234" s="5" t="s">
        <v>621</v>
      </c>
      <c r="L2234" s="7" t="s">
        <v>768</v>
      </c>
      <c r="Q2234" t="s">
        <v>620</v>
      </c>
      <c r="R2234">
        <v>14</v>
      </c>
      <c r="S2234">
        <v>1</v>
      </c>
      <c r="T2234" t="str">
        <f t="shared" si="252"/>
        <v>e</v>
      </c>
      <c r="U2234" t="s">
        <v>15</v>
      </c>
      <c r="V2234" t="s">
        <v>697</v>
      </c>
      <c r="X2234" t="s">
        <v>705</v>
      </c>
      <c r="Y2234" t="s">
        <v>720</v>
      </c>
      <c r="AA2234" t="s">
        <v>705</v>
      </c>
      <c r="AF2234" t="s">
        <v>401</v>
      </c>
      <c r="AJ2234">
        <v>1</v>
      </c>
      <c r="AM2234" t="str">
        <f t="shared" si="255"/>
        <v>Possession</v>
      </c>
      <c r="AN2234" t="str">
        <f t="shared" si="256"/>
        <v>PuckRetrieval</v>
      </c>
      <c r="AP2234" t="str">
        <f t="shared" si="257"/>
        <v>Offensive</v>
      </c>
      <c r="BB2234" s="23"/>
      <c r="BD2234" s="21"/>
      <c r="BE2234" s="21"/>
      <c r="BF2234" s="21"/>
      <c r="BG2234" s="21"/>
      <c r="BH2234" s="21"/>
      <c r="BI2234" s="21"/>
    </row>
    <row r="2235" spans="1:61" x14ac:dyDescent="0.2">
      <c r="A2235">
        <v>1148</v>
      </c>
      <c r="B2235" t="s">
        <v>887</v>
      </c>
      <c r="C2235" t="str">
        <f t="shared" si="253"/>
        <v/>
      </c>
      <c r="D2235" t="str">
        <f t="shared" si="258"/>
        <v/>
      </c>
      <c r="H2235">
        <f t="shared" si="254"/>
        <v>3</v>
      </c>
      <c r="R2235">
        <v>13</v>
      </c>
      <c r="T2235" t="str">
        <f t="shared" si="252"/>
        <v>o</v>
      </c>
      <c r="AJ2235">
        <v>1</v>
      </c>
      <c r="AM2235" t="str">
        <f t="shared" si="255"/>
        <v>Possession</v>
      </c>
      <c r="AN2235" t="str">
        <f t="shared" si="256"/>
        <v>PuckRetrieval</v>
      </c>
      <c r="AP2235" t="str">
        <f t="shared" si="257"/>
        <v>Defensive</v>
      </c>
      <c r="BB2235" s="23"/>
      <c r="BD2235" s="21"/>
      <c r="BE2235" s="21"/>
      <c r="BF2235" s="21"/>
      <c r="BG2235" s="21"/>
      <c r="BH2235" s="21"/>
      <c r="BI2235" s="21"/>
    </row>
    <row r="2236" spans="1:61" x14ac:dyDescent="0.2">
      <c r="A2236">
        <v>1149</v>
      </c>
      <c r="B2236" t="s">
        <v>887</v>
      </c>
      <c r="C2236" t="str">
        <f t="shared" si="253"/>
        <v/>
      </c>
      <c r="D2236" t="str">
        <f t="shared" si="258"/>
        <v/>
      </c>
      <c r="H2236">
        <f t="shared" si="254"/>
        <v>3</v>
      </c>
      <c r="I2236" s="5" t="s">
        <v>621</v>
      </c>
      <c r="J2236" s="5" t="s">
        <v>768</v>
      </c>
      <c r="Q2236" t="s">
        <v>619</v>
      </c>
      <c r="R2236">
        <v>13</v>
      </c>
      <c r="S2236">
        <v>1</v>
      </c>
      <c r="T2236" t="str">
        <f t="shared" si="252"/>
        <v>e</v>
      </c>
      <c r="U2236" t="s">
        <v>10</v>
      </c>
      <c r="V2236" t="s">
        <v>200</v>
      </c>
      <c r="W2236" t="s">
        <v>81</v>
      </c>
      <c r="X2236" t="s">
        <v>706</v>
      </c>
      <c r="Y2236" t="s">
        <v>774</v>
      </c>
      <c r="AA2236" t="s">
        <v>706</v>
      </c>
      <c r="AF2236" t="s">
        <v>623</v>
      </c>
      <c r="AJ2236">
        <v>1</v>
      </c>
      <c r="AM2236" t="str">
        <f t="shared" si="255"/>
        <v>Turnover</v>
      </c>
      <c r="AN2236" t="str">
        <f t="shared" si="256"/>
        <v>Turnover_Takeaway</v>
      </c>
      <c r="AP2236" t="str">
        <f t="shared" si="257"/>
        <v>Defensive</v>
      </c>
      <c r="BB2236" s="23"/>
      <c r="BD2236" s="21"/>
      <c r="BE2236" s="21"/>
      <c r="BF2236" s="21"/>
      <c r="BG2236" s="21"/>
      <c r="BH2236" s="21"/>
      <c r="BI2236" s="21"/>
    </row>
    <row r="2237" spans="1:61" x14ac:dyDescent="0.2">
      <c r="A2237">
        <v>1149</v>
      </c>
      <c r="B2237" t="s">
        <v>887</v>
      </c>
      <c r="C2237" t="str">
        <f t="shared" si="253"/>
        <v/>
      </c>
      <c r="D2237" t="str">
        <f t="shared" si="258"/>
        <v/>
      </c>
      <c r="H2237">
        <f t="shared" si="254"/>
        <v>3</v>
      </c>
      <c r="R2237">
        <v>14</v>
      </c>
      <c r="T2237" t="str">
        <f t="shared" si="252"/>
        <v>o</v>
      </c>
      <c r="AJ2237">
        <v>1</v>
      </c>
      <c r="AM2237" t="str">
        <f t="shared" si="255"/>
        <v>Turnover</v>
      </c>
      <c r="AN2237" t="str">
        <f t="shared" si="256"/>
        <v>Turnover_Takeaway</v>
      </c>
      <c r="AP2237" t="str">
        <f t="shared" si="257"/>
        <v>Offensive</v>
      </c>
      <c r="BB2237" s="23"/>
      <c r="BD2237" s="21"/>
      <c r="BE2237" s="21"/>
      <c r="BF2237" s="21"/>
      <c r="BG2237" s="21"/>
      <c r="BH2237" s="21"/>
      <c r="BI2237" s="21"/>
    </row>
    <row r="2238" spans="1:61" x14ac:dyDescent="0.2">
      <c r="A2238">
        <v>1150</v>
      </c>
      <c r="B2238" t="s">
        <v>887</v>
      </c>
      <c r="C2238" t="str">
        <f t="shared" si="253"/>
        <v/>
      </c>
      <c r="D2238" t="str">
        <f t="shared" si="258"/>
        <v/>
      </c>
      <c r="H2238">
        <f t="shared" si="254"/>
        <v>3</v>
      </c>
      <c r="I2238" s="5" t="s">
        <v>621</v>
      </c>
      <c r="J2238" s="5" t="s">
        <v>733</v>
      </c>
      <c r="K2238" s="5" t="s">
        <v>621</v>
      </c>
      <c r="L2238" s="7" t="s">
        <v>735</v>
      </c>
      <c r="Q2238" t="s">
        <v>619</v>
      </c>
      <c r="R2238">
        <v>13</v>
      </c>
      <c r="S2238">
        <v>1</v>
      </c>
      <c r="T2238" t="str">
        <f t="shared" si="252"/>
        <v>e</v>
      </c>
      <c r="U2238" t="s">
        <v>15</v>
      </c>
      <c r="AF2238" t="s">
        <v>623</v>
      </c>
      <c r="AM2238" t="str">
        <f t="shared" si="255"/>
        <v>Possession</v>
      </c>
      <c r="AN2238" t="str">
        <f t="shared" si="256"/>
        <v/>
      </c>
      <c r="AP2238" t="str">
        <f t="shared" si="257"/>
        <v>Offensive</v>
      </c>
      <c r="BB2238" s="23"/>
      <c r="BD2238" s="21"/>
      <c r="BE2238" s="21"/>
      <c r="BF2238" s="21"/>
      <c r="BG2238" s="21"/>
      <c r="BH2238" s="21"/>
      <c r="BI2238" s="21"/>
    </row>
    <row r="2239" spans="1:61" x14ac:dyDescent="0.2">
      <c r="A2239">
        <v>1151</v>
      </c>
      <c r="B2239" t="s">
        <v>887</v>
      </c>
      <c r="C2239" t="str">
        <f t="shared" si="253"/>
        <v/>
      </c>
      <c r="D2239" t="str">
        <f t="shared" si="258"/>
        <v/>
      </c>
      <c r="H2239">
        <f t="shared" si="254"/>
        <v>3</v>
      </c>
      <c r="I2239" s="5" t="s">
        <v>621</v>
      </c>
      <c r="J2239" s="5" t="s">
        <v>735</v>
      </c>
      <c r="Q2239" t="s">
        <v>620</v>
      </c>
      <c r="R2239">
        <v>13</v>
      </c>
      <c r="S2239">
        <v>1</v>
      </c>
      <c r="T2239" t="str">
        <f t="shared" si="252"/>
        <v>e</v>
      </c>
      <c r="U2239" t="s">
        <v>8</v>
      </c>
      <c r="V2239" t="s">
        <v>199</v>
      </c>
      <c r="W2239" t="s">
        <v>69</v>
      </c>
      <c r="X2239" t="s">
        <v>705</v>
      </c>
      <c r="Y2239" t="s">
        <v>744</v>
      </c>
      <c r="AA2239" t="s">
        <v>705</v>
      </c>
      <c r="AF2239" t="s">
        <v>623</v>
      </c>
      <c r="AM2239" t="str">
        <f t="shared" si="255"/>
        <v>Pass</v>
      </c>
      <c r="AN2239" t="str">
        <f t="shared" si="256"/>
        <v>Pass_Missed</v>
      </c>
      <c r="AP2239" t="str">
        <f t="shared" si="257"/>
        <v>Offensive</v>
      </c>
      <c r="BB2239" s="23"/>
      <c r="BD2239" s="21"/>
      <c r="BE2239" s="21"/>
      <c r="BF2239" s="21"/>
      <c r="BG2239" s="21"/>
      <c r="BH2239" s="21"/>
      <c r="BI2239" s="21"/>
    </row>
    <row r="2240" spans="1:61" x14ac:dyDescent="0.2">
      <c r="A2240">
        <v>1151</v>
      </c>
      <c r="B2240" t="s">
        <v>887</v>
      </c>
      <c r="C2240" t="str">
        <f t="shared" si="253"/>
        <v/>
      </c>
      <c r="D2240" t="str">
        <f t="shared" si="258"/>
        <v/>
      </c>
      <c r="H2240">
        <f t="shared" si="254"/>
        <v>3</v>
      </c>
      <c r="R2240">
        <v>68</v>
      </c>
      <c r="S2240">
        <v>1</v>
      </c>
      <c r="T2240" t="str">
        <f t="shared" si="252"/>
        <v>e</v>
      </c>
      <c r="AM2240" t="str">
        <f t="shared" si="255"/>
        <v>Pass</v>
      </c>
      <c r="AN2240" t="str">
        <f t="shared" si="256"/>
        <v>Pass_Missed</v>
      </c>
      <c r="AP2240" t="str">
        <f t="shared" si="257"/>
        <v>Offensive</v>
      </c>
      <c r="BB2240" s="23"/>
      <c r="BD2240" s="21"/>
      <c r="BE2240" s="21"/>
      <c r="BF2240" s="21"/>
      <c r="BG2240" s="21"/>
      <c r="BH2240" s="21"/>
      <c r="BI2240" s="21"/>
    </row>
    <row r="2241" spans="1:61" x14ac:dyDescent="0.2">
      <c r="A2241">
        <v>1152</v>
      </c>
      <c r="B2241" t="s">
        <v>887</v>
      </c>
      <c r="C2241" t="str">
        <f t="shared" si="253"/>
        <v/>
      </c>
      <c r="D2241" t="str">
        <f t="shared" si="258"/>
        <v/>
      </c>
      <c r="H2241">
        <f t="shared" si="254"/>
        <v>3</v>
      </c>
      <c r="I2241" s="5" t="s">
        <v>621</v>
      </c>
      <c r="J2241" s="5" t="s">
        <v>735</v>
      </c>
      <c r="Q2241" t="s">
        <v>620</v>
      </c>
      <c r="R2241">
        <v>84</v>
      </c>
      <c r="S2241">
        <v>1</v>
      </c>
      <c r="T2241" t="str">
        <f t="shared" si="252"/>
        <v>e</v>
      </c>
      <c r="U2241" t="s">
        <v>257</v>
      </c>
      <c r="V2241" t="s">
        <v>820</v>
      </c>
      <c r="X2241" t="s">
        <v>705</v>
      </c>
      <c r="Y2241" t="s">
        <v>737</v>
      </c>
      <c r="AA2241" t="s">
        <v>705</v>
      </c>
      <c r="AF2241" t="s">
        <v>401</v>
      </c>
      <c r="AJ2241">
        <v>1</v>
      </c>
      <c r="AM2241" t="str">
        <f t="shared" si="255"/>
        <v>Zone_Entry_Exit</v>
      </c>
      <c r="AN2241" t="str">
        <f t="shared" si="256"/>
        <v>Zone_KeepinFailed</v>
      </c>
      <c r="AP2241" t="str">
        <f t="shared" si="257"/>
        <v>Offensive</v>
      </c>
      <c r="BB2241" s="23"/>
      <c r="BD2241" s="21"/>
      <c r="BE2241" s="21"/>
      <c r="BF2241" s="21"/>
      <c r="BG2241" s="21"/>
      <c r="BH2241" s="21"/>
      <c r="BI2241" s="21"/>
    </row>
    <row r="2242" spans="1:61" x14ac:dyDescent="0.2">
      <c r="A2242">
        <v>1152</v>
      </c>
      <c r="B2242" t="s">
        <v>887</v>
      </c>
      <c r="C2242" t="str">
        <f t="shared" si="253"/>
        <v/>
      </c>
      <c r="D2242" t="str">
        <f t="shared" si="258"/>
        <v/>
      </c>
      <c r="H2242">
        <f t="shared" si="254"/>
        <v>3</v>
      </c>
      <c r="R2242">
        <v>68</v>
      </c>
      <c r="T2242" t="str">
        <f t="shared" si="252"/>
        <v>o</v>
      </c>
      <c r="Y2242" t="s">
        <v>714</v>
      </c>
      <c r="AA2242" t="s">
        <v>706</v>
      </c>
      <c r="AJ2242">
        <v>1</v>
      </c>
      <c r="AM2242" t="str">
        <f t="shared" si="255"/>
        <v>Zone_Entry_Exit</v>
      </c>
      <c r="AN2242" t="str">
        <f t="shared" si="256"/>
        <v>Zone_KeepinFailed</v>
      </c>
      <c r="AP2242" t="str">
        <f t="shared" si="257"/>
        <v>Defensive</v>
      </c>
      <c r="BB2242" s="23"/>
      <c r="BD2242" s="21"/>
      <c r="BE2242" s="21"/>
      <c r="BF2242" s="21"/>
      <c r="BG2242" s="21"/>
      <c r="BH2242" s="21"/>
      <c r="BI2242" s="21"/>
    </row>
    <row r="2243" spans="1:61" x14ac:dyDescent="0.2">
      <c r="A2243">
        <v>1153</v>
      </c>
      <c r="B2243" t="s">
        <v>887</v>
      </c>
      <c r="C2243" t="str">
        <f t="shared" si="253"/>
        <v/>
      </c>
      <c r="D2243" t="str">
        <f t="shared" si="258"/>
        <v/>
      </c>
      <c r="H2243">
        <f t="shared" si="254"/>
        <v>3</v>
      </c>
      <c r="I2243" s="5" t="s">
        <v>621</v>
      </c>
      <c r="J2243" s="5" t="s">
        <v>735</v>
      </c>
      <c r="Q2243" t="s">
        <v>619</v>
      </c>
      <c r="R2243">
        <v>68</v>
      </c>
      <c r="S2243">
        <v>1</v>
      </c>
      <c r="T2243" t="str">
        <f t="shared" ref="T2243:T2306" si="259">IF(S2243="x","",IF(S2243=1,"e","o"))</f>
        <v>e</v>
      </c>
      <c r="U2243" t="s">
        <v>257</v>
      </c>
      <c r="V2243" t="s">
        <v>201</v>
      </c>
      <c r="W2243" t="s">
        <v>409</v>
      </c>
      <c r="X2243" t="s">
        <v>705</v>
      </c>
      <c r="Y2243" t="s">
        <v>714</v>
      </c>
      <c r="AF2243" t="s">
        <v>623</v>
      </c>
      <c r="AJ2243">
        <v>1</v>
      </c>
      <c r="AM2243" t="str">
        <f t="shared" si="255"/>
        <v>Zone_Entry_Exit</v>
      </c>
      <c r="AN2243" t="str">
        <f t="shared" si="256"/>
        <v>Zone_Exit</v>
      </c>
      <c r="AP2243" t="str">
        <f t="shared" si="257"/>
        <v>Offensive</v>
      </c>
      <c r="BB2243" s="23"/>
      <c r="BD2243" s="21"/>
      <c r="BE2243" s="21"/>
      <c r="BF2243" s="21"/>
      <c r="BG2243" s="21"/>
      <c r="BH2243" s="21"/>
      <c r="BI2243" s="21"/>
    </row>
    <row r="2244" spans="1:61" x14ac:dyDescent="0.2">
      <c r="A2244">
        <v>1153</v>
      </c>
      <c r="B2244" t="s">
        <v>887</v>
      </c>
      <c r="C2244" t="str">
        <f t="shared" ref="C2244:C2307" si="260">IF(B2244&lt;&gt;"",9000+B2244,"")</f>
        <v/>
      </c>
      <c r="D2244" t="str">
        <f t="shared" si="258"/>
        <v/>
      </c>
      <c r="H2244">
        <f t="shared" si="254"/>
        <v>3</v>
      </c>
      <c r="R2244">
        <v>84</v>
      </c>
      <c r="T2244" t="str">
        <f t="shared" si="259"/>
        <v>o</v>
      </c>
      <c r="Y2244" t="s">
        <v>737</v>
      </c>
      <c r="AA2244" t="s">
        <v>705</v>
      </c>
      <c r="AJ2244">
        <v>1</v>
      </c>
      <c r="AM2244" t="str">
        <f t="shared" si="255"/>
        <v>Zone_Entry_Exit</v>
      </c>
      <c r="AN2244" t="str">
        <f t="shared" si="256"/>
        <v>Zone_Exit</v>
      </c>
      <c r="AP2244" t="str">
        <f t="shared" si="257"/>
        <v>Defensive</v>
      </c>
      <c r="BB2244" s="23"/>
      <c r="BD2244" s="21"/>
      <c r="BE2244" s="21"/>
      <c r="BF2244" s="21"/>
      <c r="BG2244" s="21"/>
      <c r="BH2244" s="21"/>
      <c r="BI2244" s="21"/>
    </row>
    <row r="2245" spans="1:61" x14ac:dyDescent="0.2">
      <c r="A2245">
        <v>1154</v>
      </c>
      <c r="B2245" t="s">
        <v>887</v>
      </c>
      <c r="C2245" t="str">
        <f t="shared" si="260"/>
        <v/>
      </c>
      <c r="D2245" t="str">
        <f t="shared" si="258"/>
        <v/>
      </c>
      <c r="H2245">
        <f t="shared" ref="H2245:H2308" si="261">IF(U2245="Intermission",H2244+1,H2244)</f>
        <v>3</v>
      </c>
      <c r="I2245" s="5" t="s">
        <v>621</v>
      </c>
      <c r="J2245" s="5" t="s">
        <v>801</v>
      </c>
      <c r="K2245" s="5" t="s">
        <v>621</v>
      </c>
      <c r="L2245" s="7" t="s">
        <v>738</v>
      </c>
      <c r="Q2245" t="s">
        <v>620</v>
      </c>
      <c r="R2245">
        <v>91</v>
      </c>
      <c r="S2245">
        <v>1</v>
      </c>
      <c r="T2245" t="str">
        <f t="shared" si="259"/>
        <v>e</v>
      </c>
      <c r="U2245" t="s">
        <v>15</v>
      </c>
      <c r="V2245" t="s">
        <v>697</v>
      </c>
      <c r="X2245" t="s">
        <v>705</v>
      </c>
      <c r="Y2245" t="s">
        <v>712</v>
      </c>
      <c r="AA2245" t="s">
        <v>705</v>
      </c>
      <c r="AF2245" t="s">
        <v>635</v>
      </c>
      <c r="AM2245" t="str">
        <f t="shared" ref="AM2245:AM2308" si="262">IF(U2245&lt;&gt;"",U2245,IF($A2245=$A2244,AM2244,""))</f>
        <v>Possession</v>
      </c>
      <c r="AN2245" t="str">
        <f t="shared" ref="AN2245:AN2308" si="263">IF(V2245&lt;&gt;"",V2245,IF($A2245=$A2244,AN2244,""))</f>
        <v>PuckRetrieval</v>
      </c>
      <c r="AP2245" t="str">
        <f t="shared" si="257"/>
        <v>Offensive</v>
      </c>
      <c r="BB2245" s="23"/>
      <c r="BD2245" s="21"/>
      <c r="BE2245" s="21"/>
      <c r="BF2245" s="21"/>
      <c r="BG2245" s="21"/>
      <c r="BH2245" s="21"/>
      <c r="BI2245" s="21"/>
    </row>
    <row r="2246" spans="1:61" x14ac:dyDescent="0.2">
      <c r="A2246">
        <v>1155</v>
      </c>
      <c r="C2246" t="str">
        <f t="shared" si="260"/>
        <v/>
      </c>
      <c r="D2246">
        <f t="shared" si="258"/>
        <v>0</v>
      </c>
      <c r="H2246">
        <f t="shared" si="261"/>
        <v>3</v>
      </c>
      <c r="I2246" s="5" t="s">
        <v>621</v>
      </c>
      <c r="J2246" s="5" t="s">
        <v>738</v>
      </c>
      <c r="Q2246" t="s">
        <v>620</v>
      </c>
      <c r="R2246">
        <v>91</v>
      </c>
      <c r="S2246">
        <v>1</v>
      </c>
      <c r="T2246" t="str">
        <f t="shared" si="259"/>
        <v>e</v>
      </c>
      <c r="U2246" t="s">
        <v>10</v>
      </c>
      <c r="V2246" t="s">
        <v>190</v>
      </c>
      <c r="W2246" t="s">
        <v>398</v>
      </c>
      <c r="X2246" t="s">
        <v>705</v>
      </c>
      <c r="Y2246" t="s">
        <v>748</v>
      </c>
      <c r="AA2246" t="s">
        <v>705</v>
      </c>
      <c r="AF2246" t="s">
        <v>635</v>
      </c>
      <c r="AJ2246">
        <v>1</v>
      </c>
      <c r="AM2246" t="str">
        <f t="shared" si="262"/>
        <v>Turnover</v>
      </c>
      <c r="AN2246" t="str">
        <f t="shared" si="263"/>
        <v>Turnover_Giveaway</v>
      </c>
      <c r="AP2246" t="str">
        <f t="shared" ref="AP2246:AP2309" si="264">IF(AND(T2246="e",OR(AM2246="Save",AN2246="Turnover_Takeaway",AN2246="Play_Defensive")),"Defensive",IF(AND(T2246="o",OR(AM2246="Save",AN2246="Turnover_Takeaway",AN2246="Play_Defensive")),"Offensive",IF(OR(AM2246="Deadice",AM2246="Stoppage",AM2246="Intermission"),"",IF(T2246="e","Offensive",IF(T2246="o","Defensive","")))))</f>
        <v>Offensive</v>
      </c>
      <c r="BB2246" s="23"/>
      <c r="BD2246" s="21"/>
      <c r="BE2246" s="21"/>
      <c r="BF2246" s="21"/>
      <c r="BG2246" s="21"/>
      <c r="BH2246" s="21"/>
      <c r="BI2246" s="21"/>
    </row>
    <row r="2247" spans="1:61" x14ac:dyDescent="0.2">
      <c r="A2247">
        <v>1155</v>
      </c>
      <c r="C2247" t="str">
        <f t="shared" si="260"/>
        <v/>
      </c>
      <c r="D2247">
        <f t="shared" si="258"/>
        <v>0</v>
      </c>
      <c r="H2247">
        <f t="shared" si="261"/>
        <v>3</v>
      </c>
      <c r="R2247">
        <v>77</v>
      </c>
      <c r="T2247" t="str">
        <f t="shared" si="259"/>
        <v>o</v>
      </c>
      <c r="Y2247" t="s">
        <v>722</v>
      </c>
      <c r="AA2247" t="s">
        <v>706</v>
      </c>
      <c r="AJ2247">
        <v>1</v>
      </c>
      <c r="AM2247" t="str">
        <f t="shared" si="262"/>
        <v>Turnover</v>
      </c>
      <c r="AN2247" t="str">
        <f t="shared" si="263"/>
        <v>Turnover_Giveaway</v>
      </c>
      <c r="AP2247" t="str">
        <f t="shared" si="264"/>
        <v>Defensive</v>
      </c>
      <c r="BB2247" s="23"/>
      <c r="BD2247" s="21"/>
      <c r="BE2247" s="21"/>
      <c r="BF2247" s="21"/>
      <c r="BG2247" s="21"/>
      <c r="BH2247" s="21"/>
      <c r="BI2247" s="21"/>
    </row>
    <row r="2248" spans="1:61" x14ac:dyDescent="0.2">
      <c r="A2248">
        <v>1156</v>
      </c>
      <c r="C2248" t="str">
        <f t="shared" si="260"/>
        <v/>
      </c>
      <c r="D2248">
        <f t="shared" si="258"/>
        <v>0</v>
      </c>
      <c r="H2248">
        <f t="shared" si="261"/>
        <v>3</v>
      </c>
      <c r="I2248" s="5" t="s">
        <v>621</v>
      </c>
      <c r="J2248" s="5" t="s">
        <v>738</v>
      </c>
      <c r="K2248" s="5" t="s">
        <v>621</v>
      </c>
      <c r="L2248" s="7" t="s">
        <v>741</v>
      </c>
      <c r="Q2248" t="s">
        <v>619</v>
      </c>
      <c r="R2248">
        <v>68</v>
      </c>
      <c r="S2248">
        <v>1</v>
      </c>
      <c r="T2248" t="str">
        <f t="shared" si="259"/>
        <v>e</v>
      </c>
      <c r="U2248" t="s">
        <v>15</v>
      </c>
      <c r="V2248" t="s">
        <v>697</v>
      </c>
      <c r="X2248" t="s">
        <v>706</v>
      </c>
      <c r="Y2248" t="s">
        <v>712</v>
      </c>
      <c r="AA2248" t="s">
        <v>706</v>
      </c>
      <c r="AF2248" t="s">
        <v>635</v>
      </c>
      <c r="AJ2248">
        <v>1</v>
      </c>
      <c r="AM2248" t="str">
        <f t="shared" si="262"/>
        <v>Possession</v>
      </c>
      <c r="AN2248" t="str">
        <f t="shared" si="263"/>
        <v>PuckRetrieval</v>
      </c>
      <c r="AP2248" t="str">
        <f t="shared" si="264"/>
        <v>Offensive</v>
      </c>
      <c r="BB2248" s="23"/>
      <c r="BD2248" s="21"/>
      <c r="BE2248" s="21"/>
      <c r="BF2248" s="21"/>
      <c r="BG2248" s="21"/>
      <c r="BH2248" s="21"/>
      <c r="BI2248" s="21"/>
    </row>
    <row r="2249" spans="1:61" x14ac:dyDescent="0.2">
      <c r="A2249">
        <v>1156</v>
      </c>
      <c r="C2249" t="str">
        <f t="shared" si="260"/>
        <v/>
      </c>
      <c r="D2249">
        <f t="shared" ref="D2249:D2312" si="265">IF(C2249&lt;&gt;"",C2249,B2249)</f>
        <v>0</v>
      </c>
      <c r="H2249">
        <f t="shared" si="261"/>
        <v>3</v>
      </c>
      <c r="R2249">
        <v>84</v>
      </c>
      <c r="T2249" t="str">
        <f t="shared" si="259"/>
        <v>o</v>
      </c>
      <c r="Y2249" t="s">
        <v>832</v>
      </c>
      <c r="AA2249" t="s">
        <v>705</v>
      </c>
      <c r="AJ2249">
        <v>1</v>
      </c>
      <c r="AM2249" t="str">
        <f t="shared" si="262"/>
        <v>Possession</v>
      </c>
      <c r="AN2249" t="str">
        <f t="shared" si="263"/>
        <v>PuckRetrieval</v>
      </c>
      <c r="AP2249" t="str">
        <f t="shared" si="264"/>
        <v>Defensive</v>
      </c>
      <c r="BB2249" s="23"/>
      <c r="BD2249" s="21"/>
      <c r="BE2249" s="21"/>
      <c r="BF2249" s="21"/>
      <c r="BG2249" s="21"/>
      <c r="BH2249" s="21"/>
      <c r="BI2249" s="21"/>
    </row>
    <row r="2250" spans="1:61" x14ac:dyDescent="0.2">
      <c r="A2250">
        <v>1157</v>
      </c>
      <c r="B2250" t="s">
        <v>887</v>
      </c>
      <c r="C2250" t="str">
        <f t="shared" si="260"/>
        <v/>
      </c>
      <c r="D2250" t="str">
        <f t="shared" si="265"/>
        <v/>
      </c>
      <c r="H2250">
        <f t="shared" si="261"/>
        <v>3</v>
      </c>
      <c r="I2250" s="5" t="s">
        <v>621</v>
      </c>
      <c r="J2250" s="5" t="s">
        <v>741</v>
      </c>
      <c r="Q2250" t="s">
        <v>619</v>
      </c>
      <c r="R2250">
        <v>68</v>
      </c>
      <c r="S2250">
        <v>1</v>
      </c>
      <c r="T2250" t="str">
        <f t="shared" si="259"/>
        <v>e</v>
      </c>
      <c r="U2250" t="s">
        <v>257</v>
      </c>
      <c r="V2250" t="s">
        <v>191</v>
      </c>
      <c r="W2250" t="s">
        <v>87</v>
      </c>
      <c r="X2250" t="s">
        <v>705</v>
      </c>
      <c r="AF2250" t="s">
        <v>401</v>
      </c>
      <c r="AJ2250">
        <v>1</v>
      </c>
      <c r="AM2250" t="str">
        <f t="shared" si="262"/>
        <v>Zone_Entry_Exit</v>
      </c>
      <c r="AN2250" t="str">
        <f t="shared" si="263"/>
        <v>Zone_Entry</v>
      </c>
      <c r="AP2250" t="str">
        <f t="shared" si="264"/>
        <v>Offensive</v>
      </c>
      <c r="BB2250" s="23"/>
      <c r="BD2250" s="21"/>
      <c r="BE2250" s="21"/>
      <c r="BF2250" s="21"/>
      <c r="BG2250" s="21"/>
      <c r="BH2250" s="21"/>
      <c r="BI2250" s="21"/>
    </row>
    <row r="2251" spans="1:61" x14ac:dyDescent="0.2">
      <c r="A2251">
        <v>1157</v>
      </c>
      <c r="B2251" t="s">
        <v>887</v>
      </c>
      <c r="C2251" t="str">
        <f t="shared" si="260"/>
        <v/>
      </c>
      <c r="D2251" t="str">
        <f t="shared" si="265"/>
        <v/>
      </c>
      <c r="H2251">
        <f t="shared" si="261"/>
        <v>3</v>
      </c>
      <c r="R2251">
        <v>84</v>
      </c>
      <c r="T2251" t="str">
        <f t="shared" si="259"/>
        <v>o</v>
      </c>
      <c r="Y2251" t="s">
        <v>832</v>
      </c>
      <c r="AJ2251">
        <v>1</v>
      </c>
      <c r="AM2251" t="str">
        <f t="shared" si="262"/>
        <v>Zone_Entry_Exit</v>
      </c>
      <c r="AN2251" t="str">
        <f t="shared" si="263"/>
        <v>Zone_Entry</v>
      </c>
      <c r="AP2251" t="str">
        <f t="shared" si="264"/>
        <v>Defensive</v>
      </c>
      <c r="BB2251" s="23"/>
      <c r="BD2251" s="21"/>
      <c r="BE2251" s="21"/>
      <c r="BF2251" s="21"/>
      <c r="BG2251" s="21"/>
      <c r="BH2251" s="21"/>
      <c r="BI2251" s="21"/>
    </row>
    <row r="2252" spans="1:61" x14ac:dyDescent="0.2">
      <c r="A2252">
        <v>1158</v>
      </c>
      <c r="B2252" t="s">
        <v>887</v>
      </c>
      <c r="C2252" t="str">
        <f t="shared" si="260"/>
        <v/>
      </c>
      <c r="D2252" t="str">
        <f t="shared" si="265"/>
        <v/>
      </c>
      <c r="H2252">
        <f t="shared" si="261"/>
        <v>3</v>
      </c>
      <c r="I2252" s="5" t="s">
        <v>621</v>
      </c>
      <c r="J2252" s="5" t="s">
        <v>741</v>
      </c>
      <c r="Q2252" t="s">
        <v>620</v>
      </c>
      <c r="R2252">
        <v>84</v>
      </c>
      <c r="S2252">
        <v>1</v>
      </c>
      <c r="T2252" t="str">
        <f t="shared" si="259"/>
        <v>e</v>
      </c>
      <c r="U2252" t="s">
        <v>10</v>
      </c>
      <c r="V2252" t="s">
        <v>200</v>
      </c>
      <c r="W2252" t="s">
        <v>81</v>
      </c>
      <c r="X2252" t="s">
        <v>706</v>
      </c>
      <c r="Y2252" t="s">
        <v>774</v>
      </c>
      <c r="AA2252" t="s">
        <v>706</v>
      </c>
      <c r="AF2252" t="s">
        <v>623</v>
      </c>
      <c r="AJ2252">
        <v>1</v>
      </c>
      <c r="AM2252" t="str">
        <f t="shared" si="262"/>
        <v>Turnover</v>
      </c>
      <c r="AN2252" t="str">
        <f t="shared" si="263"/>
        <v>Turnover_Takeaway</v>
      </c>
      <c r="AP2252" t="str">
        <f t="shared" si="264"/>
        <v>Defensive</v>
      </c>
      <c r="BB2252" s="23"/>
      <c r="BD2252" s="21"/>
      <c r="BE2252" s="21"/>
      <c r="BF2252" s="21"/>
      <c r="BG2252" s="21"/>
      <c r="BH2252" s="21"/>
      <c r="BI2252" s="21"/>
    </row>
    <row r="2253" spans="1:61" x14ac:dyDescent="0.2">
      <c r="A2253">
        <v>1158</v>
      </c>
      <c r="B2253" t="s">
        <v>887</v>
      </c>
      <c r="C2253" t="str">
        <f t="shared" si="260"/>
        <v/>
      </c>
      <c r="D2253" t="str">
        <f t="shared" si="265"/>
        <v/>
      </c>
      <c r="H2253">
        <f t="shared" si="261"/>
        <v>3</v>
      </c>
      <c r="R2253">
        <v>68</v>
      </c>
      <c r="T2253" t="str">
        <f t="shared" si="259"/>
        <v>o</v>
      </c>
      <c r="AJ2253">
        <v>1</v>
      </c>
      <c r="AM2253" t="str">
        <f t="shared" si="262"/>
        <v>Turnover</v>
      </c>
      <c r="AN2253" t="str">
        <f t="shared" si="263"/>
        <v>Turnover_Takeaway</v>
      </c>
      <c r="AP2253" t="str">
        <f t="shared" si="264"/>
        <v>Offensive</v>
      </c>
      <c r="BB2253" s="23"/>
      <c r="BD2253" s="21"/>
      <c r="BE2253" s="21"/>
      <c r="BF2253" s="21"/>
      <c r="BG2253" s="21"/>
      <c r="BH2253" s="21"/>
      <c r="BI2253" s="21"/>
    </row>
    <row r="2254" spans="1:61" x14ac:dyDescent="0.2">
      <c r="A2254">
        <v>1159</v>
      </c>
      <c r="B2254" t="s">
        <v>887</v>
      </c>
      <c r="C2254" t="str">
        <f t="shared" si="260"/>
        <v/>
      </c>
      <c r="D2254" t="str">
        <f t="shared" si="265"/>
        <v/>
      </c>
      <c r="H2254">
        <f t="shared" si="261"/>
        <v>3</v>
      </c>
      <c r="I2254" s="5" t="s">
        <v>621</v>
      </c>
      <c r="J2254" s="5" t="s">
        <v>446</v>
      </c>
      <c r="K2254" s="5" t="s">
        <v>743</v>
      </c>
      <c r="L2254" s="7" t="s">
        <v>622</v>
      </c>
      <c r="Q2254" t="s">
        <v>620</v>
      </c>
      <c r="R2254">
        <v>91</v>
      </c>
      <c r="S2254">
        <v>1</v>
      </c>
      <c r="T2254" t="str">
        <f t="shared" si="259"/>
        <v>e</v>
      </c>
      <c r="U2254" t="s">
        <v>15</v>
      </c>
      <c r="V2254" t="s">
        <v>697</v>
      </c>
      <c r="X2254" t="s">
        <v>706</v>
      </c>
      <c r="Y2254" t="s">
        <v>712</v>
      </c>
      <c r="AA2254" t="s">
        <v>706</v>
      </c>
      <c r="AF2254" t="s">
        <v>623</v>
      </c>
      <c r="AJ2254">
        <v>1</v>
      </c>
      <c r="AM2254" t="str">
        <f t="shared" si="262"/>
        <v>Possession</v>
      </c>
      <c r="AN2254" t="str">
        <f t="shared" si="263"/>
        <v>PuckRetrieval</v>
      </c>
      <c r="AP2254" t="str">
        <f t="shared" si="264"/>
        <v>Offensive</v>
      </c>
      <c r="BB2254" s="23"/>
      <c r="BD2254" s="21"/>
      <c r="BE2254" s="21"/>
      <c r="BF2254" s="21"/>
      <c r="BG2254" s="21"/>
      <c r="BH2254" s="21"/>
      <c r="BI2254" s="21"/>
    </row>
    <row r="2255" spans="1:61" x14ac:dyDescent="0.2">
      <c r="A2255">
        <v>1159</v>
      </c>
      <c r="B2255" t="s">
        <v>887</v>
      </c>
      <c r="C2255" t="str">
        <f t="shared" si="260"/>
        <v/>
      </c>
      <c r="D2255" t="str">
        <f t="shared" si="265"/>
        <v/>
      </c>
      <c r="H2255">
        <f t="shared" si="261"/>
        <v>3</v>
      </c>
      <c r="R2255">
        <v>77</v>
      </c>
      <c r="T2255" t="str">
        <f t="shared" si="259"/>
        <v>o</v>
      </c>
      <c r="AJ2255">
        <v>1</v>
      </c>
      <c r="AM2255" t="str">
        <f t="shared" si="262"/>
        <v>Possession</v>
      </c>
      <c r="AN2255" t="str">
        <f t="shared" si="263"/>
        <v>PuckRetrieval</v>
      </c>
      <c r="AP2255" t="str">
        <f t="shared" si="264"/>
        <v>Defensive</v>
      </c>
      <c r="BB2255" s="23"/>
      <c r="BD2255" s="21"/>
      <c r="BE2255" s="21"/>
      <c r="BF2255" s="21"/>
      <c r="BG2255" s="21"/>
      <c r="BH2255" s="21"/>
      <c r="BI2255" s="21"/>
    </row>
    <row r="2256" spans="1:61" x14ac:dyDescent="0.2">
      <c r="A2256">
        <v>1160</v>
      </c>
      <c r="B2256">
        <v>182</v>
      </c>
      <c r="C2256">
        <f t="shared" si="260"/>
        <v>9182</v>
      </c>
      <c r="D2256">
        <f t="shared" si="265"/>
        <v>9182</v>
      </c>
      <c r="H2256">
        <f t="shared" si="261"/>
        <v>3</v>
      </c>
      <c r="I2256" s="5" t="s">
        <v>743</v>
      </c>
      <c r="J2256" s="5" t="s">
        <v>622</v>
      </c>
      <c r="Q2256" t="s">
        <v>620</v>
      </c>
      <c r="R2256">
        <v>91</v>
      </c>
      <c r="S2256">
        <v>1</v>
      </c>
      <c r="T2256" t="str">
        <f t="shared" si="259"/>
        <v>e</v>
      </c>
      <c r="U2256" t="s">
        <v>8</v>
      </c>
      <c r="V2256" t="s">
        <v>189</v>
      </c>
      <c r="W2256" t="s">
        <v>69</v>
      </c>
      <c r="X2256" t="s">
        <v>706</v>
      </c>
      <c r="Y2256" t="s">
        <v>678</v>
      </c>
      <c r="AA2256" t="s">
        <v>706</v>
      </c>
      <c r="AF2256" t="s">
        <v>623</v>
      </c>
      <c r="AJ2256">
        <v>1</v>
      </c>
      <c r="AM2256" t="str">
        <f t="shared" si="262"/>
        <v>Pass</v>
      </c>
      <c r="AN2256" t="str">
        <f t="shared" si="263"/>
        <v>Pass_Completed</v>
      </c>
      <c r="AP2256" t="str">
        <f t="shared" si="264"/>
        <v>Offensive</v>
      </c>
      <c r="BB2256" s="23"/>
      <c r="BD2256" s="21"/>
      <c r="BE2256" s="21"/>
      <c r="BF2256" s="21"/>
      <c r="BG2256" s="21"/>
      <c r="BH2256" s="21"/>
      <c r="BI2256" s="21"/>
    </row>
    <row r="2257" spans="1:61" x14ac:dyDescent="0.2">
      <c r="A2257">
        <v>1160</v>
      </c>
      <c r="B2257">
        <v>182</v>
      </c>
      <c r="C2257">
        <f t="shared" si="260"/>
        <v>9182</v>
      </c>
      <c r="D2257">
        <f t="shared" si="265"/>
        <v>9182</v>
      </c>
      <c r="H2257">
        <f t="shared" si="261"/>
        <v>3</v>
      </c>
      <c r="R2257">
        <v>42</v>
      </c>
      <c r="S2257">
        <v>1</v>
      </c>
      <c r="T2257" t="str">
        <f t="shared" si="259"/>
        <v>e</v>
      </c>
      <c r="AM2257" t="str">
        <f t="shared" si="262"/>
        <v>Pass</v>
      </c>
      <c r="AN2257" t="str">
        <f t="shared" si="263"/>
        <v>Pass_Completed</v>
      </c>
      <c r="AP2257" t="str">
        <f t="shared" si="264"/>
        <v>Offensive</v>
      </c>
      <c r="BB2257" s="23"/>
      <c r="BD2257" s="21"/>
      <c r="BE2257" s="21"/>
      <c r="BF2257" s="21"/>
      <c r="BG2257" s="21"/>
      <c r="BH2257" s="21"/>
      <c r="BI2257" s="21"/>
    </row>
    <row r="2258" spans="1:61" x14ac:dyDescent="0.2">
      <c r="A2258">
        <v>1160</v>
      </c>
      <c r="B2258">
        <v>182</v>
      </c>
      <c r="C2258">
        <f t="shared" si="260"/>
        <v>9182</v>
      </c>
      <c r="D2258">
        <f t="shared" si="265"/>
        <v>9182</v>
      </c>
      <c r="H2258">
        <f t="shared" si="261"/>
        <v>3</v>
      </c>
      <c r="R2258">
        <v>77</v>
      </c>
      <c r="T2258" t="str">
        <f t="shared" si="259"/>
        <v>o</v>
      </c>
      <c r="AJ2258">
        <v>1</v>
      </c>
      <c r="AM2258" t="str">
        <f t="shared" si="262"/>
        <v>Pass</v>
      </c>
      <c r="AN2258" t="str">
        <f t="shared" si="263"/>
        <v>Pass_Completed</v>
      </c>
      <c r="AP2258" t="str">
        <f t="shared" si="264"/>
        <v>Defensive</v>
      </c>
      <c r="BB2258" s="23"/>
      <c r="BD2258" s="21"/>
      <c r="BE2258" s="21"/>
      <c r="BF2258" s="21"/>
      <c r="BG2258" s="21"/>
      <c r="BH2258" s="21"/>
      <c r="BI2258" s="21"/>
    </row>
    <row r="2259" spans="1:61" x14ac:dyDescent="0.2">
      <c r="A2259">
        <v>1161</v>
      </c>
      <c r="B2259">
        <v>182</v>
      </c>
      <c r="C2259">
        <f t="shared" si="260"/>
        <v>9182</v>
      </c>
      <c r="D2259">
        <f t="shared" si="265"/>
        <v>9182</v>
      </c>
      <c r="H2259">
        <f t="shared" si="261"/>
        <v>3</v>
      </c>
      <c r="I2259" s="5" t="s">
        <v>743</v>
      </c>
      <c r="J2259" s="5" t="s">
        <v>622</v>
      </c>
      <c r="Q2259" t="s">
        <v>620</v>
      </c>
      <c r="R2259">
        <v>91</v>
      </c>
      <c r="S2259">
        <v>1</v>
      </c>
      <c r="T2259" t="str">
        <f t="shared" si="259"/>
        <v>e</v>
      </c>
      <c r="U2259" t="s">
        <v>257</v>
      </c>
      <c r="V2259" t="s">
        <v>201</v>
      </c>
      <c r="W2259" t="s">
        <v>91</v>
      </c>
      <c r="X2259" t="s">
        <v>706</v>
      </c>
      <c r="Y2259" t="s">
        <v>678</v>
      </c>
      <c r="AA2259" t="s">
        <v>706</v>
      </c>
      <c r="AF2259" t="s">
        <v>623</v>
      </c>
      <c r="AJ2259">
        <v>1</v>
      </c>
      <c r="AM2259" t="str">
        <f t="shared" si="262"/>
        <v>Zone_Entry_Exit</v>
      </c>
      <c r="AN2259" t="str">
        <f t="shared" si="263"/>
        <v>Zone_Exit</v>
      </c>
      <c r="AP2259" t="str">
        <f t="shared" si="264"/>
        <v>Offensive</v>
      </c>
      <c r="BB2259" s="23"/>
      <c r="BD2259" s="21"/>
      <c r="BE2259" s="21"/>
      <c r="BF2259" s="21"/>
      <c r="BG2259" s="21"/>
      <c r="BH2259" s="21"/>
      <c r="BI2259" s="21"/>
    </row>
    <row r="2260" spans="1:61" x14ac:dyDescent="0.2">
      <c r="A2260">
        <v>1161</v>
      </c>
      <c r="B2260">
        <v>182</v>
      </c>
      <c r="C2260">
        <f t="shared" si="260"/>
        <v>9182</v>
      </c>
      <c r="D2260">
        <f t="shared" si="265"/>
        <v>9182</v>
      </c>
      <c r="H2260">
        <f t="shared" si="261"/>
        <v>3</v>
      </c>
      <c r="R2260">
        <v>42</v>
      </c>
      <c r="S2260">
        <v>1</v>
      </c>
      <c r="T2260" t="str">
        <f t="shared" si="259"/>
        <v>e</v>
      </c>
      <c r="AM2260" t="str">
        <f t="shared" si="262"/>
        <v>Zone_Entry_Exit</v>
      </c>
      <c r="AN2260" t="str">
        <f t="shared" si="263"/>
        <v>Zone_Exit</v>
      </c>
      <c r="AP2260" t="str">
        <f t="shared" si="264"/>
        <v>Offensive</v>
      </c>
      <c r="BB2260" s="23"/>
      <c r="BD2260" s="21"/>
      <c r="BE2260" s="21"/>
      <c r="BF2260" s="21"/>
      <c r="BG2260" s="21"/>
      <c r="BH2260" s="21"/>
      <c r="BI2260" s="21"/>
    </row>
    <row r="2261" spans="1:61" x14ac:dyDescent="0.2">
      <c r="A2261">
        <v>1161</v>
      </c>
      <c r="B2261">
        <v>182</v>
      </c>
      <c r="C2261">
        <f t="shared" si="260"/>
        <v>9182</v>
      </c>
      <c r="D2261">
        <f t="shared" si="265"/>
        <v>9182</v>
      </c>
      <c r="H2261">
        <f t="shared" si="261"/>
        <v>3</v>
      </c>
      <c r="R2261">
        <v>77</v>
      </c>
      <c r="T2261" t="str">
        <f t="shared" si="259"/>
        <v>o</v>
      </c>
      <c r="AJ2261">
        <v>1</v>
      </c>
      <c r="AM2261" t="str">
        <f t="shared" si="262"/>
        <v>Zone_Entry_Exit</v>
      </c>
      <c r="AN2261" t="str">
        <f t="shared" si="263"/>
        <v>Zone_Exit</v>
      </c>
      <c r="AP2261" t="str">
        <f t="shared" si="264"/>
        <v>Defensive</v>
      </c>
      <c r="BB2261" s="23"/>
      <c r="BD2261" s="21"/>
      <c r="BE2261" s="21"/>
      <c r="BF2261" s="21"/>
      <c r="BG2261" s="21"/>
      <c r="BH2261" s="21"/>
      <c r="BI2261" s="21"/>
    </row>
    <row r="2262" spans="1:61" x14ac:dyDescent="0.2">
      <c r="A2262">
        <v>1162</v>
      </c>
      <c r="B2262" t="s">
        <v>887</v>
      </c>
      <c r="C2262" t="str">
        <f t="shared" si="260"/>
        <v/>
      </c>
      <c r="D2262" t="str">
        <f t="shared" si="265"/>
        <v/>
      </c>
      <c r="H2262">
        <f t="shared" si="261"/>
        <v>3</v>
      </c>
      <c r="I2262" s="5" t="s">
        <v>743</v>
      </c>
      <c r="J2262" s="5" t="s">
        <v>638</v>
      </c>
      <c r="K2262" s="5" t="s">
        <v>743</v>
      </c>
      <c r="L2262" s="7" t="s">
        <v>637</v>
      </c>
      <c r="Q2262" t="s">
        <v>620</v>
      </c>
      <c r="R2262">
        <v>42</v>
      </c>
      <c r="S2262">
        <v>1</v>
      </c>
      <c r="T2262" t="str">
        <f t="shared" si="259"/>
        <v>e</v>
      </c>
      <c r="U2262" t="s">
        <v>15</v>
      </c>
      <c r="AF2262" t="s">
        <v>635</v>
      </c>
      <c r="AM2262" t="str">
        <f t="shared" si="262"/>
        <v>Possession</v>
      </c>
      <c r="AN2262" t="str">
        <f t="shared" si="263"/>
        <v/>
      </c>
      <c r="AP2262" t="str">
        <f t="shared" si="264"/>
        <v>Offensive</v>
      </c>
      <c r="BB2262" s="23"/>
      <c r="BD2262" s="21"/>
      <c r="BE2262" s="21"/>
      <c r="BF2262" s="21"/>
      <c r="BG2262" s="21"/>
      <c r="BH2262" s="21"/>
      <c r="BI2262" s="21"/>
    </row>
    <row r="2263" spans="1:61" x14ac:dyDescent="0.2">
      <c r="A2263">
        <v>1163</v>
      </c>
      <c r="B2263" t="s">
        <v>887</v>
      </c>
      <c r="C2263" t="str">
        <f t="shared" si="260"/>
        <v/>
      </c>
      <c r="D2263" t="str">
        <f t="shared" si="265"/>
        <v/>
      </c>
      <c r="H2263">
        <f t="shared" si="261"/>
        <v>3</v>
      </c>
      <c r="I2263" s="5" t="s">
        <v>743</v>
      </c>
      <c r="J2263" s="5" t="s">
        <v>637</v>
      </c>
      <c r="K2263" s="5" t="s">
        <v>743</v>
      </c>
      <c r="L2263" s="7" t="s">
        <v>773</v>
      </c>
      <c r="Q2263" t="s">
        <v>620</v>
      </c>
      <c r="R2263">
        <v>42</v>
      </c>
      <c r="S2263">
        <v>1</v>
      </c>
      <c r="T2263" t="str">
        <f t="shared" si="259"/>
        <v>e</v>
      </c>
      <c r="U2263" t="s">
        <v>257</v>
      </c>
      <c r="V2263" t="s">
        <v>191</v>
      </c>
      <c r="W2263" t="s">
        <v>87</v>
      </c>
      <c r="X2263" t="s">
        <v>706</v>
      </c>
      <c r="Y2263" t="s">
        <v>728</v>
      </c>
      <c r="AA2263" t="s">
        <v>706</v>
      </c>
      <c r="AF2263" t="s">
        <v>401</v>
      </c>
      <c r="AJ2263">
        <v>1</v>
      </c>
      <c r="AM2263" t="str">
        <f t="shared" si="262"/>
        <v>Zone_Entry_Exit</v>
      </c>
      <c r="AN2263" t="str">
        <f t="shared" si="263"/>
        <v>Zone_Entry</v>
      </c>
      <c r="AP2263" t="str">
        <f t="shared" si="264"/>
        <v>Offensive</v>
      </c>
      <c r="BB2263" s="23"/>
      <c r="BD2263" s="21"/>
      <c r="BE2263" s="21"/>
      <c r="BF2263" s="21"/>
      <c r="BG2263" s="21"/>
      <c r="BH2263" s="21"/>
      <c r="BI2263" s="21"/>
    </row>
    <row r="2264" spans="1:61" x14ac:dyDescent="0.2">
      <c r="A2264">
        <v>1163</v>
      </c>
      <c r="B2264" t="s">
        <v>887</v>
      </c>
      <c r="C2264" t="str">
        <f t="shared" si="260"/>
        <v/>
      </c>
      <c r="D2264" t="str">
        <f t="shared" si="265"/>
        <v/>
      </c>
      <c r="H2264">
        <f t="shared" si="261"/>
        <v>3</v>
      </c>
      <c r="R2264">
        <v>18</v>
      </c>
      <c r="T2264" t="str">
        <f t="shared" si="259"/>
        <v>o</v>
      </c>
      <c r="AM2264" t="str">
        <f t="shared" si="262"/>
        <v>Zone_Entry_Exit</v>
      </c>
      <c r="AN2264" t="str">
        <f t="shared" si="263"/>
        <v>Zone_Entry</v>
      </c>
      <c r="AP2264" t="str">
        <f t="shared" si="264"/>
        <v>Defensive</v>
      </c>
      <c r="BB2264" s="23"/>
      <c r="BD2264" s="21"/>
      <c r="BE2264" s="21"/>
      <c r="BF2264" s="21"/>
      <c r="BG2264" s="21"/>
      <c r="BH2264" s="21"/>
      <c r="BI2264" s="21"/>
    </row>
    <row r="2265" spans="1:61" x14ac:dyDescent="0.2">
      <c r="A2265">
        <v>1163</v>
      </c>
      <c r="B2265" t="s">
        <v>887</v>
      </c>
      <c r="C2265" t="str">
        <f t="shared" si="260"/>
        <v/>
      </c>
      <c r="D2265" t="str">
        <f t="shared" si="265"/>
        <v/>
      </c>
      <c r="H2265">
        <f t="shared" si="261"/>
        <v>3</v>
      </c>
      <c r="R2265">
        <v>44</v>
      </c>
      <c r="T2265" t="str">
        <f t="shared" si="259"/>
        <v>o</v>
      </c>
      <c r="AJ2265">
        <v>1</v>
      </c>
      <c r="AM2265" t="str">
        <f t="shared" si="262"/>
        <v>Zone_Entry_Exit</v>
      </c>
      <c r="AN2265" t="str">
        <f t="shared" si="263"/>
        <v>Zone_Entry</v>
      </c>
      <c r="AP2265" t="str">
        <f t="shared" si="264"/>
        <v>Defensive</v>
      </c>
      <c r="BB2265" s="23"/>
      <c r="BD2265" s="21"/>
      <c r="BE2265" s="21"/>
      <c r="BF2265" s="21"/>
      <c r="BG2265" s="21"/>
      <c r="BH2265" s="21"/>
      <c r="BI2265" s="21"/>
    </row>
    <row r="2266" spans="1:61" x14ac:dyDescent="0.2">
      <c r="A2266">
        <v>1164</v>
      </c>
      <c r="B2266" t="s">
        <v>887</v>
      </c>
      <c r="C2266" t="str">
        <f t="shared" si="260"/>
        <v/>
      </c>
      <c r="D2266" t="str">
        <f t="shared" si="265"/>
        <v/>
      </c>
      <c r="H2266">
        <f t="shared" si="261"/>
        <v>3</v>
      </c>
      <c r="I2266" s="5" t="s">
        <v>743</v>
      </c>
      <c r="J2266" s="5" t="s">
        <v>773</v>
      </c>
      <c r="K2266" s="5" t="s">
        <v>743</v>
      </c>
      <c r="L2266" s="7" t="s">
        <v>753</v>
      </c>
      <c r="Q2266" t="s">
        <v>620</v>
      </c>
      <c r="R2266">
        <v>42</v>
      </c>
      <c r="S2266">
        <v>1</v>
      </c>
      <c r="T2266" t="str">
        <f t="shared" si="259"/>
        <v>e</v>
      </c>
      <c r="U2266" t="s">
        <v>15</v>
      </c>
      <c r="Y2266" t="s">
        <v>728</v>
      </c>
      <c r="AF2266" t="s">
        <v>401</v>
      </c>
      <c r="AM2266" t="str">
        <f t="shared" si="262"/>
        <v>Possession</v>
      </c>
      <c r="AN2266" t="str">
        <f t="shared" si="263"/>
        <v/>
      </c>
      <c r="AP2266" t="str">
        <f t="shared" si="264"/>
        <v>Offensive</v>
      </c>
      <c r="BB2266" s="23"/>
      <c r="BD2266" s="21"/>
      <c r="BE2266" s="21"/>
      <c r="BF2266" s="21"/>
      <c r="BG2266" s="21"/>
      <c r="BH2266" s="21"/>
      <c r="BI2266" s="21"/>
    </row>
    <row r="2267" spans="1:61" x14ac:dyDescent="0.2">
      <c r="A2267">
        <v>1164</v>
      </c>
      <c r="B2267" t="s">
        <v>887</v>
      </c>
      <c r="C2267" t="str">
        <f t="shared" si="260"/>
        <v/>
      </c>
      <c r="D2267" t="str">
        <f t="shared" si="265"/>
        <v/>
      </c>
      <c r="H2267">
        <f t="shared" si="261"/>
        <v>3</v>
      </c>
      <c r="R2267">
        <v>13</v>
      </c>
      <c r="T2267" t="str">
        <f t="shared" si="259"/>
        <v>o</v>
      </c>
      <c r="AM2267" t="str">
        <f t="shared" si="262"/>
        <v>Possession</v>
      </c>
      <c r="AN2267" t="str">
        <f t="shared" si="263"/>
        <v/>
      </c>
      <c r="AP2267" t="str">
        <f t="shared" si="264"/>
        <v>Defensive</v>
      </c>
      <c r="BB2267" s="23"/>
      <c r="BD2267" s="21"/>
      <c r="BE2267" s="21"/>
      <c r="BF2267" s="21"/>
      <c r="BG2267" s="21"/>
      <c r="BH2267" s="21"/>
      <c r="BI2267" s="21"/>
    </row>
    <row r="2268" spans="1:61" x14ac:dyDescent="0.2">
      <c r="A2268">
        <v>1165</v>
      </c>
      <c r="B2268" t="s">
        <v>887</v>
      </c>
      <c r="C2268" t="str">
        <f t="shared" si="260"/>
        <v/>
      </c>
      <c r="D2268" t="str">
        <f t="shared" si="265"/>
        <v/>
      </c>
      <c r="H2268">
        <f t="shared" si="261"/>
        <v>3</v>
      </c>
      <c r="I2268" s="5" t="s">
        <v>743</v>
      </c>
      <c r="J2268" s="5" t="s">
        <v>640</v>
      </c>
      <c r="Q2268" t="s">
        <v>620</v>
      </c>
      <c r="R2268">
        <v>42</v>
      </c>
      <c r="S2268">
        <v>1</v>
      </c>
      <c r="T2268" t="str">
        <f t="shared" si="259"/>
        <v>e</v>
      </c>
      <c r="U2268" t="s">
        <v>8</v>
      </c>
      <c r="V2268" t="s">
        <v>189</v>
      </c>
      <c r="W2268" t="s">
        <v>70</v>
      </c>
      <c r="X2268" t="s">
        <v>706</v>
      </c>
      <c r="AF2268" t="s">
        <v>401</v>
      </c>
      <c r="AJ2268">
        <v>1</v>
      </c>
      <c r="AM2268" t="str">
        <f t="shared" si="262"/>
        <v>Pass</v>
      </c>
      <c r="AN2268" t="str">
        <f t="shared" si="263"/>
        <v>Pass_Completed</v>
      </c>
      <c r="AP2268" t="str">
        <f t="shared" si="264"/>
        <v>Offensive</v>
      </c>
      <c r="BB2268" s="23"/>
      <c r="BD2268" s="21"/>
      <c r="BE2268" s="21"/>
      <c r="BF2268" s="21"/>
      <c r="BG2268" s="21"/>
      <c r="BH2268" s="21"/>
      <c r="BI2268" s="21"/>
    </row>
    <row r="2269" spans="1:61" x14ac:dyDescent="0.2">
      <c r="A2269">
        <v>1165</v>
      </c>
      <c r="B2269" t="s">
        <v>887</v>
      </c>
      <c r="C2269" t="str">
        <f t="shared" si="260"/>
        <v/>
      </c>
      <c r="D2269" t="str">
        <f t="shared" si="265"/>
        <v/>
      </c>
      <c r="H2269">
        <f t="shared" si="261"/>
        <v>3</v>
      </c>
      <c r="R2269">
        <v>91</v>
      </c>
      <c r="S2269">
        <v>1</v>
      </c>
      <c r="T2269" t="str">
        <f t="shared" si="259"/>
        <v>e</v>
      </c>
      <c r="AM2269" t="str">
        <f t="shared" si="262"/>
        <v>Pass</v>
      </c>
      <c r="AN2269" t="str">
        <f t="shared" si="263"/>
        <v>Pass_Completed</v>
      </c>
      <c r="AP2269" t="str">
        <f t="shared" si="264"/>
        <v>Offensive</v>
      </c>
      <c r="BB2269" s="23"/>
      <c r="BD2269" s="21"/>
      <c r="BE2269" s="21"/>
      <c r="BF2269" s="21"/>
      <c r="BG2269" s="21"/>
      <c r="BH2269" s="21"/>
      <c r="BI2269" s="21"/>
    </row>
    <row r="2270" spans="1:61" x14ac:dyDescent="0.2">
      <c r="A2270">
        <v>1165</v>
      </c>
      <c r="B2270" t="s">
        <v>887</v>
      </c>
      <c r="C2270" t="str">
        <f t="shared" si="260"/>
        <v/>
      </c>
      <c r="D2270" t="str">
        <f t="shared" si="265"/>
        <v/>
      </c>
      <c r="H2270">
        <f t="shared" si="261"/>
        <v>3</v>
      </c>
      <c r="R2270">
        <v>77</v>
      </c>
      <c r="T2270" t="str">
        <f t="shared" si="259"/>
        <v>o</v>
      </c>
      <c r="AJ2270">
        <v>1</v>
      </c>
      <c r="AM2270" t="str">
        <f t="shared" si="262"/>
        <v>Pass</v>
      </c>
      <c r="AN2270" t="str">
        <f t="shared" si="263"/>
        <v>Pass_Completed</v>
      </c>
      <c r="AP2270" t="str">
        <f t="shared" si="264"/>
        <v>Defensive</v>
      </c>
      <c r="BB2270" s="23"/>
      <c r="BD2270" s="21"/>
      <c r="BE2270" s="21"/>
      <c r="BF2270" s="21"/>
      <c r="BG2270" s="21"/>
      <c r="BH2270" s="21"/>
      <c r="BI2270" s="21"/>
    </row>
    <row r="2271" spans="1:61" x14ac:dyDescent="0.2">
      <c r="A2271">
        <v>1166</v>
      </c>
      <c r="B2271">
        <v>183</v>
      </c>
      <c r="C2271">
        <f t="shared" si="260"/>
        <v>9183</v>
      </c>
      <c r="D2271">
        <f t="shared" si="265"/>
        <v>9183</v>
      </c>
      <c r="H2271">
        <f t="shared" si="261"/>
        <v>3</v>
      </c>
      <c r="I2271" s="5" t="s">
        <v>743</v>
      </c>
      <c r="J2271" s="5" t="s">
        <v>789</v>
      </c>
      <c r="Q2271" t="s">
        <v>620</v>
      </c>
      <c r="R2271">
        <v>91</v>
      </c>
      <c r="S2271">
        <v>1</v>
      </c>
      <c r="T2271" t="str">
        <f t="shared" si="259"/>
        <v>e</v>
      </c>
      <c r="U2271" t="s">
        <v>7</v>
      </c>
      <c r="V2271" t="s">
        <v>208</v>
      </c>
      <c r="W2271" t="s">
        <v>53</v>
      </c>
      <c r="X2271" t="s">
        <v>705</v>
      </c>
      <c r="AF2271" t="s">
        <v>401</v>
      </c>
      <c r="AJ2271">
        <v>1</v>
      </c>
      <c r="AM2271" t="str">
        <f t="shared" si="262"/>
        <v>Shot</v>
      </c>
      <c r="AN2271" t="str">
        <f t="shared" si="263"/>
        <v>Shot_Blocked</v>
      </c>
      <c r="AP2271" t="str">
        <f t="shared" si="264"/>
        <v>Offensive</v>
      </c>
      <c r="BB2271" s="23"/>
      <c r="BD2271" s="21"/>
      <c r="BE2271" s="21"/>
      <c r="BF2271" s="21"/>
      <c r="BG2271" s="21"/>
      <c r="BH2271" s="21"/>
      <c r="BI2271" s="21"/>
    </row>
    <row r="2272" spans="1:61" x14ac:dyDescent="0.2">
      <c r="A2272">
        <v>1166</v>
      </c>
      <c r="B2272">
        <v>183</v>
      </c>
      <c r="C2272">
        <f t="shared" si="260"/>
        <v>9183</v>
      </c>
      <c r="D2272">
        <f t="shared" si="265"/>
        <v>9183</v>
      </c>
      <c r="H2272">
        <f t="shared" si="261"/>
        <v>3</v>
      </c>
      <c r="R2272">
        <v>44</v>
      </c>
      <c r="T2272" t="str">
        <f t="shared" si="259"/>
        <v>o</v>
      </c>
      <c r="Y2272" t="s">
        <v>681</v>
      </c>
      <c r="AA2272" t="s">
        <v>706</v>
      </c>
      <c r="AM2272" t="str">
        <f t="shared" si="262"/>
        <v>Shot</v>
      </c>
      <c r="AN2272" t="str">
        <f t="shared" si="263"/>
        <v>Shot_Blocked</v>
      </c>
      <c r="AP2272" t="str">
        <f t="shared" si="264"/>
        <v>Defensive</v>
      </c>
      <c r="BB2272" s="23"/>
      <c r="BD2272" s="21"/>
      <c r="BE2272" s="21"/>
      <c r="BF2272" s="21"/>
      <c r="BG2272" s="21"/>
      <c r="BH2272" s="21"/>
      <c r="BI2272" s="21"/>
    </row>
    <row r="2273" spans="1:61" x14ac:dyDescent="0.2">
      <c r="A2273">
        <v>1166</v>
      </c>
      <c r="B2273">
        <v>183</v>
      </c>
      <c r="C2273">
        <f t="shared" si="260"/>
        <v>9183</v>
      </c>
      <c r="D2273">
        <f t="shared" si="265"/>
        <v>9183</v>
      </c>
      <c r="H2273">
        <f t="shared" si="261"/>
        <v>3</v>
      </c>
      <c r="R2273">
        <v>68</v>
      </c>
      <c r="T2273" t="str">
        <f t="shared" si="259"/>
        <v>o</v>
      </c>
      <c r="Y2273" t="s">
        <v>715</v>
      </c>
      <c r="AJ2273">
        <v>1</v>
      </c>
      <c r="AM2273" t="str">
        <f t="shared" si="262"/>
        <v>Shot</v>
      </c>
      <c r="AN2273" t="str">
        <f t="shared" si="263"/>
        <v>Shot_Blocked</v>
      </c>
      <c r="AP2273" t="str">
        <f t="shared" si="264"/>
        <v>Defensive</v>
      </c>
      <c r="BB2273" s="23"/>
      <c r="BD2273" s="21"/>
      <c r="BE2273" s="21"/>
      <c r="BF2273" s="21"/>
      <c r="BG2273" s="21"/>
      <c r="BH2273" s="21"/>
      <c r="BI2273" s="21"/>
    </row>
    <row r="2274" spans="1:61" x14ac:dyDescent="0.2">
      <c r="A2274">
        <v>1166</v>
      </c>
      <c r="B2274">
        <v>183</v>
      </c>
      <c r="C2274">
        <f t="shared" si="260"/>
        <v>9183</v>
      </c>
      <c r="D2274">
        <f t="shared" si="265"/>
        <v>9183</v>
      </c>
      <c r="H2274">
        <f t="shared" si="261"/>
        <v>3</v>
      </c>
      <c r="R2274">
        <v>13</v>
      </c>
      <c r="T2274" t="str">
        <f t="shared" si="259"/>
        <v>o</v>
      </c>
      <c r="Y2274" t="s">
        <v>715</v>
      </c>
      <c r="AJ2274">
        <v>1</v>
      </c>
      <c r="AM2274" t="str">
        <f t="shared" si="262"/>
        <v>Shot</v>
      </c>
      <c r="AN2274" t="str">
        <f t="shared" si="263"/>
        <v>Shot_Blocked</v>
      </c>
      <c r="AP2274" t="str">
        <f t="shared" si="264"/>
        <v>Defensive</v>
      </c>
      <c r="BB2274" s="23"/>
      <c r="BD2274" s="21"/>
      <c r="BE2274" s="21"/>
      <c r="BF2274" s="21"/>
      <c r="BG2274" s="21"/>
      <c r="BH2274" s="21"/>
      <c r="BI2274" s="21"/>
    </row>
    <row r="2275" spans="1:61" x14ac:dyDescent="0.2">
      <c r="A2275">
        <v>1167</v>
      </c>
      <c r="B2275">
        <v>183</v>
      </c>
      <c r="C2275">
        <f t="shared" si="260"/>
        <v>9183</v>
      </c>
      <c r="D2275">
        <f t="shared" si="265"/>
        <v>9183</v>
      </c>
      <c r="H2275">
        <f t="shared" si="261"/>
        <v>3</v>
      </c>
      <c r="I2275" s="5" t="s">
        <v>743</v>
      </c>
      <c r="J2275" s="5" t="s">
        <v>789</v>
      </c>
      <c r="Q2275" t="s">
        <v>620</v>
      </c>
      <c r="R2275">
        <v>91</v>
      </c>
      <c r="S2275">
        <v>1</v>
      </c>
      <c r="T2275" t="str">
        <f t="shared" si="259"/>
        <v>e</v>
      </c>
      <c r="U2275" t="s">
        <v>10</v>
      </c>
      <c r="V2275" t="s">
        <v>190</v>
      </c>
      <c r="W2275" t="s">
        <v>78</v>
      </c>
      <c r="X2275" t="s">
        <v>705</v>
      </c>
      <c r="AF2275" t="s">
        <v>401</v>
      </c>
      <c r="AM2275" t="str">
        <f t="shared" si="262"/>
        <v>Turnover</v>
      </c>
      <c r="AN2275" t="str">
        <f t="shared" si="263"/>
        <v>Turnover_Giveaway</v>
      </c>
      <c r="AP2275" t="str">
        <f t="shared" si="264"/>
        <v>Offensive</v>
      </c>
      <c r="BB2275" s="23"/>
      <c r="BD2275" s="21"/>
      <c r="BE2275" s="21"/>
      <c r="BF2275" s="21"/>
      <c r="BG2275" s="21"/>
      <c r="BH2275" s="21"/>
      <c r="BI2275" s="21"/>
    </row>
    <row r="2276" spans="1:61" x14ac:dyDescent="0.2">
      <c r="A2276">
        <v>1167</v>
      </c>
      <c r="B2276">
        <v>183</v>
      </c>
      <c r="C2276">
        <f t="shared" si="260"/>
        <v>9183</v>
      </c>
      <c r="D2276">
        <f t="shared" si="265"/>
        <v>9183</v>
      </c>
      <c r="H2276">
        <f t="shared" si="261"/>
        <v>3</v>
      </c>
      <c r="R2276">
        <v>44</v>
      </c>
      <c r="T2276" t="str">
        <f t="shared" si="259"/>
        <v>o</v>
      </c>
      <c r="Y2276" t="s">
        <v>681</v>
      </c>
      <c r="AA2276" t="s">
        <v>706</v>
      </c>
      <c r="AM2276" t="str">
        <f t="shared" si="262"/>
        <v>Turnover</v>
      </c>
      <c r="AN2276" t="str">
        <f t="shared" si="263"/>
        <v>Turnover_Giveaway</v>
      </c>
      <c r="AP2276" t="str">
        <f t="shared" si="264"/>
        <v>Defensive</v>
      </c>
      <c r="BB2276" s="23"/>
      <c r="BD2276" s="21"/>
      <c r="BE2276" s="21"/>
      <c r="BF2276" s="21"/>
      <c r="BG2276" s="21"/>
      <c r="BH2276" s="21"/>
      <c r="BI2276" s="21"/>
    </row>
    <row r="2277" spans="1:61" x14ac:dyDescent="0.2">
      <c r="A2277">
        <v>1168</v>
      </c>
      <c r="B2277" t="s">
        <v>887</v>
      </c>
      <c r="C2277" t="str">
        <f t="shared" si="260"/>
        <v/>
      </c>
      <c r="D2277" t="str">
        <f t="shared" si="265"/>
        <v/>
      </c>
      <c r="H2277">
        <f t="shared" si="261"/>
        <v>3</v>
      </c>
      <c r="I2277" s="5" t="s">
        <v>743</v>
      </c>
      <c r="J2277" s="5" t="s">
        <v>810</v>
      </c>
      <c r="Q2277" t="s">
        <v>619</v>
      </c>
      <c r="R2277">
        <v>44</v>
      </c>
      <c r="S2277">
        <v>1</v>
      </c>
      <c r="T2277" t="str">
        <f t="shared" si="259"/>
        <v>e</v>
      </c>
      <c r="U2277" t="s">
        <v>15</v>
      </c>
      <c r="V2277" t="s">
        <v>697</v>
      </c>
      <c r="X2277" t="s">
        <v>705</v>
      </c>
      <c r="Y2277" t="s">
        <v>683</v>
      </c>
      <c r="AA2277" t="s">
        <v>705</v>
      </c>
      <c r="AF2277" t="s">
        <v>623</v>
      </c>
      <c r="AM2277" t="str">
        <f t="shared" si="262"/>
        <v>Possession</v>
      </c>
      <c r="AN2277" t="str">
        <f t="shared" si="263"/>
        <v>PuckRetrieval</v>
      </c>
      <c r="AP2277" t="str">
        <f t="shared" si="264"/>
        <v>Offensive</v>
      </c>
      <c r="BB2277" s="23"/>
      <c r="BD2277" s="21"/>
      <c r="BE2277" s="21"/>
      <c r="BF2277" s="21"/>
      <c r="BG2277" s="21"/>
      <c r="BH2277" s="21"/>
      <c r="BI2277" s="21"/>
    </row>
    <row r="2278" spans="1:61" x14ac:dyDescent="0.2">
      <c r="A2278">
        <v>1169</v>
      </c>
      <c r="B2278" t="s">
        <v>887</v>
      </c>
      <c r="C2278" t="str">
        <f t="shared" si="260"/>
        <v/>
      </c>
      <c r="D2278" t="str">
        <f t="shared" si="265"/>
        <v/>
      </c>
      <c r="H2278">
        <f t="shared" si="261"/>
        <v>3</v>
      </c>
      <c r="I2278" s="5" t="s">
        <v>743</v>
      </c>
      <c r="J2278" s="5" t="s">
        <v>810</v>
      </c>
      <c r="Q2278" t="s">
        <v>619</v>
      </c>
      <c r="R2278">
        <v>44</v>
      </c>
      <c r="S2278">
        <v>1</v>
      </c>
      <c r="T2278" t="str">
        <f t="shared" si="259"/>
        <v>e</v>
      </c>
      <c r="U2278" t="s">
        <v>257</v>
      </c>
      <c r="V2278" t="s">
        <v>201</v>
      </c>
      <c r="W2278" t="s">
        <v>92</v>
      </c>
      <c r="X2278" t="s">
        <v>705</v>
      </c>
      <c r="AF2278" t="s">
        <v>623</v>
      </c>
      <c r="AM2278" t="str">
        <f t="shared" si="262"/>
        <v>Zone_Entry_Exit</v>
      </c>
      <c r="AN2278" t="str">
        <f t="shared" si="263"/>
        <v>Zone_Exit</v>
      </c>
      <c r="AP2278" t="str">
        <f t="shared" si="264"/>
        <v>Offensive</v>
      </c>
      <c r="BB2278" s="23"/>
      <c r="BD2278" s="21"/>
      <c r="BE2278" s="21"/>
      <c r="BF2278" s="21"/>
      <c r="BG2278" s="21"/>
      <c r="BH2278" s="21"/>
      <c r="BI2278" s="21"/>
    </row>
    <row r="2279" spans="1:61" x14ac:dyDescent="0.2">
      <c r="A2279">
        <v>1170</v>
      </c>
      <c r="B2279" t="s">
        <v>887</v>
      </c>
      <c r="C2279" t="str">
        <f t="shared" si="260"/>
        <v/>
      </c>
      <c r="D2279" t="str">
        <f t="shared" si="265"/>
        <v/>
      </c>
      <c r="H2279">
        <f t="shared" si="261"/>
        <v>3</v>
      </c>
      <c r="I2279" s="5" t="s">
        <v>743</v>
      </c>
      <c r="J2279" s="5" t="s">
        <v>810</v>
      </c>
      <c r="Q2279" t="s">
        <v>619</v>
      </c>
      <c r="R2279">
        <v>44</v>
      </c>
      <c r="S2279">
        <v>1</v>
      </c>
      <c r="T2279" t="str">
        <f t="shared" si="259"/>
        <v>e</v>
      </c>
      <c r="U2279" t="s">
        <v>10</v>
      </c>
      <c r="V2279" t="s">
        <v>190</v>
      </c>
      <c r="W2279" t="s">
        <v>387</v>
      </c>
      <c r="X2279" t="s">
        <v>705</v>
      </c>
      <c r="AF2279" t="s">
        <v>623</v>
      </c>
      <c r="AM2279" t="str">
        <f t="shared" si="262"/>
        <v>Turnover</v>
      </c>
      <c r="AN2279" t="str">
        <f t="shared" si="263"/>
        <v>Turnover_Giveaway</v>
      </c>
      <c r="AP2279" t="str">
        <f t="shared" si="264"/>
        <v>Offensive</v>
      </c>
      <c r="BB2279" s="23"/>
      <c r="BD2279" s="21"/>
      <c r="BE2279" s="21"/>
      <c r="BF2279" s="21"/>
      <c r="BG2279" s="21"/>
      <c r="BH2279" s="21"/>
      <c r="BI2279" s="21"/>
    </row>
    <row r="2280" spans="1:61" x14ac:dyDescent="0.2">
      <c r="A2280">
        <v>1171</v>
      </c>
      <c r="B2280" t="s">
        <v>887</v>
      </c>
      <c r="C2280" t="str">
        <f t="shared" si="260"/>
        <v/>
      </c>
      <c r="D2280" t="str">
        <f t="shared" si="265"/>
        <v/>
      </c>
      <c r="H2280">
        <f t="shared" si="261"/>
        <v>3</v>
      </c>
      <c r="I2280" s="5" t="s">
        <v>743</v>
      </c>
      <c r="J2280" s="5" t="s">
        <v>713</v>
      </c>
      <c r="K2280" s="5" t="s">
        <v>743</v>
      </c>
      <c r="L2280" s="7" t="s">
        <v>716</v>
      </c>
      <c r="Q2280" t="s">
        <v>620</v>
      </c>
      <c r="R2280">
        <v>91</v>
      </c>
      <c r="S2280">
        <v>1</v>
      </c>
      <c r="T2280" t="str">
        <f t="shared" si="259"/>
        <v>e</v>
      </c>
      <c r="U2280" t="s">
        <v>15</v>
      </c>
      <c r="V2280" t="s">
        <v>697</v>
      </c>
      <c r="X2280" t="s">
        <v>705</v>
      </c>
      <c r="Y2280" t="s">
        <v>712</v>
      </c>
      <c r="AA2280" t="s">
        <v>705</v>
      </c>
      <c r="AF2280" t="s">
        <v>635</v>
      </c>
      <c r="AM2280" t="str">
        <f t="shared" si="262"/>
        <v>Possession</v>
      </c>
      <c r="AN2280" t="str">
        <f t="shared" si="263"/>
        <v>PuckRetrieval</v>
      </c>
      <c r="AP2280" t="str">
        <f t="shared" si="264"/>
        <v>Offensive</v>
      </c>
      <c r="BB2280" s="23"/>
      <c r="BD2280" s="21"/>
      <c r="BE2280" s="21"/>
      <c r="BF2280" s="21"/>
      <c r="BG2280" s="21"/>
      <c r="BH2280" s="21"/>
      <c r="BI2280" s="21"/>
    </row>
    <row r="2281" spans="1:61" x14ac:dyDescent="0.2">
      <c r="A2281">
        <v>1172</v>
      </c>
      <c r="B2281">
        <v>184</v>
      </c>
      <c r="C2281">
        <f t="shared" si="260"/>
        <v>9184</v>
      </c>
      <c r="D2281">
        <f t="shared" si="265"/>
        <v>9184</v>
      </c>
      <c r="H2281">
        <f t="shared" si="261"/>
        <v>3</v>
      </c>
      <c r="I2281" s="5" t="s">
        <v>743</v>
      </c>
      <c r="J2281" s="5" t="s">
        <v>716</v>
      </c>
      <c r="Q2281" t="s">
        <v>620</v>
      </c>
      <c r="R2281">
        <v>91</v>
      </c>
      <c r="S2281">
        <v>1</v>
      </c>
      <c r="T2281" t="str">
        <f t="shared" si="259"/>
        <v>e</v>
      </c>
      <c r="U2281" t="s">
        <v>257</v>
      </c>
      <c r="V2281" t="s">
        <v>191</v>
      </c>
      <c r="W2281" t="s">
        <v>89</v>
      </c>
      <c r="X2281" t="s">
        <v>705</v>
      </c>
      <c r="Y2281" t="s">
        <v>718</v>
      </c>
      <c r="AA2281" t="s">
        <v>705</v>
      </c>
      <c r="AF2281" t="s">
        <v>635</v>
      </c>
      <c r="AM2281" t="str">
        <f t="shared" si="262"/>
        <v>Zone_Entry_Exit</v>
      </c>
      <c r="AN2281" t="str">
        <f t="shared" si="263"/>
        <v>Zone_Entry</v>
      </c>
      <c r="AP2281" t="str">
        <f t="shared" si="264"/>
        <v>Offensive</v>
      </c>
      <c r="BB2281" s="23"/>
      <c r="BD2281" s="21"/>
      <c r="BE2281" s="21"/>
      <c r="BF2281" s="21"/>
      <c r="BG2281" s="21"/>
      <c r="BH2281" s="21"/>
      <c r="BI2281" s="21"/>
    </row>
    <row r="2282" spans="1:61" x14ac:dyDescent="0.2">
      <c r="A2282">
        <v>1173</v>
      </c>
      <c r="B2282">
        <v>184</v>
      </c>
      <c r="C2282">
        <f t="shared" si="260"/>
        <v>9184</v>
      </c>
      <c r="D2282">
        <f t="shared" si="265"/>
        <v>9184</v>
      </c>
      <c r="H2282">
        <f t="shared" si="261"/>
        <v>3</v>
      </c>
      <c r="I2282" s="5" t="s">
        <v>743</v>
      </c>
      <c r="J2282" s="5" t="s">
        <v>716</v>
      </c>
      <c r="Q2282" t="s">
        <v>620</v>
      </c>
      <c r="R2282">
        <v>91</v>
      </c>
      <c r="S2282">
        <v>1</v>
      </c>
      <c r="T2282" t="str">
        <f t="shared" si="259"/>
        <v>e</v>
      </c>
      <c r="U2282" t="s">
        <v>10</v>
      </c>
      <c r="V2282" t="s">
        <v>190</v>
      </c>
      <c r="W2282" t="s">
        <v>387</v>
      </c>
      <c r="X2282" t="s">
        <v>705</v>
      </c>
      <c r="Y2282" t="s">
        <v>718</v>
      </c>
      <c r="AA2282" t="s">
        <v>705</v>
      </c>
      <c r="AF2282" t="s">
        <v>635</v>
      </c>
      <c r="AM2282" t="str">
        <f t="shared" si="262"/>
        <v>Turnover</v>
      </c>
      <c r="AN2282" t="str">
        <f t="shared" si="263"/>
        <v>Turnover_Giveaway</v>
      </c>
      <c r="AP2282" t="str">
        <f t="shared" si="264"/>
        <v>Offensive</v>
      </c>
      <c r="BB2282" s="23"/>
      <c r="BD2282" s="21"/>
      <c r="BE2282" s="21"/>
      <c r="BF2282" s="21"/>
      <c r="BG2282" s="21"/>
      <c r="BH2282" s="21"/>
      <c r="BI2282" s="21"/>
    </row>
    <row r="2283" spans="1:61" x14ac:dyDescent="0.2">
      <c r="A2283">
        <v>1174</v>
      </c>
      <c r="B2283" t="s">
        <v>887</v>
      </c>
      <c r="C2283" t="str">
        <f t="shared" si="260"/>
        <v/>
      </c>
      <c r="D2283" t="str">
        <f t="shared" si="265"/>
        <v/>
      </c>
      <c r="H2283">
        <f t="shared" si="261"/>
        <v>3</v>
      </c>
      <c r="I2283" s="5" t="s">
        <v>743</v>
      </c>
      <c r="J2283" s="5" t="s">
        <v>811</v>
      </c>
      <c r="K2283" s="5" t="s">
        <v>743</v>
      </c>
      <c r="L2283" s="7" t="s">
        <v>776</v>
      </c>
      <c r="Q2283" t="s">
        <v>619</v>
      </c>
      <c r="R2283">
        <v>18</v>
      </c>
      <c r="S2283">
        <v>1</v>
      </c>
      <c r="T2283" t="str">
        <f t="shared" si="259"/>
        <v>e</v>
      </c>
      <c r="U2283" t="s">
        <v>15</v>
      </c>
      <c r="V2283" t="s">
        <v>697</v>
      </c>
      <c r="X2283" t="s">
        <v>706</v>
      </c>
      <c r="Y2283" t="s">
        <v>720</v>
      </c>
      <c r="AA2283" t="s">
        <v>706</v>
      </c>
      <c r="AF2283" t="s">
        <v>623</v>
      </c>
      <c r="AM2283" t="str">
        <f t="shared" si="262"/>
        <v>Possession</v>
      </c>
      <c r="AN2283" t="str">
        <f t="shared" si="263"/>
        <v>PuckRetrieval</v>
      </c>
      <c r="AP2283" t="str">
        <f t="shared" si="264"/>
        <v>Offensive</v>
      </c>
      <c r="BB2283" s="23"/>
      <c r="BD2283" s="21"/>
      <c r="BE2283" s="21"/>
      <c r="BF2283" s="21"/>
      <c r="BG2283" s="21"/>
      <c r="BH2283" s="21"/>
      <c r="BI2283" s="21"/>
    </row>
    <row r="2284" spans="1:61" x14ac:dyDescent="0.2">
      <c r="A2284">
        <v>1175</v>
      </c>
      <c r="B2284">
        <v>185</v>
      </c>
      <c r="C2284">
        <f t="shared" si="260"/>
        <v>9185</v>
      </c>
      <c r="D2284">
        <f t="shared" si="265"/>
        <v>9185</v>
      </c>
      <c r="H2284">
        <f t="shared" si="261"/>
        <v>3</v>
      </c>
      <c r="I2284" s="5" t="s">
        <v>743</v>
      </c>
      <c r="J2284" s="5" t="s">
        <v>717</v>
      </c>
      <c r="Q2284" t="s">
        <v>619</v>
      </c>
      <c r="R2284">
        <v>18</v>
      </c>
      <c r="S2284">
        <v>1</v>
      </c>
      <c r="T2284" t="str">
        <f t="shared" si="259"/>
        <v>e</v>
      </c>
      <c r="U2284" t="s">
        <v>8</v>
      </c>
      <c r="V2284" t="s">
        <v>189</v>
      </c>
      <c r="W2284" t="s">
        <v>67</v>
      </c>
      <c r="X2284" t="s">
        <v>706</v>
      </c>
      <c r="Y2284" t="s">
        <v>678</v>
      </c>
      <c r="Z2284" t="s">
        <v>814</v>
      </c>
      <c r="AA2284" t="s">
        <v>706</v>
      </c>
      <c r="AF2284" t="s">
        <v>623</v>
      </c>
      <c r="AM2284" t="str">
        <f t="shared" si="262"/>
        <v>Pass</v>
      </c>
      <c r="AN2284" t="str">
        <f t="shared" si="263"/>
        <v>Pass_Completed</v>
      </c>
      <c r="AP2284" t="str">
        <f t="shared" si="264"/>
        <v>Offensive</v>
      </c>
      <c r="BB2284" s="23"/>
      <c r="BD2284" s="21"/>
      <c r="BE2284" s="21"/>
      <c r="BF2284" s="21"/>
      <c r="BG2284" s="21"/>
      <c r="BH2284" s="21"/>
      <c r="BI2284" s="21"/>
    </row>
    <row r="2285" spans="1:61" x14ac:dyDescent="0.2">
      <c r="A2285">
        <v>1175</v>
      </c>
      <c r="B2285">
        <v>185</v>
      </c>
      <c r="C2285">
        <f t="shared" si="260"/>
        <v>9185</v>
      </c>
      <c r="D2285">
        <f t="shared" si="265"/>
        <v>9185</v>
      </c>
      <c r="H2285">
        <f t="shared" si="261"/>
        <v>3</v>
      </c>
      <c r="R2285">
        <v>77</v>
      </c>
      <c r="S2285">
        <v>1</v>
      </c>
      <c r="T2285" t="str">
        <f t="shared" si="259"/>
        <v>e</v>
      </c>
      <c r="AM2285" t="str">
        <f t="shared" si="262"/>
        <v>Pass</v>
      </c>
      <c r="AN2285" t="str">
        <f t="shared" si="263"/>
        <v>Pass_Completed</v>
      </c>
      <c r="AP2285" t="str">
        <f t="shared" si="264"/>
        <v>Offensive</v>
      </c>
      <c r="BB2285" s="23"/>
      <c r="BD2285" s="21"/>
      <c r="BE2285" s="21"/>
      <c r="BF2285" s="21"/>
      <c r="BG2285" s="21"/>
      <c r="BH2285" s="21"/>
      <c r="BI2285" s="21"/>
    </row>
    <row r="2286" spans="1:61" x14ac:dyDescent="0.2">
      <c r="A2286">
        <v>1176</v>
      </c>
      <c r="B2286">
        <v>185</v>
      </c>
      <c r="C2286">
        <f t="shared" si="260"/>
        <v>9185</v>
      </c>
      <c r="D2286">
        <f t="shared" si="265"/>
        <v>9185</v>
      </c>
      <c r="H2286">
        <f t="shared" si="261"/>
        <v>3</v>
      </c>
      <c r="I2286" s="5" t="s">
        <v>743</v>
      </c>
      <c r="J2286" s="5" t="s">
        <v>717</v>
      </c>
      <c r="Q2286" t="s">
        <v>619</v>
      </c>
      <c r="R2286">
        <v>18</v>
      </c>
      <c r="S2286">
        <v>1</v>
      </c>
      <c r="T2286" t="str">
        <f t="shared" si="259"/>
        <v>e</v>
      </c>
      <c r="U2286" t="s">
        <v>257</v>
      </c>
      <c r="V2286" t="s">
        <v>201</v>
      </c>
      <c r="W2286" t="s">
        <v>91</v>
      </c>
      <c r="X2286" t="s">
        <v>706</v>
      </c>
      <c r="Y2286" t="s">
        <v>678</v>
      </c>
      <c r="Z2286" t="s">
        <v>814</v>
      </c>
      <c r="AA2286" t="s">
        <v>706</v>
      </c>
      <c r="AF2286" t="s">
        <v>623</v>
      </c>
      <c r="AM2286" t="str">
        <f t="shared" si="262"/>
        <v>Zone_Entry_Exit</v>
      </c>
      <c r="AN2286" t="str">
        <f t="shared" si="263"/>
        <v>Zone_Exit</v>
      </c>
      <c r="AP2286" t="str">
        <f t="shared" si="264"/>
        <v>Offensive</v>
      </c>
      <c r="BB2286" s="23"/>
      <c r="BD2286" s="21"/>
      <c r="BE2286" s="21"/>
      <c r="BF2286" s="21"/>
      <c r="BG2286" s="21"/>
      <c r="BH2286" s="21"/>
      <c r="BI2286" s="21"/>
    </row>
    <row r="2287" spans="1:61" x14ac:dyDescent="0.2">
      <c r="A2287">
        <v>1176</v>
      </c>
      <c r="B2287">
        <v>185</v>
      </c>
      <c r="C2287">
        <f t="shared" si="260"/>
        <v>9185</v>
      </c>
      <c r="D2287">
        <f t="shared" si="265"/>
        <v>9185</v>
      </c>
      <c r="H2287">
        <f t="shared" si="261"/>
        <v>3</v>
      </c>
      <c r="R2287">
        <v>77</v>
      </c>
      <c r="S2287">
        <v>1</v>
      </c>
      <c r="T2287" t="str">
        <f t="shared" si="259"/>
        <v>e</v>
      </c>
      <c r="AM2287" t="str">
        <f t="shared" si="262"/>
        <v>Zone_Entry_Exit</v>
      </c>
      <c r="AN2287" t="str">
        <f t="shared" si="263"/>
        <v>Zone_Exit</v>
      </c>
      <c r="AP2287" t="str">
        <f t="shared" si="264"/>
        <v>Offensive</v>
      </c>
      <c r="BB2287" s="23"/>
      <c r="BD2287" s="21"/>
      <c r="BE2287" s="21"/>
      <c r="BF2287" s="21"/>
      <c r="BG2287" s="21"/>
      <c r="BH2287" s="21"/>
      <c r="BI2287" s="21"/>
    </row>
    <row r="2288" spans="1:61" x14ac:dyDescent="0.2">
      <c r="A2288">
        <v>1177</v>
      </c>
      <c r="B2288" t="s">
        <v>887</v>
      </c>
      <c r="C2288" t="str">
        <f t="shared" si="260"/>
        <v/>
      </c>
      <c r="D2288" t="str">
        <f t="shared" si="265"/>
        <v/>
      </c>
      <c r="H2288">
        <f t="shared" si="261"/>
        <v>3</v>
      </c>
      <c r="I2288" s="5" t="s">
        <v>743</v>
      </c>
      <c r="J2288" s="5" t="s">
        <v>778</v>
      </c>
      <c r="K2288" s="5" t="s">
        <v>743</v>
      </c>
      <c r="L2288" s="7" t="s">
        <v>779</v>
      </c>
      <c r="Q2288" t="s">
        <v>619</v>
      </c>
      <c r="R2288">
        <v>77</v>
      </c>
      <c r="S2288">
        <v>1</v>
      </c>
      <c r="T2288" t="str">
        <f t="shared" si="259"/>
        <v>e</v>
      </c>
      <c r="U2288" t="s">
        <v>15</v>
      </c>
      <c r="AF2288" t="s">
        <v>635</v>
      </c>
      <c r="AM2288" t="str">
        <f t="shared" si="262"/>
        <v>Possession</v>
      </c>
      <c r="AN2288" t="str">
        <f t="shared" si="263"/>
        <v/>
      </c>
      <c r="AP2288" t="str">
        <f t="shared" si="264"/>
        <v>Offensive</v>
      </c>
      <c r="BB2288" s="23"/>
      <c r="BD2288" s="21"/>
      <c r="BE2288" s="21"/>
      <c r="BF2288" s="21"/>
      <c r="BG2288" s="21"/>
      <c r="BH2288" s="21"/>
      <c r="BI2288" s="21"/>
    </row>
    <row r="2289" spans="1:61" x14ac:dyDescent="0.2">
      <c r="A2289">
        <v>1178</v>
      </c>
      <c r="B2289" t="s">
        <v>887</v>
      </c>
      <c r="C2289" t="str">
        <f t="shared" si="260"/>
        <v/>
      </c>
      <c r="D2289" t="str">
        <f t="shared" si="265"/>
        <v/>
      </c>
      <c r="H2289">
        <f t="shared" si="261"/>
        <v>3</v>
      </c>
      <c r="I2289" s="5" t="s">
        <v>743</v>
      </c>
      <c r="J2289" s="5" t="s">
        <v>779</v>
      </c>
      <c r="K2289" s="5" t="s">
        <v>743</v>
      </c>
      <c r="L2289" s="7" t="s">
        <v>724</v>
      </c>
      <c r="Q2289" t="s">
        <v>619</v>
      </c>
      <c r="R2289">
        <v>77</v>
      </c>
      <c r="S2289">
        <v>1</v>
      </c>
      <c r="T2289" t="str">
        <f t="shared" si="259"/>
        <v>e</v>
      </c>
      <c r="U2289" t="s">
        <v>257</v>
      </c>
      <c r="V2289" t="s">
        <v>191</v>
      </c>
      <c r="W2289" t="s">
        <v>87</v>
      </c>
      <c r="X2289" t="s">
        <v>706</v>
      </c>
      <c r="Y2289" t="s">
        <v>728</v>
      </c>
      <c r="AF2289" t="s">
        <v>401</v>
      </c>
      <c r="AJ2289">
        <v>1</v>
      </c>
      <c r="AM2289" t="str">
        <f t="shared" si="262"/>
        <v>Zone_Entry_Exit</v>
      </c>
      <c r="AN2289" t="str">
        <f t="shared" si="263"/>
        <v>Zone_Entry</v>
      </c>
      <c r="AP2289" t="str">
        <f t="shared" si="264"/>
        <v>Offensive</v>
      </c>
      <c r="BB2289" s="23"/>
      <c r="BD2289" s="21"/>
      <c r="BE2289" s="21"/>
      <c r="BF2289" s="21"/>
      <c r="BG2289" s="21"/>
      <c r="BH2289" s="21"/>
      <c r="BI2289" s="21"/>
    </row>
    <row r="2290" spans="1:61" x14ac:dyDescent="0.2">
      <c r="A2290">
        <v>1178</v>
      </c>
      <c r="B2290" t="s">
        <v>887</v>
      </c>
      <c r="C2290" t="str">
        <f t="shared" si="260"/>
        <v/>
      </c>
      <c r="D2290" t="str">
        <f t="shared" si="265"/>
        <v/>
      </c>
      <c r="H2290">
        <f t="shared" si="261"/>
        <v>3</v>
      </c>
      <c r="R2290">
        <v>56</v>
      </c>
      <c r="S2290">
        <v>1</v>
      </c>
      <c r="T2290" t="str">
        <f t="shared" si="259"/>
        <v>e</v>
      </c>
      <c r="AM2290" t="str">
        <f t="shared" si="262"/>
        <v>Zone_Entry_Exit</v>
      </c>
      <c r="AN2290" t="str">
        <f t="shared" si="263"/>
        <v>Zone_Entry</v>
      </c>
      <c r="AP2290" t="str">
        <f t="shared" si="264"/>
        <v>Offensive</v>
      </c>
      <c r="BB2290" s="23"/>
      <c r="BD2290" s="21"/>
      <c r="BE2290" s="21"/>
      <c r="BF2290" s="21"/>
      <c r="BG2290" s="21"/>
      <c r="BH2290" s="21"/>
      <c r="BI2290" s="21"/>
    </row>
    <row r="2291" spans="1:61" x14ac:dyDescent="0.2">
      <c r="A2291">
        <v>1178</v>
      </c>
      <c r="B2291" t="s">
        <v>887</v>
      </c>
      <c r="C2291" t="str">
        <f t="shared" si="260"/>
        <v/>
      </c>
      <c r="D2291" t="str">
        <f t="shared" si="265"/>
        <v/>
      </c>
      <c r="H2291">
        <f t="shared" si="261"/>
        <v>3</v>
      </c>
      <c r="R2291">
        <v>12</v>
      </c>
      <c r="S2291">
        <v>1</v>
      </c>
      <c r="T2291" t="str">
        <f t="shared" si="259"/>
        <v>e</v>
      </c>
      <c r="AM2291" t="str">
        <f t="shared" si="262"/>
        <v>Zone_Entry_Exit</v>
      </c>
      <c r="AN2291" t="str">
        <f t="shared" si="263"/>
        <v>Zone_Entry</v>
      </c>
      <c r="AP2291" t="str">
        <f t="shared" si="264"/>
        <v>Offensive</v>
      </c>
      <c r="BB2291" s="23"/>
      <c r="BD2291" s="21"/>
      <c r="BE2291" s="21"/>
      <c r="BF2291" s="21"/>
      <c r="BG2291" s="21"/>
      <c r="BH2291" s="21"/>
      <c r="BI2291" s="21"/>
    </row>
    <row r="2292" spans="1:61" x14ac:dyDescent="0.2">
      <c r="A2292">
        <v>1178</v>
      </c>
      <c r="B2292" t="s">
        <v>887</v>
      </c>
      <c r="C2292" t="str">
        <f t="shared" si="260"/>
        <v/>
      </c>
      <c r="D2292" t="str">
        <f t="shared" si="265"/>
        <v/>
      </c>
      <c r="H2292">
        <f t="shared" si="261"/>
        <v>3</v>
      </c>
      <c r="R2292">
        <v>84</v>
      </c>
      <c r="T2292" t="str">
        <f t="shared" si="259"/>
        <v>o</v>
      </c>
      <c r="AJ2292">
        <v>1</v>
      </c>
      <c r="AM2292" t="str">
        <f t="shared" si="262"/>
        <v>Zone_Entry_Exit</v>
      </c>
      <c r="AN2292" t="str">
        <f t="shared" si="263"/>
        <v>Zone_Entry</v>
      </c>
      <c r="AP2292" t="str">
        <f t="shared" si="264"/>
        <v>Defensive</v>
      </c>
      <c r="BB2292" s="23"/>
      <c r="BD2292" s="21"/>
      <c r="BE2292" s="21"/>
      <c r="BF2292" s="21"/>
      <c r="BG2292" s="21"/>
      <c r="BH2292" s="21"/>
      <c r="BI2292" s="21"/>
    </row>
    <row r="2293" spans="1:61" x14ac:dyDescent="0.2">
      <c r="A2293">
        <v>1178</v>
      </c>
      <c r="B2293" t="s">
        <v>887</v>
      </c>
      <c r="C2293" t="str">
        <f t="shared" si="260"/>
        <v/>
      </c>
      <c r="D2293" t="str">
        <f t="shared" si="265"/>
        <v/>
      </c>
      <c r="H2293">
        <f t="shared" si="261"/>
        <v>3</v>
      </c>
      <c r="R2293">
        <v>91</v>
      </c>
      <c r="T2293" t="str">
        <f t="shared" si="259"/>
        <v>o</v>
      </c>
      <c r="AJ2293">
        <v>1</v>
      </c>
      <c r="AM2293" t="str">
        <f t="shared" si="262"/>
        <v>Zone_Entry_Exit</v>
      </c>
      <c r="AN2293" t="str">
        <f t="shared" si="263"/>
        <v>Zone_Entry</v>
      </c>
      <c r="AP2293" t="str">
        <f t="shared" si="264"/>
        <v>Defensive</v>
      </c>
      <c r="BB2293" s="23"/>
      <c r="BD2293" s="21"/>
      <c r="BE2293" s="21"/>
      <c r="BF2293" s="21"/>
      <c r="BG2293" s="21"/>
      <c r="BH2293" s="21"/>
      <c r="BI2293" s="21"/>
    </row>
    <row r="2294" spans="1:61" x14ac:dyDescent="0.2">
      <c r="A2294">
        <v>1178</v>
      </c>
      <c r="B2294" t="s">
        <v>887</v>
      </c>
      <c r="C2294" t="str">
        <f t="shared" si="260"/>
        <v/>
      </c>
      <c r="D2294" t="str">
        <f t="shared" si="265"/>
        <v/>
      </c>
      <c r="H2294">
        <f t="shared" si="261"/>
        <v>3</v>
      </c>
      <c r="R2294">
        <v>14</v>
      </c>
      <c r="T2294" t="str">
        <f t="shared" si="259"/>
        <v>o</v>
      </c>
      <c r="AM2294" t="str">
        <f t="shared" si="262"/>
        <v>Zone_Entry_Exit</v>
      </c>
      <c r="AN2294" t="str">
        <f t="shared" si="263"/>
        <v>Zone_Entry</v>
      </c>
      <c r="AP2294" t="str">
        <f t="shared" si="264"/>
        <v>Defensive</v>
      </c>
      <c r="BB2294" s="23"/>
      <c r="BD2294" s="21"/>
      <c r="BE2294" s="21"/>
      <c r="BF2294" s="21"/>
      <c r="BG2294" s="21"/>
      <c r="BH2294" s="21"/>
      <c r="BI2294" s="21"/>
    </row>
    <row r="2295" spans="1:61" x14ac:dyDescent="0.2">
      <c r="A2295">
        <v>1179</v>
      </c>
      <c r="B2295">
        <v>186</v>
      </c>
      <c r="C2295">
        <f t="shared" si="260"/>
        <v>9186</v>
      </c>
      <c r="D2295">
        <f t="shared" si="265"/>
        <v>9186</v>
      </c>
      <c r="H2295">
        <f t="shared" si="261"/>
        <v>3</v>
      </c>
      <c r="I2295" s="5" t="s">
        <v>743</v>
      </c>
      <c r="J2295" s="5" t="s">
        <v>812</v>
      </c>
      <c r="Q2295" t="s">
        <v>619</v>
      </c>
      <c r="R2295">
        <v>77</v>
      </c>
      <c r="S2295">
        <v>1</v>
      </c>
      <c r="T2295" t="str">
        <f t="shared" si="259"/>
        <v>e</v>
      </c>
      <c r="U2295" t="s">
        <v>7</v>
      </c>
      <c r="V2295" t="s">
        <v>208</v>
      </c>
      <c r="W2295" t="s">
        <v>53</v>
      </c>
      <c r="X2295" t="s">
        <v>705</v>
      </c>
      <c r="AF2295" t="s">
        <v>401</v>
      </c>
      <c r="AJ2295">
        <v>1</v>
      </c>
      <c r="AM2295" t="str">
        <f t="shared" si="262"/>
        <v>Shot</v>
      </c>
      <c r="AN2295" t="str">
        <f t="shared" si="263"/>
        <v>Shot_Blocked</v>
      </c>
      <c r="AP2295" t="str">
        <f t="shared" si="264"/>
        <v>Offensive</v>
      </c>
      <c r="BB2295" s="23"/>
      <c r="BD2295" s="21"/>
      <c r="BE2295" s="21"/>
      <c r="BF2295" s="21"/>
      <c r="BG2295" s="21"/>
      <c r="BH2295" s="21"/>
      <c r="BI2295" s="21"/>
    </row>
    <row r="2296" spans="1:61" x14ac:dyDescent="0.2">
      <c r="A2296">
        <v>1179</v>
      </c>
      <c r="B2296">
        <v>186</v>
      </c>
      <c r="C2296">
        <f t="shared" si="260"/>
        <v>9186</v>
      </c>
      <c r="D2296">
        <f t="shared" si="265"/>
        <v>9186</v>
      </c>
      <c r="H2296">
        <f t="shared" si="261"/>
        <v>3</v>
      </c>
      <c r="R2296">
        <v>91</v>
      </c>
      <c r="T2296" t="str">
        <f t="shared" si="259"/>
        <v>o</v>
      </c>
      <c r="Y2296" t="s">
        <v>681</v>
      </c>
      <c r="AA2296" t="s">
        <v>706</v>
      </c>
      <c r="AM2296" t="str">
        <f t="shared" si="262"/>
        <v>Shot</v>
      </c>
      <c r="AN2296" t="str">
        <f t="shared" si="263"/>
        <v>Shot_Blocked</v>
      </c>
      <c r="AP2296" t="str">
        <f t="shared" si="264"/>
        <v>Defensive</v>
      </c>
      <c r="BB2296" s="23"/>
      <c r="BD2296" s="21"/>
      <c r="BE2296" s="21"/>
      <c r="BF2296" s="21"/>
      <c r="BG2296" s="21"/>
      <c r="BH2296" s="21"/>
      <c r="BI2296" s="21"/>
    </row>
    <row r="2297" spans="1:61" x14ac:dyDescent="0.2">
      <c r="A2297">
        <v>1180</v>
      </c>
      <c r="B2297">
        <v>186</v>
      </c>
      <c r="C2297">
        <f t="shared" si="260"/>
        <v>9186</v>
      </c>
      <c r="D2297">
        <f t="shared" si="265"/>
        <v>9186</v>
      </c>
      <c r="H2297">
        <f t="shared" si="261"/>
        <v>3</v>
      </c>
      <c r="I2297" s="5" t="s">
        <v>743</v>
      </c>
      <c r="J2297" s="5" t="s">
        <v>812</v>
      </c>
      <c r="Q2297" t="s">
        <v>619</v>
      </c>
      <c r="R2297">
        <v>77</v>
      </c>
      <c r="S2297">
        <v>1</v>
      </c>
      <c r="T2297" t="str">
        <f t="shared" si="259"/>
        <v>e</v>
      </c>
      <c r="U2297" t="s">
        <v>13</v>
      </c>
      <c r="V2297" t="s">
        <v>204</v>
      </c>
      <c r="W2297" t="s">
        <v>107</v>
      </c>
      <c r="AF2297" t="s">
        <v>401</v>
      </c>
      <c r="AM2297" t="str">
        <f t="shared" si="262"/>
        <v>Stoppage</v>
      </c>
      <c r="AN2297" t="str">
        <f t="shared" si="263"/>
        <v>Stoppage_Play</v>
      </c>
      <c r="AP2297" t="str">
        <f t="shared" si="264"/>
        <v/>
      </c>
      <c r="BB2297" s="23"/>
      <c r="BD2297" s="21"/>
      <c r="BE2297" s="21"/>
      <c r="BF2297" s="21"/>
      <c r="BG2297" s="21"/>
      <c r="BH2297" s="21"/>
      <c r="BI2297" s="21"/>
    </row>
    <row r="2298" spans="1:61" x14ac:dyDescent="0.2">
      <c r="A2298">
        <v>1181</v>
      </c>
      <c r="B2298">
        <v>186</v>
      </c>
      <c r="C2298">
        <f t="shared" si="260"/>
        <v>9186</v>
      </c>
      <c r="D2298">
        <f t="shared" si="265"/>
        <v>9186</v>
      </c>
      <c r="H2298">
        <f t="shared" si="261"/>
        <v>3</v>
      </c>
      <c r="I2298" s="5" t="s">
        <v>743</v>
      </c>
      <c r="J2298" s="5" t="s">
        <v>812</v>
      </c>
      <c r="K2298" s="5" t="s">
        <v>743</v>
      </c>
      <c r="L2298" s="7" t="s">
        <v>741</v>
      </c>
      <c r="Q2298" t="s">
        <v>619</v>
      </c>
      <c r="R2298">
        <v>77</v>
      </c>
      <c r="S2298">
        <v>1</v>
      </c>
      <c r="T2298" t="str">
        <f t="shared" si="259"/>
        <v>e</v>
      </c>
      <c r="U2298" t="s">
        <v>262</v>
      </c>
      <c r="AF2298" t="s">
        <v>401</v>
      </c>
      <c r="AM2298" t="str">
        <f t="shared" si="262"/>
        <v>DeadIce</v>
      </c>
      <c r="AN2298" t="str">
        <f t="shared" si="263"/>
        <v/>
      </c>
      <c r="AP2298" t="str">
        <f t="shared" si="264"/>
        <v/>
      </c>
      <c r="BB2298" s="23"/>
      <c r="BD2298" s="21"/>
      <c r="BE2298" s="21"/>
      <c r="BF2298" s="21"/>
      <c r="BG2298" s="21"/>
      <c r="BH2298" s="21"/>
      <c r="BI2298" s="21"/>
    </row>
    <row r="2299" spans="1:61" x14ac:dyDescent="0.2">
      <c r="A2299">
        <v>1182</v>
      </c>
      <c r="B2299" t="s">
        <v>887</v>
      </c>
      <c r="C2299" t="str">
        <f t="shared" si="260"/>
        <v/>
      </c>
      <c r="D2299" t="str">
        <f t="shared" si="265"/>
        <v/>
      </c>
      <c r="H2299">
        <f t="shared" si="261"/>
        <v>3</v>
      </c>
      <c r="I2299" s="5" t="s">
        <v>743</v>
      </c>
      <c r="J2299" s="5" t="s">
        <v>741</v>
      </c>
      <c r="Q2299" t="s">
        <v>620</v>
      </c>
      <c r="R2299">
        <v>70</v>
      </c>
      <c r="S2299">
        <v>1</v>
      </c>
      <c r="T2299" t="str">
        <f t="shared" si="259"/>
        <v>e</v>
      </c>
      <c r="U2299" t="s">
        <v>6</v>
      </c>
      <c r="V2299" t="s">
        <v>255</v>
      </c>
      <c r="AF2299" t="s">
        <v>623</v>
      </c>
      <c r="AM2299" t="str">
        <f t="shared" si="262"/>
        <v>Faceoff</v>
      </c>
      <c r="AN2299" t="str">
        <f t="shared" si="263"/>
        <v>Faceoff_AfterStoppage</v>
      </c>
      <c r="AP2299" t="str">
        <f t="shared" si="264"/>
        <v>Offensive</v>
      </c>
      <c r="BB2299" s="23"/>
      <c r="BD2299" s="21"/>
      <c r="BE2299" s="21"/>
      <c r="BF2299" s="21"/>
      <c r="BG2299" s="21"/>
      <c r="BH2299" s="21"/>
      <c r="BI2299" s="21"/>
    </row>
    <row r="2300" spans="1:61" x14ac:dyDescent="0.2">
      <c r="A2300">
        <v>1182</v>
      </c>
      <c r="B2300" t="s">
        <v>887</v>
      </c>
      <c r="C2300" t="str">
        <f t="shared" si="260"/>
        <v/>
      </c>
      <c r="D2300" t="str">
        <f t="shared" si="265"/>
        <v/>
      </c>
      <c r="H2300">
        <f t="shared" si="261"/>
        <v>3</v>
      </c>
      <c r="R2300">
        <v>3</v>
      </c>
      <c r="T2300" t="str">
        <f t="shared" si="259"/>
        <v>o</v>
      </c>
      <c r="AM2300" t="str">
        <f t="shared" si="262"/>
        <v>Faceoff</v>
      </c>
      <c r="AN2300" t="str">
        <f t="shared" si="263"/>
        <v>Faceoff_AfterStoppage</v>
      </c>
      <c r="AP2300" t="str">
        <f t="shared" si="264"/>
        <v>Defensive</v>
      </c>
      <c r="BB2300" s="23"/>
      <c r="BD2300" s="21"/>
      <c r="BE2300" s="21"/>
      <c r="BF2300" s="21"/>
      <c r="BG2300" s="21"/>
      <c r="BH2300" s="21"/>
      <c r="BI2300" s="21"/>
    </row>
    <row r="2301" spans="1:61" x14ac:dyDescent="0.2">
      <c r="A2301">
        <v>1183</v>
      </c>
      <c r="B2301" t="s">
        <v>887</v>
      </c>
      <c r="C2301" t="str">
        <f t="shared" si="260"/>
        <v/>
      </c>
      <c r="D2301" t="str">
        <f t="shared" si="265"/>
        <v/>
      </c>
      <c r="H2301">
        <f t="shared" si="261"/>
        <v>3</v>
      </c>
      <c r="I2301" s="5" t="s">
        <v>743</v>
      </c>
      <c r="J2301" s="5" t="s">
        <v>741</v>
      </c>
      <c r="K2301" s="5" t="s">
        <v>743</v>
      </c>
      <c r="L2301" s="7" t="s">
        <v>446</v>
      </c>
      <c r="Q2301" t="s">
        <v>620</v>
      </c>
      <c r="R2301">
        <v>70</v>
      </c>
      <c r="S2301">
        <v>1</v>
      </c>
      <c r="T2301" t="str">
        <f t="shared" si="259"/>
        <v>e</v>
      </c>
      <c r="U2301" t="s">
        <v>257</v>
      </c>
      <c r="V2301" t="s">
        <v>201</v>
      </c>
      <c r="W2301" t="s">
        <v>90</v>
      </c>
      <c r="X2301" t="s">
        <v>706</v>
      </c>
      <c r="AF2301" t="s">
        <v>623</v>
      </c>
      <c r="AM2301" t="str">
        <f t="shared" si="262"/>
        <v>Zone_Entry_Exit</v>
      </c>
      <c r="AN2301" t="str">
        <f t="shared" si="263"/>
        <v>Zone_Exit</v>
      </c>
      <c r="AP2301" t="str">
        <f t="shared" si="264"/>
        <v>Offensive</v>
      </c>
      <c r="BB2301" s="23"/>
      <c r="BD2301" s="21"/>
      <c r="BE2301" s="21"/>
      <c r="BF2301" s="21"/>
      <c r="BG2301" s="21"/>
      <c r="BH2301" s="21"/>
      <c r="BI2301" s="21"/>
    </row>
    <row r="2302" spans="1:61" x14ac:dyDescent="0.2">
      <c r="A2302">
        <v>1184</v>
      </c>
      <c r="B2302" t="s">
        <v>887</v>
      </c>
      <c r="C2302" t="str">
        <f t="shared" si="260"/>
        <v/>
      </c>
      <c r="D2302" t="str">
        <f t="shared" si="265"/>
        <v/>
      </c>
      <c r="H2302">
        <f t="shared" si="261"/>
        <v>3</v>
      </c>
      <c r="I2302" s="5" t="s">
        <v>743</v>
      </c>
      <c r="J2302" s="5" t="s">
        <v>446</v>
      </c>
      <c r="K2302" s="5" t="s">
        <v>732</v>
      </c>
      <c r="L2302" s="7" t="s">
        <v>896</v>
      </c>
      <c r="Q2302" t="s">
        <v>620</v>
      </c>
      <c r="R2302">
        <v>70</v>
      </c>
      <c r="S2302">
        <v>1</v>
      </c>
      <c r="T2302" t="str">
        <f t="shared" si="259"/>
        <v>e</v>
      </c>
      <c r="U2302" t="s">
        <v>15</v>
      </c>
      <c r="AF2302" t="s">
        <v>635</v>
      </c>
      <c r="AM2302" t="str">
        <f t="shared" si="262"/>
        <v>Possession</v>
      </c>
      <c r="AN2302" t="str">
        <f t="shared" si="263"/>
        <v/>
      </c>
      <c r="AP2302" t="str">
        <f t="shared" si="264"/>
        <v>Offensive</v>
      </c>
      <c r="BB2302" s="23"/>
      <c r="BD2302" s="21"/>
      <c r="BE2302" s="21"/>
      <c r="BF2302" s="21"/>
      <c r="BG2302" s="21"/>
      <c r="BH2302" s="21"/>
      <c r="BI2302" s="21"/>
    </row>
    <row r="2303" spans="1:61" x14ac:dyDescent="0.2">
      <c r="A2303">
        <v>1185</v>
      </c>
      <c r="B2303" t="s">
        <v>887</v>
      </c>
      <c r="C2303" t="str">
        <f t="shared" si="260"/>
        <v/>
      </c>
      <c r="D2303" t="str">
        <f t="shared" si="265"/>
        <v/>
      </c>
      <c r="H2303">
        <f t="shared" si="261"/>
        <v>3</v>
      </c>
      <c r="I2303" s="5" t="s">
        <v>732</v>
      </c>
      <c r="J2303" s="5" t="s">
        <v>896</v>
      </c>
      <c r="K2303" s="5" t="s">
        <v>732</v>
      </c>
      <c r="L2303" s="7" t="s">
        <v>750</v>
      </c>
      <c r="Q2303" t="s">
        <v>620</v>
      </c>
      <c r="R2303">
        <v>70</v>
      </c>
      <c r="S2303">
        <v>1</v>
      </c>
      <c r="T2303" t="str">
        <f t="shared" si="259"/>
        <v>e</v>
      </c>
      <c r="U2303" t="s">
        <v>257</v>
      </c>
      <c r="V2303" t="s">
        <v>191</v>
      </c>
      <c r="W2303" t="s">
        <v>87</v>
      </c>
      <c r="X2303" t="s">
        <v>706</v>
      </c>
      <c r="Y2303" t="s">
        <v>777</v>
      </c>
      <c r="Z2303" t="s">
        <v>677</v>
      </c>
      <c r="AF2303" t="s">
        <v>401</v>
      </c>
      <c r="AJ2303">
        <v>1</v>
      </c>
      <c r="AM2303" t="str">
        <f t="shared" si="262"/>
        <v>Zone_Entry_Exit</v>
      </c>
      <c r="AN2303" t="str">
        <f t="shared" si="263"/>
        <v>Zone_Entry</v>
      </c>
      <c r="AP2303" t="str">
        <f t="shared" si="264"/>
        <v>Offensive</v>
      </c>
      <c r="BB2303" s="23"/>
      <c r="BD2303" s="21"/>
      <c r="BE2303" s="21"/>
      <c r="BF2303" s="21"/>
      <c r="BG2303" s="21"/>
      <c r="BH2303" s="21"/>
      <c r="BI2303" s="21"/>
    </row>
    <row r="2304" spans="1:61" x14ac:dyDescent="0.2">
      <c r="A2304">
        <v>1185</v>
      </c>
      <c r="B2304" t="s">
        <v>887</v>
      </c>
      <c r="C2304" t="str">
        <f t="shared" si="260"/>
        <v/>
      </c>
      <c r="D2304" t="str">
        <f t="shared" si="265"/>
        <v/>
      </c>
      <c r="H2304">
        <f t="shared" si="261"/>
        <v>3</v>
      </c>
      <c r="R2304">
        <v>4</v>
      </c>
      <c r="T2304" t="str">
        <f t="shared" si="259"/>
        <v>o</v>
      </c>
      <c r="AJ2304">
        <v>1</v>
      </c>
      <c r="AM2304" t="str">
        <f t="shared" si="262"/>
        <v>Zone_Entry_Exit</v>
      </c>
      <c r="AN2304" t="str">
        <f t="shared" si="263"/>
        <v>Zone_Entry</v>
      </c>
      <c r="AP2304" t="str">
        <f t="shared" si="264"/>
        <v>Defensive</v>
      </c>
      <c r="BB2304" s="23"/>
      <c r="BD2304" s="21"/>
      <c r="BE2304" s="21"/>
      <c r="BF2304" s="21"/>
      <c r="BG2304" s="21"/>
      <c r="BH2304" s="21"/>
      <c r="BI2304" s="21"/>
    </row>
    <row r="2305" spans="1:61" x14ac:dyDescent="0.2">
      <c r="A2305">
        <v>1186</v>
      </c>
      <c r="B2305" t="s">
        <v>887</v>
      </c>
      <c r="C2305" t="str">
        <f t="shared" si="260"/>
        <v/>
      </c>
      <c r="D2305" t="str">
        <f t="shared" si="265"/>
        <v/>
      </c>
      <c r="H2305">
        <f t="shared" si="261"/>
        <v>3</v>
      </c>
      <c r="I2305" s="5" t="s">
        <v>732</v>
      </c>
      <c r="J2305" s="5" t="s">
        <v>750</v>
      </c>
      <c r="K2305" s="5" t="s">
        <v>732</v>
      </c>
      <c r="L2305" s="7" t="s">
        <v>637</v>
      </c>
      <c r="Q2305" t="s">
        <v>620</v>
      </c>
      <c r="R2305">
        <v>70</v>
      </c>
      <c r="S2305">
        <v>1</v>
      </c>
      <c r="T2305" t="str">
        <f t="shared" si="259"/>
        <v>e</v>
      </c>
      <c r="U2305" t="s">
        <v>15</v>
      </c>
      <c r="Y2305" t="s">
        <v>677</v>
      </c>
      <c r="AA2305" t="s">
        <v>706</v>
      </c>
      <c r="AF2305" t="s">
        <v>401</v>
      </c>
      <c r="AJ2305">
        <v>1</v>
      </c>
      <c r="AM2305" t="str">
        <f t="shared" si="262"/>
        <v>Possession</v>
      </c>
      <c r="AN2305" t="str">
        <f t="shared" si="263"/>
        <v/>
      </c>
      <c r="AP2305" t="str">
        <f t="shared" si="264"/>
        <v>Offensive</v>
      </c>
      <c r="BB2305" s="23"/>
      <c r="BD2305" s="21"/>
      <c r="BE2305" s="21"/>
      <c r="BF2305" s="21"/>
      <c r="BG2305" s="21"/>
      <c r="BH2305" s="21"/>
      <c r="BI2305" s="21"/>
    </row>
    <row r="2306" spans="1:61" x14ac:dyDescent="0.2">
      <c r="A2306">
        <v>1186</v>
      </c>
      <c r="B2306" t="s">
        <v>887</v>
      </c>
      <c r="C2306" t="str">
        <f t="shared" si="260"/>
        <v/>
      </c>
      <c r="D2306" t="str">
        <f t="shared" si="265"/>
        <v/>
      </c>
      <c r="H2306">
        <f t="shared" si="261"/>
        <v>3</v>
      </c>
      <c r="R2306">
        <v>4</v>
      </c>
      <c r="T2306" t="str">
        <f t="shared" si="259"/>
        <v>o</v>
      </c>
      <c r="Y2306" t="s">
        <v>715</v>
      </c>
      <c r="AA2306" t="s">
        <v>706</v>
      </c>
      <c r="AJ2306">
        <v>1</v>
      </c>
      <c r="AM2306" t="str">
        <f t="shared" si="262"/>
        <v>Possession</v>
      </c>
      <c r="AN2306" t="str">
        <f t="shared" si="263"/>
        <v/>
      </c>
      <c r="AP2306" t="str">
        <f t="shared" si="264"/>
        <v>Defensive</v>
      </c>
      <c r="BB2306" s="23"/>
      <c r="BD2306" s="21"/>
      <c r="BE2306" s="21"/>
      <c r="BF2306" s="21"/>
      <c r="BG2306" s="21"/>
      <c r="BH2306" s="21"/>
      <c r="BI2306" s="21"/>
    </row>
    <row r="2307" spans="1:61" x14ac:dyDescent="0.2">
      <c r="A2307">
        <v>1186</v>
      </c>
      <c r="B2307" t="s">
        <v>887</v>
      </c>
      <c r="C2307" t="str">
        <f t="shared" si="260"/>
        <v/>
      </c>
      <c r="D2307" t="str">
        <f t="shared" si="265"/>
        <v/>
      </c>
      <c r="H2307">
        <f t="shared" si="261"/>
        <v>3</v>
      </c>
      <c r="R2307">
        <v>25</v>
      </c>
      <c r="T2307" t="str">
        <f t="shared" ref="T2307:T2370" si="266">IF(S2307="x","",IF(S2307=1,"e","o"))</f>
        <v>o</v>
      </c>
      <c r="Y2307" t="s">
        <v>715</v>
      </c>
      <c r="AJ2307">
        <v>1</v>
      </c>
      <c r="AM2307" t="str">
        <f t="shared" si="262"/>
        <v>Possession</v>
      </c>
      <c r="AN2307" t="str">
        <f t="shared" si="263"/>
        <v/>
      </c>
      <c r="AP2307" t="str">
        <f t="shared" si="264"/>
        <v>Defensive</v>
      </c>
      <c r="BB2307" s="23"/>
      <c r="BD2307" s="21"/>
      <c r="BE2307" s="21"/>
      <c r="BF2307" s="21"/>
      <c r="BG2307" s="21"/>
      <c r="BH2307" s="21"/>
      <c r="BI2307" s="21"/>
    </row>
    <row r="2308" spans="1:61" x14ac:dyDescent="0.2">
      <c r="A2308">
        <v>1187</v>
      </c>
      <c r="B2308" t="s">
        <v>887</v>
      </c>
      <c r="C2308" t="str">
        <f t="shared" ref="C2308:C2371" si="267">IF(B2308&lt;&gt;"",9000+B2308,"")</f>
        <v/>
      </c>
      <c r="D2308" t="str">
        <f t="shared" si="265"/>
        <v/>
      </c>
      <c r="H2308">
        <f t="shared" si="261"/>
        <v>3</v>
      </c>
      <c r="I2308" s="5" t="s">
        <v>732</v>
      </c>
      <c r="J2308" s="5" t="s">
        <v>637</v>
      </c>
      <c r="Q2308" t="s">
        <v>620</v>
      </c>
      <c r="R2308">
        <v>70</v>
      </c>
      <c r="S2308">
        <v>1</v>
      </c>
      <c r="T2308" t="str">
        <f t="shared" si="266"/>
        <v>e</v>
      </c>
      <c r="U2308" t="s">
        <v>7</v>
      </c>
      <c r="V2308" t="s">
        <v>198</v>
      </c>
      <c r="W2308" t="s">
        <v>53</v>
      </c>
      <c r="X2308" t="s">
        <v>705</v>
      </c>
      <c r="AF2308" t="s">
        <v>401</v>
      </c>
      <c r="AJ2308">
        <v>1</v>
      </c>
      <c r="AM2308" t="str">
        <f t="shared" si="262"/>
        <v>Shot</v>
      </c>
      <c r="AN2308" t="str">
        <f t="shared" si="263"/>
        <v>Shot_Missed</v>
      </c>
      <c r="AP2308" t="str">
        <f t="shared" si="264"/>
        <v>Offensive</v>
      </c>
      <c r="BB2308" s="23"/>
      <c r="BD2308" s="21"/>
      <c r="BE2308" s="21"/>
      <c r="BF2308" s="21"/>
      <c r="BG2308" s="21"/>
      <c r="BH2308" s="21"/>
      <c r="BI2308" s="21"/>
    </row>
    <row r="2309" spans="1:61" x14ac:dyDescent="0.2">
      <c r="A2309">
        <v>1187</v>
      </c>
      <c r="B2309" t="s">
        <v>887</v>
      </c>
      <c r="C2309" t="str">
        <f t="shared" si="267"/>
        <v/>
      </c>
      <c r="D2309" t="str">
        <f t="shared" si="265"/>
        <v/>
      </c>
      <c r="H2309">
        <f t="shared" ref="H2309:H2372" si="268">IF(U2309="Intermission",H2308+1,H2308)</f>
        <v>3</v>
      </c>
      <c r="R2309">
        <v>4</v>
      </c>
      <c r="T2309" t="str">
        <f t="shared" si="266"/>
        <v>o</v>
      </c>
      <c r="Y2309" t="s">
        <v>715</v>
      </c>
      <c r="AJ2309">
        <v>1</v>
      </c>
      <c r="AM2309" t="str">
        <f t="shared" ref="AM2309:AM2372" si="269">IF(U2309&lt;&gt;"",U2309,IF($A2309=$A2308,AM2308,""))</f>
        <v>Shot</v>
      </c>
      <c r="AN2309" t="str">
        <f t="shared" ref="AN2309:AN2372" si="270">IF(V2309&lt;&gt;"",V2309,IF($A2309=$A2308,AN2308,""))</f>
        <v>Shot_Missed</v>
      </c>
      <c r="AP2309" t="str">
        <f t="shared" si="264"/>
        <v>Defensive</v>
      </c>
      <c r="BB2309" s="23"/>
      <c r="BD2309" s="21"/>
      <c r="BE2309" s="21"/>
      <c r="BF2309" s="21"/>
      <c r="BG2309" s="21"/>
      <c r="BH2309" s="21"/>
      <c r="BI2309" s="21"/>
    </row>
    <row r="2310" spans="1:61" x14ac:dyDescent="0.2">
      <c r="A2310">
        <v>1188</v>
      </c>
      <c r="B2310" t="s">
        <v>887</v>
      </c>
      <c r="C2310" t="str">
        <f t="shared" si="267"/>
        <v/>
      </c>
      <c r="D2310" t="str">
        <f t="shared" si="265"/>
        <v/>
      </c>
      <c r="H2310">
        <f t="shared" si="268"/>
        <v>3</v>
      </c>
      <c r="I2310" s="5" t="s">
        <v>732</v>
      </c>
      <c r="J2310" s="5" t="s">
        <v>762</v>
      </c>
      <c r="Q2310" t="s">
        <v>620</v>
      </c>
      <c r="R2310">
        <v>70</v>
      </c>
      <c r="S2310">
        <v>1</v>
      </c>
      <c r="T2310" t="str">
        <f t="shared" si="266"/>
        <v>e</v>
      </c>
      <c r="U2310" t="s">
        <v>15</v>
      </c>
      <c r="V2310" t="s">
        <v>698</v>
      </c>
      <c r="X2310" t="s">
        <v>705</v>
      </c>
      <c r="Y2310" t="s">
        <v>739</v>
      </c>
      <c r="AA2310" t="s">
        <v>705</v>
      </c>
      <c r="AF2310" t="s">
        <v>401</v>
      </c>
      <c r="AM2310" t="str">
        <f t="shared" si="269"/>
        <v>Possession</v>
      </c>
      <c r="AN2310" t="str">
        <f t="shared" si="270"/>
        <v>PuckRecovery</v>
      </c>
      <c r="AP2310" t="str">
        <f t="shared" ref="AP2310:AP2373" si="271">IF(AND(T2310="e",OR(AM2310="Save",AN2310="Turnover_Takeaway",AN2310="Play_Defensive")),"Defensive",IF(AND(T2310="o",OR(AM2310="Save",AN2310="Turnover_Takeaway",AN2310="Play_Defensive")),"Offensive",IF(OR(AM2310="Deadice",AM2310="Stoppage",AM2310="Intermission"),"",IF(T2310="e","Offensive",IF(T2310="o","Defensive","")))))</f>
        <v>Offensive</v>
      </c>
      <c r="BB2310" s="23"/>
      <c r="BD2310" s="21"/>
      <c r="BE2310" s="21"/>
      <c r="BF2310" s="21"/>
      <c r="BG2310" s="21"/>
      <c r="BH2310" s="21"/>
      <c r="BI2310" s="21"/>
    </row>
    <row r="2311" spans="1:61" x14ac:dyDescent="0.2">
      <c r="A2311">
        <v>1189</v>
      </c>
      <c r="B2311">
        <v>187</v>
      </c>
      <c r="C2311">
        <f t="shared" si="267"/>
        <v>9187</v>
      </c>
      <c r="D2311">
        <f t="shared" si="265"/>
        <v>9187</v>
      </c>
      <c r="H2311">
        <f t="shared" si="268"/>
        <v>3</v>
      </c>
      <c r="I2311" s="5" t="s">
        <v>732</v>
      </c>
      <c r="J2311" s="5" t="s">
        <v>762</v>
      </c>
      <c r="Q2311" t="s">
        <v>620</v>
      </c>
      <c r="R2311">
        <v>70</v>
      </c>
      <c r="S2311">
        <v>1</v>
      </c>
      <c r="T2311" t="str">
        <f t="shared" si="266"/>
        <v>e</v>
      </c>
      <c r="U2311" t="s">
        <v>8</v>
      </c>
      <c r="V2311" t="s">
        <v>199</v>
      </c>
      <c r="W2311" t="s">
        <v>69</v>
      </c>
      <c r="X2311" t="s">
        <v>705</v>
      </c>
      <c r="Y2311" t="s">
        <v>814</v>
      </c>
      <c r="AA2311" t="s">
        <v>705</v>
      </c>
      <c r="AF2311" t="s">
        <v>401</v>
      </c>
      <c r="AM2311" t="str">
        <f t="shared" si="269"/>
        <v>Pass</v>
      </c>
      <c r="AN2311" t="str">
        <f t="shared" si="270"/>
        <v>Pass_Missed</v>
      </c>
      <c r="AP2311" t="str">
        <f t="shared" si="271"/>
        <v>Offensive</v>
      </c>
      <c r="BB2311" s="23"/>
      <c r="BD2311" s="21"/>
      <c r="BE2311" s="21"/>
      <c r="BF2311" s="21"/>
      <c r="BG2311" s="21"/>
      <c r="BH2311" s="21"/>
      <c r="BI2311" s="21"/>
    </row>
    <row r="2312" spans="1:61" x14ac:dyDescent="0.2">
      <c r="A2312">
        <v>1189</v>
      </c>
      <c r="B2312">
        <v>187</v>
      </c>
      <c r="C2312">
        <f t="shared" si="267"/>
        <v>9187</v>
      </c>
      <c r="D2312">
        <f t="shared" si="265"/>
        <v>9187</v>
      </c>
      <c r="H2312">
        <f t="shared" si="268"/>
        <v>3</v>
      </c>
      <c r="R2312">
        <v>3</v>
      </c>
      <c r="T2312" t="str">
        <f t="shared" si="266"/>
        <v>o</v>
      </c>
      <c r="AM2312" t="str">
        <f t="shared" si="269"/>
        <v>Pass</v>
      </c>
      <c r="AN2312" t="str">
        <f t="shared" si="270"/>
        <v>Pass_Missed</v>
      </c>
      <c r="AP2312" t="str">
        <f t="shared" si="271"/>
        <v>Defensive</v>
      </c>
      <c r="BB2312" s="23"/>
      <c r="BD2312" s="21"/>
      <c r="BE2312" s="21"/>
      <c r="BF2312" s="21"/>
      <c r="BG2312" s="21"/>
      <c r="BH2312" s="21"/>
      <c r="BI2312" s="21"/>
    </row>
    <row r="2313" spans="1:61" x14ac:dyDescent="0.2">
      <c r="A2313">
        <v>1190</v>
      </c>
      <c r="B2313">
        <v>187</v>
      </c>
      <c r="C2313">
        <f t="shared" si="267"/>
        <v>9187</v>
      </c>
      <c r="D2313">
        <f t="shared" ref="D2313:D2376" si="272">IF(C2313&lt;&gt;"",C2313,B2313)</f>
        <v>9187</v>
      </c>
      <c r="H2313">
        <f t="shared" si="268"/>
        <v>3</v>
      </c>
      <c r="I2313" s="5" t="s">
        <v>732</v>
      </c>
      <c r="J2313" s="5" t="s">
        <v>762</v>
      </c>
      <c r="Q2313" t="s">
        <v>620</v>
      </c>
      <c r="R2313">
        <v>70</v>
      </c>
      <c r="S2313">
        <v>1</v>
      </c>
      <c r="T2313" t="str">
        <f t="shared" si="266"/>
        <v>e</v>
      </c>
      <c r="U2313" t="s">
        <v>10</v>
      </c>
      <c r="V2313" t="s">
        <v>190</v>
      </c>
      <c r="W2313" t="s">
        <v>76</v>
      </c>
      <c r="X2313" t="s">
        <v>705</v>
      </c>
      <c r="Y2313" t="s">
        <v>814</v>
      </c>
      <c r="AA2313" t="s">
        <v>705</v>
      </c>
      <c r="AF2313" t="s">
        <v>401</v>
      </c>
      <c r="AM2313" t="str">
        <f t="shared" si="269"/>
        <v>Turnover</v>
      </c>
      <c r="AN2313" t="str">
        <f t="shared" si="270"/>
        <v>Turnover_Giveaway</v>
      </c>
      <c r="AP2313" t="str">
        <f t="shared" si="271"/>
        <v>Offensive</v>
      </c>
      <c r="BB2313" s="23"/>
      <c r="BD2313" s="21"/>
      <c r="BE2313" s="21"/>
      <c r="BF2313" s="21"/>
      <c r="BG2313" s="21"/>
      <c r="BH2313" s="21"/>
      <c r="BI2313" s="21"/>
    </row>
    <row r="2314" spans="1:61" x14ac:dyDescent="0.2">
      <c r="A2314">
        <v>1190</v>
      </c>
      <c r="B2314">
        <v>187</v>
      </c>
      <c r="C2314">
        <f t="shared" si="267"/>
        <v>9187</v>
      </c>
      <c r="D2314">
        <f t="shared" si="272"/>
        <v>9187</v>
      </c>
      <c r="H2314">
        <f t="shared" si="268"/>
        <v>3</v>
      </c>
      <c r="R2314">
        <v>3</v>
      </c>
      <c r="T2314" t="str">
        <f t="shared" si="266"/>
        <v>o</v>
      </c>
      <c r="AM2314" t="str">
        <f t="shared" si="269"/>
        <v>Turnover</v>
      </c>
      <c r="AN2314" t="str">
        <f t="shared" si="270"/>
        <v>Turnover_Giveaway</v>
      </c>
      <c r="AP2314" t="str">
        <f t="shared" si="271"/>
        <v>Defensive</v>
      </c>
      <c r="BB2314" s="23"/>
      <c r="BD2314" s="21"/>
      <c r="BE2314" s="21"/>
      <c r="BF2314" s="21"/>
      <c r="BG2314" s="21"/>
      <c r="BH2314" s="21"/>
      <c r="BI2314" s="21"/>
    </row>
    <row r="2315" spans="1:61" x14ac:dyDescent="0.2">
      <c r="A2315">
        <v>1191</v>
      </c>
      <c r="B2315" t="s">
        <v>887</v>
      </c>
      <c r="C2315" t="str">
        <f t="shared" si="267"/>
        <v/>
      </c>
      <c r="D2315" t="str">
        <f t="shared" si="272"/>
        <v/>
      </c>
      <c r="H2315">
        <f t="shared" si="268"/>
        <v>3</v>
      </c>
      <c r="I2315" s="5" t="s">
        <v>732</v>
      </c>
      <c r="J2315" s="5" t="s">
        <v>773</v>
      </c>
      <c r="Q2315" t="s">
        <v>619</v>
      </c>
      <c r="R2315">
        <v>3</v>
      </c>
      <c r="S2315">
        <v>1</v>
      </c>
      <c r="T2315" t="str">
        <f t="shared" si="266"/>
        <v>e</v>
      </c>
      <c r="U2315" t="s">
        <v>15</v>
      </c>
      <c r="V2315" t="s">
        <v>697</v>
      </c>
      <c r="X2315" t="s">
        <v>705</v>
      </c>
      <c r="Y2315" t="s">
        <v>725</v>
      </c>
      <c r="AA2315" t="s">
        <v>705</v>
      </c>
      <c r="AF2315" t="s">
        <v>623</v>
      </c>
      <c r="AJ2315">
        <v>1</v>
      </c>
      <c r="AM2315" t="str">
        <f t="shared" si="269"/>
        <v>Possession</v>
      </c>
      <c r="AN2315" t="str">
        <f t="shared" si="270"/>
        <v>PuckRetrieval</v>
      </c>
      <c r="AP2315" t="str">
        <f t="shared" si="271"/>
        <v>Offensive</v>
      </c>
      <c r="BB2315" s="23"/>
      <c r="BD2315" s="21"/>
      <c r="BE2315" s="21"/>
      <c r="BF2315" s="21"/>
      <c r="BG2315" s="21"/>
      <c r="BH2315" s="21"/>
      <c r="BI2315" s="21"/>
    </row>
    <row r="2316" spans="1:61" x14ac:dyDescent="0.2">
      <c r="A2316">
        <v>1191</v>
      </c>
      <c r="B2316" t="s">
        <v>887</v>
      </c>
      <c r="C2316" t="str">
        <f t="shared" si="267"/>
        <v/>
      </c>
      <c r="D2316" t="str">
        <f t="shared" si="272"/>
        <v/>
      </c>
      <c r="H2316">
        <f t="shared" si="268"/>
        <v>3</v>
      </c>
      <c r="R2316">
        <v>9</v>
      </c>
      <c r="T2316" t="str">
        <f t="shared" si="266"/>
        <v>o</v>
      </c>
      <c r="Y2316" t="s">
        <v>775</v>
      </c>
      <c r="AA2316" t="s">
        <v>705</v>
      </c>
      <c r="AJ2316">
        <v>1</v>
      </c>
      <c r="AM2316" t="str">
        <f t="shared" si="269"/>
        <v>Possession</v>
      </c>
      <c r="AN2316" t="str">
        <f t="shared" si="270"/>
        <v>PuckRetrieval</v>
      </c>
      <c r="AP2316" t="str">
        <f t="shared" si="271"/>
        <v>Defensive</v>
      </c>
      <c r="BB2316" s="23"/>
      <c r="BD2316" s="21"/>
      <c r="BE2316" s="21"/>
      <c r="BF2316" s="21"/>
      <c r="BG2316" s="21"/>
      <c r="BH2316" s="21"/>
      <c r="BI2316" s="21"/>
    </row>
    <row r="2317" spans="1:61" x14ac:dyDescent="0.2">
      <c r="A2317">
        <v>1192</v>
      </c>
      <c r="B2317" t="s">
        <v>887</v>
      </c>
      <c r="C2317" t="str">
        <f t="shared" si="267"/>
        <v/>
      </c>
      <c r="D2317" t="str">
        <f t="shared" si="272"/>
        <v/>
      </c>
      <c r="H2317">
        <f t="shared" si="268"/>
        <v>3</v>
      </c>
      <c r="I2317" s="5" t="s">
        <v>732</v>
      </c>
      <c r="J2317" s="5" t="s">
        <v>640</v>
      </c>
      <c r="Q2317" t="s">
        <v>619</v>
      </c>
      <c r="R2317">
        <v>12</v>
      </c>
      <c r="S2317">
        <v>1</v>
      </c>
      <c r="T2317" t="str">
        <f t="shared" si="266"/>
        <v>e</v>
      </c>
      <c r="U2317" t="s">
        <v>15</v>
      </c>
      <c r="V2317" t="s">
        <v>697</v>
      </c>
      <c r="X2317" t="s">
        <v>706</v>
      </c>
      <c r="Y2317" t="s">
        <v>712</v>
      </c>
      <c r="AA2317" t="s">
        <v>706</v>
      </c>
      <c r="AF2317" t="s">
        <v>623</v>
      </c>
      <c r="AM2317" t="str">
        <f t="shared" si="269"/>
        <v>Possession</v>
      </c>
      <c r="AN2317" t="str">
        <f t="shared" si="270"/>
        <v>PuckRetrieval</v>
      </c>
      <c r="AP2317" t="str">
        <f t="shared" si="271"/>
        <v>Offensive</v>
      </c>
      <c r="BB2317" s="23"/>
      <c r="BD2317" s="21"/>
      <c r="BE2317" s="21"/>
      <c r="BF2317" s="21"/>
      <c r="BG2317" s="21"/>
      <c r="BH2317" s="21"/>
      <c r="BI2317" s="21"/>
    </row>
    <row r="2318" spans="1:61" x14ac:dyDescent="0.2">
      <c r="A2318">
        <v>1193</v>
      </c>
      <c r="B2318" t="s">
        <v>887</v>
      </c>
      <c r="C2318" t="str">
        <f t="shared" si="267"/>
        <v/>
      </c>
      <c r="D2318" t="str">
        <f t="shared" si="272"/>
        <v/>
      </c>
      <c r="H2318">
        <f t="shared" si="268"/>
        <v>3</v>
      </c>
      <c r="I2318" s="5" t="s">
        <v>732</v>
      </c>
      <c r="J2318" s="5" t="s">
        <v>640</v>
      </c>
      <c r="K2318" s="5" t="s">
        <v>732</v>
      </c>
      <c r="L2318" s="7" t="s">
        <v>789</v>
      </c>
      <c r="Q2318" t="s">
        <v>619</v>
      </c>
      <c r="R2318">
        <v>12</v>
      </c>
      <c r="S2318">
        <v>1</v>
      </c>
      <c r="T2318" t="str">
        <f t="shared" si="266"/>
        <v>e</v>
      </c>
      <c r="U2318" t="s">
        <v>257</v>
      </c>
      <c r="V2318" t="s">
        <v>201</v>
      </c>
      <c r="W2318" t="s">
        <v>90</v>
      </c>
      <c r="X2318" t="s">
        <v>706</v>
      </c>
      <c r="Y2318" t="s">
        <v>678</v>
      </c>
      <c r="AA2318" t="s">
        <v>706</v>
      </c>
      <c r="AF2318" t="s">
        <v>623</v>
      </c>
      <c r="AM2318" t="str">
        <f t="shared" si="269"/>
        <v>Zone_Entry_Exit</v>
      </c>
      <c r="AN2318" t="str">
        <f t="shared" si="270"/>
        <v>Zone_Exit</v>
      </c>
      <c r="AP2318" t="str">
        <f t="shared" si="271"/>
        <v>Offensive</v>
      </c>
      <c r="BB2318" s="23"/>
      <c r="BD2318" s="21"/>
      <c r="BE2318" s="21"/>
      <c r="BF2318" s="21"/>
      <c r="BG2318" s="21"/>
      <c r="BH2318" s="21"/>
      <c r="BI2318" s="21"/>
    </row>
    <row r="2319" spans="1:61" x14ac:dyDescent="0.2">
      <c r="A2319">
        <v>1194</v>
      </c>
      <c r="B2319" t="s">
        <v>887</v>
      </c>
      <c r="C2319" t="str">
        <f t="shared" si="267"/>
        <v/>
      </c>
      <c r="D2319" t="str">
        <f t="shared" si="272"/>
        <v/>
      </c>
      <c r="H2319">
        <f t="shared" si="268"/>
        <v>3</v>
      </c>
      <c r="I2319" s="5" t="s">
        <v>732</v>
      </c>
      <c r="J2319" s="5" t="s">
        <v>789</v>
      </c>
      <c r="K2319" s="5" t="s">
        <v>732</v>
      </c>
      <c r="L2319" s="7" t="s">
        <v>672</v>
      </c>
      <c r="Q2319" t="s">
        <v>619</v>
      </c>
      <c r="R2319">
        <v>12</v>
      </c>
      <c r="S2319">
        <v>1</v>
      </c>
      <c r="T2319" t="str">
        <f t="shared" si="266"/>
        <v>e</v>
      </c>
      <c r="U2319" t="s">
        <v>15</v>
      </c>
      <c r="AF2319" t="s">
        <v>635</v>
      </c>
      <c r="AM2319" t="str">
        <f t="shared" si="269"/>
        <v>Possession</v>
      </c>
      <c r="AN2319" t="str">
        <f t="shared" si="270"/>
        <v/>
      </c>
      <c r="AP2319" t="str">
        <f t="shared" si="271"/>
        <v>Offensive</v>
      </c>
      <c r="BB2319" s="23"/>
      <c r="BD2319" s="21"/>
      <c r="BE2319" s="21"/>
      <c r="BF2319" s="21"/>
      <c r="BG2319" s="21"/>
      <c r="BH2319" s="21"/>
      <c r="BI2319" s="21"/>
    </row>
    <row r="2320" spans="1:61" x14ac:dyDescent="0.2">
      <c r="A2320">
        <v>1195</v>
      </c>
      <c r="B2320" t="s">
        <v>887</v>
      </c>
      <c r="C2320" t="str">
        <f t="shared" si="267"/>
        <v/>
      </c>
      <c r="D2320" t="str">
        <f t="shared" si="272"/>
        <v/>
      </c>
      <c r="H2320">
        <f t="shared" si="268"/>
        <v>3</v>
      </c>
      <c r="I2320" s="5" t="s">
        <v>732</v>
      </c>
      <c r="J2320" s="5" t="s">
        <v>672</v>
      </c>
      <c r="K2320" s="5" t="s">
        <v>732</v>
      </c>
      <c r="L2320" s="7" t="s">
        <v>810</v>
      </c>
      <c r="Q2320" t="s">
        <v>619</v>
      </c>
      <c r="R2320">
        <v>12</v>
      </c>
      <c r="S2320">
        <v>1</v>
      </c>
      <c r="T2320" t="str">
        <f t="shared" si="266"/>
        <v>e</v>
      </c>
      <c r="U2320" t="s">
        <v>257</v>
      </c>
      <c r="V2320" t="s">
        <v>191</v>
      </c>
      <c r="W2320" t="s">
        <v>87</v>
      </c>
      <c r="X2320" t="s">
        <v>706</v>
      </c>
      <c r="Y2320" t="s">
        <v>677</v>
      </c>
      <c r="AA2320" t="s">
        <v>706</v>
      </c>
      <c r="AF2320" t="s">
        <v>401</v>
      </c>
      <c r="AM2320" t="str">
        <f t="shared" si="269"/>
        <v>Zone_Entry_Exit</v>
      </c>
      <c r="AN2320" t="str">
        <f t="shared" si="270"/>
        <v>Zone_Entry</v>
      </c>
      <c r="AP2320" t="str">
        <f t="shared" si="271"/>
        <v>Offensive</v>
      </c>
      <c r="BB2320" s="23"/>
      <c r="BD2320" s="21"/>
      <c r="BE2320" s="21"/>
      <c r="BF2320" s="21"/>
      <c r="BG2320" s="21"/>
      <c r="BH2320" s="21"/>
      <c r="BI2320" s="21"/>
    </row>
    <row r="2321" spans="1:61" x14ac:dyDescent="0.2">
      <c r="A2321">
        <v>1195</v>
      </c>
      <c r="B2321" t="s">
        <v>887</v>
      </c>
      <c r="C2321" t="str">
        <f t="shared" si="267"/>
        <v/>
      </c>
      <c r="D2321" t="str">
        <f t="shared" si="272"/>
        <v/>
      </c>
      <c r="H2321">
        <f t="shared" si="268"/>
        <v>3</v>
      </c>
      <c r="R2321">
        <v>24</v>
      </c>
      <c r="T2321" t="str">
        <f t="shared" si="266"/>
        <v>o</v>
      </c>
      <c r="AM2321" t="str">
        <f t="shared" si="269"/>
        <v>Zone_Entry_Exit</v>
      </c>
      <c r="AN2321" t="str">
        <f t="shared" si="270"/>
        <v>Zone_Entry</v>
      </c>
      <c r="AP2321" t="str">
        <f t="shared" si="271"/>
        <v>Defensive</v>
      </c>
      <c r="BB2321" s="23"/>
      <c r="BD2321" s="21"/>
      <c r="BE2321" s="21"/>
      <c r="BF2321" s="21"/>
      <c r="BG2321" s="21"/>
      <c r="BH2321" s="21"/>
      <c r="BI2321" s="21"/>
    </row>
    <row r="2322" spans="1:61" x14ac:dyDescent="0.2">
      <c r="A2322">
        <v>1196</v>
      </c>
      <c r="B2322">
        <v>188</v>
      </c>
      <c r="C2322">
        <f t="shared" si="267"/>
        <v>9188</v>
      </c>
      <c r="D2322">
        <f t="shared" si="272"/>
        <v>9188</v>
      </c>
      <c r="H2322">
        <f t="shared" si="268"/>
        <v>3</v>
      </c>
      <c r="I2322" s="5" t="s">
        <v>732</v>
      </c>
      <c r="J2322" s="5" t="s">
        <v>755</v>
      </c>
      <c r="Q2322" t="s">
        <v>619</v>
      </c>
      <c r="R2322">
        <v>12</v>
      </c>
      <c r="S2322">
        <v>1</v>
      </c>
      <c r="T2322" t="str">
        <f t="shared" si="266"/>
        <v>e</v>
      </c>
      <c r="U2322" t="s">
        <v>7</v>
      </c>
      <c r="V2322" t="s">
        <v>222</v>
      </c>
      <c r="W2322" t="s">
        <v>53</v>
      </c>
      <c r="X2322" t="s">
        <v>706</v>
      </c>
      <c r="AF2322" t="s">
        <v>401</v>
      </c>
      <c r="AM2322" t="str">
        <f t="shared" si="269"/>
        <v>Shot</v>
      </c>
      <c r="AN2322" t="str">
        <f t="shared" si="270"/>
        <v>Shot_OnNetSaved</v>
      </c>
      <c r="AP2322" t="str">
        <f t="shared" si="271"/>
        <v>Offensive</v>
      </c>
      <c r="BB2322" s="23"/>
      <c r="BD2322" s="21"/>
      <c r="BE2322" s="21"/>
      <c r="BF2322" s="21"/>
      <c r="BG2322" s="21"/>
      <c r="BH2322" s="21"/>
      <c r="BI2322" s="21"/>
    </row>
    <row r="2323" spans="1:61" x14ac:dyDescent="0.2">
      <c r="A2323">
        <v>1196</v>
      </c>
      <c r="B2323">
        <v>188</v>
      </c>
      <c r="C2323">
        <f t="shared" si="267"/>
        <v>9188</v>
      </c>
      <c r="D2323">
        <f t="shared" si="272"/>
        <v>9188</v>
      </c>
      <c r="H2323">
        <f t="shared" si="268"/>
        <v>3</v>
      </c>
      <c r="R2323">
        <v>39</v>
      </c>
      <c r="T2323" t="str">
        <f t="shared" si="266"/>
        <v>o</v>
      </c>
      <c r="AM2323" t="str">
        <f t="shared" si="269"/>
        <v>Shot</v>
      </c>
      <c r="AN2323" t="str">
        <f t="shared" si="270"/>
        <v>Shot_OnNetSaved</v>
      </c>
      <c r="AP2323" t="str">
        <f t="shared" si="271"/>
        <v>Defensive</v>
      </c>
      <c r="BB2323" s="23"/>
      <c r="BD2323" s="21"/>
      <c r="BE2323" s="21"/>
      <c r="BF2323" s="21"/>
      <c r="BG2323" s="21"/>
      <c r="BH2323" s="21"/>
      <c r="BI2323" s="21"/>
    </row>
    <row r="2324" spans="1:61" x14ac:dyDescent="0.2">
      <c r="A2324">
        <v>1197</v>
      </c>
      <c r="B2324">
        <v>188</v>
      </c>
      <c r="C2324">
        <f t="shared" si="267"/>
        <v>9188</v>
      </c>
      <c r="D2324">
        <f t="shared" si="272"/>
        <v>9188</v>
      </c>
      <c r="H2324">
        <f t="shared" si="268"/>
        <v>3</v>
      </c>
      <c r="I2324" s="5" t="s">
        <v>732</v>
      </c>
      <c r="J2324" s="5" t="s">
        <v>755</v>
      </c>
      <c r="Q2324" t="s">
        <v>620</v>
      </c>
      <c r="R2324">
        <v>39</v>
      </c>
      <c r="S2324">
        <v>1</v>
      </c>
      <c r="T2324" t="str">
        <f t="shared" si="266"/>
        <v>e</v>
      </c>
      <c r="U2324" t="s">
        <v>17</v>
      </c>
      <c r="V2324" t="s">
        <v>206</v>
      </c>
      <c r="W2324" t="s">
        <v>102</v>
      </c>
      <c r="AF2324" t="s">
        <v>623</v>
      </c>
      <c r="AM2324" t="str">
        <f t="shared" si="269"/>
        <v>Save</v>
      </c>
      <c r="AN2324" t="str">
        <f t="shared" si="270"/>
        <v>Save_Freeze</v>
      </c>
      <c r="AP2324" t="str">
        <f t="shared" si="271"/>
        <v>Defensive</v>
      </c>
      <c r="BB2324" s="23"/>
      <c r="BD2324" s="21"/>
      <c r="BE2324" s="21"/>
      <c r="BF2324" s="21"/>
      <c r="BG2324" s="21"/>
      <c r="BH2324" s="21"/>
      <c r="BI2324" s="21"/>
    </row>
    <row r="2325" spans="1:61" x14ac:dyDescent="0.2">
      <c r="A2325">
        <v>1197</v>
      </c>
      <c r="B2325">
        <v>188</v>
      </c>
      <c r="C2325">
        <f t="shared" si="267"/>
        <v>9188</v>
      </c>
      <c r="D2325">
        <f t="shared" si="272"/>
        <v>9188</v>
      </c>
      <c r="H2325">
        <f t="shared" si="268"/>
        <v>3</v>
      </c>
      <c r="R2325">
        <v>12</v>
      </c>
      <c r="T2325" t="str">
        <f t="shared" si="266"/>
        <v>o</v>
      </c>
      <c r="AM2325" t="str">
        <f t="shared" si="269"/>
        <v>Save</v>
      </c>
      <c r="AN2325" t="str">
        <f t="shared" si="270"/>
        <v>Save_Freeze</v>
      </c>
      <c r="AP2325" t="str">
        <f t="shared" si="271"/>
        <v>Offensive</v>
      </c>
      <c r="BB2325" s="23"/>
      <c r="BD2325" s="21"/>
      <c r="BE2325" s="21"/>
      <c r="BF2325" s="21"/>
      <c r="BG2325" s="21"/>
      <c r="BH2325" s="21"/>
      <c r="BI2325" s="21"/>
    </row>
    <row r="2326" spans="1:61" x14ac:dyDescent="0.2">
      <c r="A2326">
        <v>1198</v>
      </c>
      <c r="B2326">
        <v>188</v>
      </c>
      <c r="C2326">
        <f t="shared" si="267"/>
        <v>9188</v>
      </c>
      <c r="D2326">
        <f t="shared" si="272"/>
        <v>9188</v>
      </c>
      <c r="H2326">
        <f t="shared" si="268"/>
        <v>3</v>
      </c>
      <c r="I2326" s="5" t="s">
        <v>732</v>
      </c>
      <c r="J2326" s="5" t="s">
        <v>755</v>
      </c>
      <c r="Q2326" t="s">
        <v>620</v>
      </c>
      <c r="R2326">
        <v>39</v>
      </c>
      <c r="S2326">
        <v>1</v>
      </c>
      <c r="T2326" t="str">
        <f t="shared" si="266"/>
        <v>e</v>
      </c>
      <c r="U2326" t="s">
        <v>13</v>
      </c>
      <c r="V2326" t="s">
        <v>204</v>
      </c>
      <c r="W2326" t="s">
        <v>110</v>
      </c>
      <c r="AF2326" t="s">
        <v>623</v>
      </c>
      <c r="AM2326" t="str">
        <f t="shared" si="269"/>
        <v>Stoppage</v>
      </c>
      <c r="AN2326" t="str">
        <f t="shared" si="270"/>
        <v>Stoppage_Play</v>
      </c>
      <c r="AP2326" t="str">
        <f t="shared" si="271"/>
        <v/>
      </c>
      <c r="BB2326" s="23"/>
      <c r="BD2326" s="21"/>
      <c r="BE2326" s="21"/>
      <c r="BF2326" s="21"/>
      <c r="BG2326" s="21"/>
      <c r="BH2326" s="21"/>
      <c r="BI2326" s="21"/>
    </row>
    <row r="2327" spans="1:61" x14ac:dyDescent="0.2">
      <c r="A2327">
        <v>1199</v>
      </c>
      <c r="B2327">
        <v>188</v>
      </c>
      <c r="C2327">
        <f t="shared" si="267"/>
        <v>9188</v>
      </c>
      <c r="D2327">
        <f t="shared" si="272"/>
        <v>9188</v>
      </c>
      <c r="H2327">
        <f t="shared" si="268"/>
        <v>3</v>
      </c>
      <c r="I2327" s="5" t="s">
        <v>732</v>
      </c>
      <c r="J2327" s="5" t="s">
        <v>755</v>
      </c>
      <c r="K2327" s="5" t="s">
        <v>732</v>
      </c>
      <c r="L2327" s="7" t="s">
        <v>726</v>
      </c>
      <c r="Q2327" t="s">
        <v>620</v>
      </c>
      <c r="R2327">
        <v>39</v>
      </c>
      <c r="S2327">
        <v>1</v>
      </c>
      <c r="T2327" t="str">
        <f t="shared" si="266"/>
        <v>e</v>
      </c>
      <c r="U2327" t="s">
        <v>262</v>
      </c>
      <c r="AF2327" t="s">
        <v>623</v>
      </c>
      <c r="AM2327" t="str">
        <f t="shared" si="269"/>
        <v>DeadIce</v>
      </c>
      <c r="AN2327" t="str">
        <f t="shared" si="270"/>
        <v/>
      </c>
      <c r="AP2327" t="str">
        <f t="shared" si="271"/>
        <v/>
      </c>
      <c r="BB2327" s="23"/>
      <c r="BD2327" s="21"/>
      <c r="BE2327" s="21"/>
      <c r="BF2327" s="21"/>
      <c r="BG2327" s="21"/>
      <c r="BH2327" s="21"/>
      <c r="BI2327" s="21"/>
    </row>
    <row r="2328" spans="1:61" x14ac:dyDescent="0.2">
      <c r="A2328">
        <v>1200</v>
      </c>
      <c r="B2328" t="s">
        <v>887</v>
      </c>
      <c r="C2328" t="str">
        <f t="shared" si="267"/>
        <v/>
      </c>
      <c r="D2328" t="str">
        <f t="shared" si="272"/>
        <v/>
      </c>
      <c r="H2328">
        <f t="shared" si="268"/>
        <v>3</v>
      </c>
      <c r="I2328" s="5" t="s">
        <v>732</v>
      </c>
      <c r="J2328" s="5" t="s">
        <v>726</v>
      </c>
      <c r="Q2328" t="s">
        <v>620</v>
      </c>
      <c r="R2328">
        <v>70</v>
      </c>
      <c r="S2328">
        <v>1</v>
      </c>
      <c r="T2328" t="str">
        <f t="shared" si="266"/>
        <v>e</v>
      </c>
      <c r="U2328" t="s">
        <v>6</v>
      </c>
      <c r="V2328" t="s">
        <v>255</v>
      </c>
      <c r="AF2328" t="s">
        <v>623</v>
      </c>
      <c r="AM2328" t="str">
        <f t="shared" si="269"/>
        <v>Faceoff</v>
      </c>
      <c r="AN2328" t="str">
        <f t="shared" si="270"/>
        <v>Faceoff_AfterStoppage</v>
      </c>
      <c r="AP2328" t="str">
        <f t="shared" si="271"/>
        <v>Offensive</v>
      </c>
      <c r="BB2328" s="23"/>
      <c r="BD2328" s="21"/>
      <c r="BE2328" s="21"/>
      <c r="BF2328" s="21"/>
      <c r="BG2328" s="21"/>
      <c r="BH2328" s="21"/>
      <c r="BI2328" s="21"/>
    </row>
    <row r="2329" spans="1:61" x14ac:dyDescent="0.2">
      <c r="A2329">
        <v>1200</v>
      </c>
      <c r="B2329" t="s">
        <v>887</v>
      </c>
      <c r="C2329" t="str">
        <f t="shared" si="267"/>
        <v/>
      </c>
      <c r="D2329" t="str">
        <f t="shared" si="272"/>
        <v/>
      </c>
      <c r="H2329">
        <f t="shared" si="268"/>
        <v>3</v>
      </c>
      <c r="R2329">
        <v>9</v>
      </c>
      <c r="S2329">
        <v>1</v>
      </c>
      <c r="T2329" t="str">
        <f t="shared" si="266"/>
        <v>e</v>
      </c>
      <c r="AM2329" t="str">
        <f t="shared" si="269"/>
        <v>Faceoff</v>
      </c>
      <c r="AN2329" t="str">
        <f t="shared" si="270"/>
        <v>Faceoff_AfterStoppage</v>
      </c>
      <c r="AP2329" t="str">
        <f t="shared" si="271"/>
        <v>Offensive</v>
      </c>
      <c r="BB2329" s="23"/>
      <c r="BD2329" s="21"/>
      <c r="BE2329" s="21"/>
      <c r="BF2329" s="21"/>
      <c r="BG2329" s="21"/>
      <c r="BH2329" s="21"/>
      <c r="BI2329" s="21"/>
    </row>
    <row r="2330" spans="1:61" x14ac:dyDescent="0.2">
      <c r="A2330">
        <v>1200</v>
      </c>
      <c r="B2330" t="s">
        <v>887</v>
      </c>
      <c r="C2330" t="str">
        <f t="shared" si="267"/>
        <v/>
      </c>
      <c r="D2330" t="str">
        <f t="shared" si="272"/>
        <v/>
      </c>
      <c r="H2330">
        <f t="shared" si="268"/>
        <v>3</v>
      </c>
      <c r="R2330">
        <v>3</v>
      </c>
      <c r="T2330" t="str">
        <f t="shared" si="266"/>
        <v>o</v>
      </c>
      <c r="AM2330" t="str">
        <f t="shared" si="269"/>
        <v>Faceoff</v>
      </c>
      <c r="AN2330" t="str">
        <f t="shared" si="270"/>
        <v>Faceoff_AfterStoppage</v>
      </c>
      <c r="AP2330" t="str">
        <f t="shared" si="271"/>
        <v>Defensive</v>
      </c>
      <c r="BB2330" s="23"/>
      <c r="BD2330" s="21"/>
      <c r="BE2330" s="21"/>
      <c r="BF2330" s="21"/>
      <c r="BG2330" s="21"/>
      <c r="BH2330" s="21"/>
      <c r="BI2330" s="21"/>
    </row>
    <row r="2331" spans="1:61" x14ac:dyDescent="0.2">
      <c r="A2331">
        <v>1201</v>
      </c>
      <c r="B2331" t="s">
        <v>887</v>
      </c>
      <c r="C2331" t="str">
        <f t="shared" si="267"/>
        <v/>
      </c>
      <c r="D2331" t="str">
        <f t="shared" si="272"/>
        <v/>
      </c>
      <c r="H2331">
        <f t="shared" si="268"/>
        <v>3</v>
      </c>
      <c r="I2331" s="5" t="s">
        <v>732</v>
      </c>
      <c r="J2331" s="5" t="s">
        <v>726</v>
      </c>
      <c r="Q2331" t="s">
        <v>620</v>
      </c>
      <c r="R2331">
        <v>9</v>
      </c>
      <c r="S2331">
        <v>1</v>
      </c>
      <c r="T2331" t="str">
        <f t="shared" si="266"/>
        <v>e</v>
      </c>
      <c r="U2331" t="s">
        <v>10</v>
      </c>
      <c r="V2331" t="s">
        <v>190</v>
      </c>
      <c r="W2331" t="s">
        <v>398</v>
      </c>
      <c r="X2331" t="s">
        <v>705</v>
      </c>
      <c r="Y2331" t="s">
        <v>746</v>
      </c>
      <c r="AA2331" t="s">
        <v>705</v>
      </c>
      <c r="AF2331" t="s">
        <v>623</v>
      </c>
      <c r="AM2331" t="str">
        <f t="shared" si="269"/>
        <v>Turnover</v>
      </c>
      <c r="AN2331" t="str">
        <f t="shared" si="270"/>
        <v>Turnover_Giveaway</v>
      </c>
      <c r="AP2331" t="str">
        <f t="shared" si="271"/>
        <v>Offensive</v>
      </c>
      <c r="BB2331" s="23"/>
      <c r="BD2331" s="21"/>
      <c r="BE2331" s="21"/>
      <c r="BF2331" s="21"/>
      <c r="BG2331" s="21"/>
      <c r="BH2331" s="21"/>
      <c r="BI2331" s="21"/>
    </row>
    <row r="2332" spans="1:61" x14ac:dyDescent="0.2">
      <c r="A2332">
        <v>1202</v>
      </c>
      <c r="B2332" t="s">
        <v>887</v>
      </c>
      <c r="C2332" t="str">
        <f t="shared" si="267"/>
        <v/>
      </c>
      <c r="D2332" t="str">
        <f t="shared" si="272"/>
        <v/>
      </c>
      <c r="H2332">
        <f t="shared" si="268"/>
        <v>3</v>
      </c>
      <c r="I2332" s="5" t="s">
        <v>732</v>
      </c>
      <c r="J2332" s="5" t="s">
        <v>766</v>
      </c>
      <c r="Q2332" t="s">
        <v>619</v>
      </c>
      <c r="R2332">
        <v>4</v>
      </c>
      <c r="S2332">
        <v>1</v>
      </c>
      <c r="T2332" t="str">
        <f t="shared" si="266"/>
        <v>e</v>
      </c>
      <c r="U2332" t="s">
        <v>15</v>
      </c>
      <c r="V2332" t="s">
        <v>697</v>
      </c>
      <c r="X2332" t="s">
        <v>705</v>
      </c>
      <c r="Y2332" t="s">
        <v>720</v>
      </c>
      <c r="AA2332" t="s">
        <v>705</v>
      </c>
      <c r="AF2332" t="s">
        <v>401</v>
      </c>
      <c r="AM2332" t="str">
        <f t="shared" si="269"/>
        <v>Possession</v>
      </c>
      <c r="AN2332" t="str">
        <f t="shared" si="270"/>
        <v>PuckRetrieval</v>
      </c>
      <c r="AP2332" t="str">
        <f t="shared" si="271"/>
        <v>Offensive</v>
      </c>
      <c r="BB2332" s="23"/>
      <c r="BD2332" s="21"/>
      <c r="BE2332" s="21"/>
      <c r="BF2332" s="21"/>
      <c r="BG2332" s="21"/>
      <c r="BH2332" s="21"/>
      <c r="BI2332" s="21"/>
    </row>
    <row r="2333" spans="1:61" x14ac:dyDescent="0.2">
      <c r="A2333">
        <v>1203</v>
      </c>
      <c r="B2333" t="s">
        <v>887</v>
      </c>
      <c r="C2333" t="str">
        <f t="shared" si="267"/>
        <v/>
      </c>
      <c r="D2333" t="str">
        <f t="shared" si="272"/>
        <v/>
      </c>
      <c r="H2333">
        <f t="shared" si="268"/>
        <v>3</v>
      </c>
      <c r="I2333" s="5" t="s">
        <v>732</v>
      </c>
      <c r="J2333" s="5" t="s">
        <v>766</v>
      </c>
      <c r="Q2333" t="s">
        <v>619</v>
      </c>
      <c r="R2333">
        <v>4</v>
      </c>
      <c r="S2333">
        <v>1</v>
      </c>
      <c r="T2333" t="str">
        <f t="shared" si="266"/>
        <v>e</v>
      </c>
      <c r="U2333" t="s">
        <v>10</v>
      </c>
      <c r="V2333" t="s">
        <v>190</v>
      </c>
      <c r="W2333" t="s">
        <v>424</v>
      </c>
      <c r="X2333" t="s">
        <v>705</v>
      </c>
      <c r="Y2333" t="s">
        <v>680</v>
      </c>
      <c r="AA2333" t="s">
        <v>705</v>
      </c>
      <c r="AF2333" t="s">
        <v>401</v>
      </c>
      <c r="AM2333" t="str">
        <f t="shared" si="269"/>
        <v>Turnover</v>
      </c>
      <c r="AN2333" t="str">
        <f t="shared" si="270"/>
        <v>Turnover_Giveaway</v>
      </c>
      <c r="AP2333" t="str">
        <f t="shared" si="271"/>
        <v>Offensive</v>
      </c>
      <c r="BB2333" s="23"/>
      <c r="BD2333" s="21"/>
      <c r="BE2333" s="21"/>
      <c r="BF2333" s="21"/>
      <c r="BG2333" s="21"/>
      <c r="BH2333" s="21"/>
      <c r="BI2333" s="21"/>
    </row>
    <row r="2334" spans="1:61" x14ac:dyDescent="0.2">
      <c r="A2334">
        <v>1204</v>
      </c>
      <c r="B2334" t="s">
        <v>887</v>
      </c>
      <c r="C2334" t="str">
        <f t="shared" si="267"/>
        <v/>
      </c>
      <c r="D2334" t="str">
        <f t="shared" si="272"/>
        <v/>
      </c>
      <c r="H2334">
        <f t="shared" si="268"/>
        <v>3</v>
      </c>
      <c r="I2334" s="5" t="s">
        <v>732</v>
      </c>
      <c r="J2334" s="5" t="s">
        <v>732</v>
      </c>
      <c r="Q2334" t="s">
        <v>620</v>
      </c>
      <c r="R2334">
        <v>9</v>
      </c>
      <c r="S2334">
        <v>1</v>
      </c>
      <c r="T2334" t="str">
        <f t="shared" si="266"/>
        <v>e</v>
      </c>
      <c r="U2334" t="s">
        <v>15</v>
      </c>
      <c r="V2334" t="s">
        <v>697</v>
      </c>
      <c r="X2334" t="s">
        <v>706</v>
      </c>
      <c r="Y2334" t="s">
        <v>720</v>
      </c>
      <c r="AA2334" t="s">
        <v>706</v>
      </c>
      <c r="AF2334" t="s">
        <v>623</v>
      </c>
      <c r="AJ2334">
        <v>1</v>
      </c>
      <c r="AM2334" t="str">
        <f t="shared" si="269"/>
        <v>Possession</v>
      </c>
      <c r="AN2334" t="str">
        <f t="shared" si="270"/>
        <v>PuckRetrieval</v>
      </c>
      <c r="AP2334" t="str">
        <f t="shared" si="271"/>
        <v>Offensive</v>
      </c>
      <c r="BB2334" s="23"/>
      <c r="BD2334" s="21"/>
      <c r="BE2334" s="21"/>
      <c r="BF2334" s="21"/>
      <c r="BG2334" s="21"/>
      <c r="BH2334" s="21"/>
      <c r="BI2334" s="21"/>
    </row>
    <row r="2335" spans="1:61" x14ac:dyDescent="0.2">
      <c r="A2335">
        <v>1204</v>
      </c>
      <c r="B2335" t="s">
        <v>887</v>
      </c>
      <c r="C2335" t="str">
        <f t="shared" si="267"/>
        <v/>
      </c>
      <c r="D2335" t="str">
        <f t="shared" si="272"/>
        <v/>
      </c>
      <c r="H2335">
        <f t="shared" si="268"/>
        <v>3</v>
      </c>
      <c r="R2335">
        <v>56</v>
      </c>
      <c r="T2335" t="str">
        <f t="shared" si="266"/>
        <v>o</v>
      </c>
      <c r="Y2335" t="s">
        <v>761</v>
      </c>
      <c r="AA2335" t="s">
        <v>705</v>
      </c>
      <c r="AJ2335">
        <v>1</v>
      </c>
      <c r="AM2335" t="str">
        <f t="shared" si="269"/>
        <v>Possession</v>
      </c>
      <c r="AN2335" t="str">
        <f t="shared" si="270"/>
        <v>PuckRetrieval</v>
      </c>
      <c r="AP2335" t="str">
        <f t="shared" si="271"/>
        <v>Defensive</v>
      </c>
      <c r="BB2335" s="23"/>
      <c r="BD2335" s="21"/>
      <c r="BE2335" s="21"/>
      <c r="BF2335" s="21"/>
      <c r="BG2335" s="21"/>
      <c r="BH2335" s="21"/>
      <c r="BI2335" s="21"/>
    </row>
    <row r="2336" spans="1:61" x14ac:dyDescent="0.2">
      <c r="A2336">
        <v>1205</v>
      </c>
      <c r="B2336" t="s">
        <v>887</v>
      </c>
      <c r="C2336" t="str">
        <f t="shared" si="267"/>
        <v/>
      </c>
      <c r="D2336" t="str">
        <f t="shared" si="272"/>
        <v/>
      </c>
      <c r="H2336">
        <f t="shared" si="268"/>
        <v>3</v>
      </c>
      <c r="I2336" s="5" t="s">
        <v>732</v>
      </c>
      <c r="J2336" s="5" t="s">
        <v>732</v>
      </c>
      <c r="Q2336" t="s">
        <v>620</v>
      </c>
      <c r="R2336">
        <v>9</v>
      </c>
      <c r="S2336">
        <v>1</v>
      </c>
      <c r="T2336" t="str">
        <f t="shared" si="266"/>
        <v>e</v>
      </c>
      <c r="U2336" t="s">
        <v>8</v>
      </c>
      <c r="V2336" t="s">
        <v>189</v>
      </c>
      <c r="W2336" t="s">
        <v>70</v>
      </c>
      <c r="X2336" t="s">
        <v>706</v>
      </c>
      <c r="Y2336" t="s">
        <v>814</v>
      </c>
      <c r="AA2336" t="s">
        <v>706</v>
      </c>
      <c r="AF2336" t="s">
        <v>623</v>
      </c>
      <c r="AJ2336">
        <v>1</v>
      </c>
      <c r="AM2336" t="str">
        <f t="shared" si="269"/>
        <v>Pass</v>
      </c>
      <c r="AN2336" t="str">
        <f t="shared" si="270"/>
        <v>Pass_Completed</v>
      </c>
      <c r="AP2336" t="str">
        <f t="shared" si="271"/>
        <v>Offensive</v>
      </c>
      <c r="BB2336" s="23"/>
      <c r="BD2336" s="21"/>
      <c r="BE2336" s="21"/>
      <c r="BF2336" s="21"/>
      <c r="BG2336" s="21"/>
      <c r="BH2336" s="21"/>
      <c r="BI2336" s="21"/>
    </row>
    <row r="2337" spans="1:61" x14ac:dyDescent="0.2">
      <c r="A2337">
        <v>1205</v>
      </c>
      <c r="B2337" t="s">
        <v>887</v>
      </c>
      <c r="C2337" t="str">
        <f t="shared" si="267"/>
        <v/>
      </c>
      <c r="D2337" t="str">
        <f t="shared" si="272"/>
        <v/>
      </c>
      <c r="H2337">
        <f t="shared" si="268"/>
        <v>3</v>
      </c>
      <c r="R2337">
        <v>70</v>
      </c>
      <c r="S2337">
        <v>1</v>
      </c>
      <c r="T2337" t="str">
        <f t="shared" si="266"/>
        <v>e</v>
      </c>
      <c r="AM2337" t="str">
        <f t="shared" si="269"/>
        <v>Pass</v>
      </c>
      <c r="AN2337" t="str">
        <f t="shared" si="270"/>
        <v>Pass_Completed</v>
      </c>
      <c r="AP2337" t="str">
        <f t="shared" si="271"/>
        <v>Offensive</v>
      </c>
      <c r="BB2337" s="23"/>
      <c r="BD2337" s="21"/>
      <c r="BE2337" s="21"/>
      <c r="BF2337" s="21"/>
      <c r="BG2337" s="21"/>
      <c r="BH2337" s="21"/>
      <c r="BI2337" s="21"/>
    </row>
    <row r="2338" spans="1:61" x14ac:dyDescent="0.2">
      <c r="A2338">
        <v>1205</v>
      </c>
      <c r="B2338" t="s">
        <v>887</v>
      </c>
      <c r="C2338" t="str">
        <f t="shared" si="267"/>
        <v/>
      </c>
      <c r="D2338" t="str">
        <f t="shared" si="272"/>
        <v/>
      </c>
      <c r="H2338">
        <f t="shared" si="268"/>
        <v>3</v>
      </c>
      <c r="R2338">
        <v>56</v>
      </c>
      <c r="T2338" t="str">
        <f t="shared" si="266"/>
        <v>o</v>
      </c>
      <c r="AJ2338">
        <v>1</v>
      </c>
      <c r="AM2338" t="str">
        <f t="shared" si="269"/>
        <v>Pass</v>
      </c>
      <c r="AN2338" t="str">
        <f t="shared" si="270"/>
        <v>Pass_Completed</v>
      </c>
      <c r="AP2338" t="str">
        <f t="shared" si="271"/>
        <v>Defensive</v>
      </c>
      <c r="BB2338" s="23"/>
      <c r="BD2338" s="21"/>
      <c r="BE2338" s="21"/>
      <c r="BF2338" s="21"/>
      <c r="BG2338" s="21"/>
      <c r="BH2338" s="21"/>
      <c r="BI2338" s="21"/>
    </row>
    <row r="2339" spans="1:61" x14ac:dyDescent="0.2">
      <c r="A2339">
        <v>1206</v>
      </c>
      <c r="B2339">
        <v>189</v>
      </c>
      <c r="C2339">
        <f t="shared" si="267"/>
        <v>9189</v>
      </c>
      <c r="D2339">
        <f t="shared" si="272"/>
        <v>9189</v>
      </c>
      <c r="H2339">
        <f t="shared" si="268"/>
        <v>3</v>
      </c>
      <c r="I2339" s="5" t="s">
        <v>732</v>
      </c>
      <c r="J2339" s="5" t="s">
        <v>732</v>
      </c>
      <c r="Q2339" t="s">
        <v>620</v>
      </c>
      <c r="R2339">
        <v>70</v>
      </c>
      <c r="S2339">
        <v>1</v>
      </c>
      <c r="T2339" t="str">
        <f t="shared" si="266"/>
        <v>e</v>
      </c>
      <c r="U2339" t="s">
        <v>257</v>
      </c>
      <c r="V2339" t="s">
        <v>201</v>
      </c>
      <c r="W2339" t="s">
        <v>92</v>
      </c>
      <c r="X2339" t="s">
        <v>705</v>
      </c>
      <c r="AF2339" t="s">
        <v>623</v>
      </c>
      <c r="AM2339" t="str">
        <f t="shared" si="269"/>
        <v>Zone_Entry_Exit</v>
      </c>
      <c r="AN2339" t="str">
        <f t="shared" si="270"/>
        <v>Zone_Exit</v>
      </c>
      <c r="AP2339" t="str">
        <f t="shared" si="271"/>
        <v>Offensive</v>
      </c>
      <c r="BB2339" s="23"/>
      <c r="BD2339" s="21"/>
      <c r="BE2339" s="21"/>
      <c r="BF2339" s="21"/>
      <c r="BG2339" s="21"/>
      <c r="BH2339" s="21"/>
      <c r="BI2339" s="21"/>
    </row>
    <row r="2340" spans="1:61" x14ac:dyDescent="0.2">
      <c r="A2340">
        <v>1207</v>
      </c>
      <c r="B2340">
        <v>189</v>
      </c>
      <c r="C2340">
        <f t="shared" si="267"/>
        <v>9189</v>
      </c>
      <c r="D2340">
        <f t="shared" si="272"/>
        <v>9189</v>
      </c>
      <c r="H2340">
        <f t="shared" si="268"/>
        <v>3</v>
      </c>
      <c r="I2340" s="5" t="s">
        <v>732</v>
      </c>
      <c r="J2340" s="5" t="s">
        <v>732</v>
      </c>
      <c r="Q2340" t="s">
        <v>620</v>
      </c>
      <c r="R2340">
        <v>70</v>
      </c>
      <c r="S2340">
        <v>1</v>
      </c>
      <c r="T2340" t="str">
        <f t="shared" si="266"/>
        <v>e</v>
      </c>
      <c r="U2340" t="s">
        <v>257</v>
      </c>
      <c r="V2340" t="s">
        <v>191</v>
      </c>
      <c r="W2340" t="s">
        <v>408</v>
      </c>
      <c r="X2340" t="s">
        <v>705</v>
      </c>
      <c r="AF2340" t="s">
        <v>623</v>
      </c>
      <c r="AM2340" t="str">
        <f t="shared" si="269"/>
        <v>Zone_Entry_Exit</v>
      </c>
      <c r="AN2340" t="str">
        <f t="shared" si="270"/>
        <v>Zone_Entry</v>
      </c>
      <c r="AP2340" t="str">
        <f t="shared" si="271"/>
        <v>Offensive</v>
      </c>
      <c r="BB2340" s="23"/>
      <c r="BD2340" s="21"/>
      <c r="BE2340" s="21"/>
      <c r="BF2340" s="21"/>
      <c r="BG2340" s="21"/>
      <c r="BH2340" s="21"/>
      <c r="BI2340" s="21"/>
    </row>
    <row r="2341" spans="1:61" x14ac:dyDescent="0.2">
      <c r="A2341">
        <v>1208</v>
      </c>
      <c r="B2341" t="s">
        <v>887</v>
      </c>
      <c r="C2341" t="str">
        <f t="shared" si="267"/>
        <v/>
      </c>
      <c r="D2341" t="str">
        <f t="shared" si="272"/>
        <v/>
      </c>
      <c r="H2341">
        <f t="shared" si="268"/>
        <v>3</v>
      </c>
      <c r="I2341" s="5" t="s">
        <v>732</v>
      </c>
      <c r="J2341" s="5" t="s">
        <v>735</v>
      </c>
      <c r="K2341" s="5" t="s">
        <v>732</v>
      </c>
      <c r="L2341" s="7" t="s">
        <v>738</v>
      </c>
      <c r="Q2341" t="s">
        <v>619</v>
      </c>
      <c r="R2341">
        <v>4</v>
      </c>
      <c r="S2341">
        <v>1</v>
      </c>
      <c r="T2341" t="str">
        <f t="shared" si="266"/>
        <v>e</v>
      </c>
      <c r="U2341" t="s">
        <v>15</v>
      </c>
      <c r="V2341" t="s">
        <v>697</v>
      </c>
      <c r="X2341" t="s">
        <v>705</v>
      </c>
      <c r="Y2341" t="s">
        <v>720</v>
      </c>
      <c r="AA2341" t="s">
        <v>705</v>
      </c>
      <c r="AF2341" t="s">
        <v>623</v>
      </c>
      <c r="AM2341" t="str">
        <f t="shared" si="269"/>
        <v>Possession</v>
      </c>
      <c r="AN2341" t="str">
        <f t="shared" si="270"/>
        <v>PuckRetrieval</v>
      </c>
      <c r="AP2341" t="str">
        <f t="shared" si="271"/>
        <v>Offensive</v>
      </c>
      <c r="BB2341" s="23"/>
      <c r="BD2341" s="21"/>
      <c r="BE2341" s="21"/>
      <c r="BF2341" s="21"/>
      <c r="BG2341" s="21"/>
      <c r="BH2341" s="21"/>
      <c r="BI2341" s="21"/>
    </row>
    <row r="2342" spans="1:61" x14ac:dyDescent="0.2">
      <c r="A2342">
        <v>1209</v>
      </c>
      <c r="B2342" t="s">
        <v>887</v>
      </c>
      <c r="C2342" t="str">
        <f t="shared" si="267"/>
        <v/>
      </c>
      <c r="D2342" t="str">
        <f t="shared" si="272"/>
        <v/>
      </c>
      <c r="H2342">
        <f t="shared" si="268"/>
        <v>3</v>
      </c>
      <c r="I2342" s="5" t="s">
        <v>732</v>
      </c>
      <c r="J2342" s="5" t="s">
        <v>738</v>
      </c>
      <c r="Q2342" t="s">
        <v>619</v>
      </c>
      <c r="R2342">
        <v>4</v>
      </c>
      <c r="S2342">
        <v>1</v>
      </c>
      <c r="T2342" t="str">
        <f t="shared" si="266"/>
        <v>e</v>
      </c>
      <c r="U2342" t="s">
        <v>257</v>
      </c>
      <c r="V2342" t="s">
        <v>201</v>
      </c>
      <c r="W2342" t="s">
        <v>92</v>
      </c>
      <c r="X2342" t="s">
        <v>705</v>
      </c>
      <c r="AF2342" t="s">
        <v>623</v>
      </c>
      <c r="AM2342" t="str">
        <f t="shared" si="269"/>
        <v>Zone_Entry_Exit</v>
      </c>
      <c r="AN2342" t="str">
        <f t="shared" si="270"/>
        <v>Zone_Exit</v>
      </c>
      <c r="AP2342" t="str">
        <f t="shared" si="271"/>
        <v>Offensive</v>
      </c>
      <c r="BB2342" s="23"/>
      <c r="BD2342" s="21"/>
      <c r="BE2342" s="21"/>
      <c r="BF2342" s="21"/>
      <c r="BG2342" s="21"/>
      <c r="BH2342" s="21"/>
      <c r="BI2342" s="21"/>
    </row>
    <row r="2343" spans="1:61" x14ac:dyDescent="0.2">
      <c r="A2343">
        <v>1210</v>
      </c>
      <c r="B2343" t="s">
        <v>887</v>
      </c>
      <c r="C2343" t="str">
        <f t="shared" si="267"/>
        <v/>
      </c>
      <c r="D2343" t="str">
        <f t="shared" si="272"/>
        <v/>
      </c>
      <c r="H2343">
        <f t="shared" si="268"/>
        <v>3</v>
      </c>
      <c r="I2343" s="5" t="s">
        <v>732</v>
      </c>
      <c r="J2343" s="5" t="s">
        <v>738</v>
      </c>
      <c r="Q2343" t="s">
        <v>619</v>
      </c>
      <c r="R2343">
        <v>4</v>
      </c>
      <c r="S2343">
        <v>1</v>
      </c>
      <c r="T2343" t="str">
        <f t="shared" si="266"/>
        <v>e</v>
      </c>
      <c r="U2343" t="s">
        <v>10</v>
      </c>
      <c r="V2343" t="s">
        <v>190</v>
      </c>
      <c r="W2343" t="s">
        <v>387</v>
      </c>
      <c r="X2343" t="s">
        <v>705</v>
      </c>
      <c r="Y2343" t="s">
        <v>746</v>
      </c>
      <c r="AA2343" t="s">
        <v>705</v>
      </c>
      <c r="AF2343" t="s">
        <v>623</v>
      </c>
      <c r="AM2343" t="str">
        <f t="shared" si="269"/>
        <v>Turnover</v>
      </c>
      <c r="AN2343" t="str">
        <f t="shared" si="270"/>
        <v>Turnover_Giveaway</v>
      </c>
      <c r="AP2343" t="str">
        <f t="shared" si="271"/>
        <v>Offensive</v>
      </c>
      <c r="BB2343" s="23"/>
      <c r="BD2343" s="21"/>
      <c r="BE2343" s="21"/>
      <c r="BF2343" s="21"/>
      <c r="BG2343" s="21"/>
      <c r="BH2343" s="21"/>
      <c r="BI2343" s="21"/>
    </row>
    <row r="2344" spans="1:61" x14ac:dyDescent="0.2">
      <c r="A2344">
        <v>1211</v>
      </c>
      <c r="B2344" t="s">
        <v>887</v>
      </c>
      <c r="C2344" t="str">
        <f t="shared" si="267"/>
        <v/>
      </c>
      <c r="D2344" t="str">
        <f t="shared" si="272"/>
        <v/>
      </c>
      <c r="H2344">
        <f t="shared" si="268"/>
        <v>3</v>
      </c>
      <c r="I2344" s="5" t="s">
        <v>732</v>
      </c>
      <c r="J2344" s="5" t="s">
        <v>740</v>
      </c>
      <c r="Q2344" t="s">
        <v>620</v>
      </c>
      <c r="R2344">
        <v>9</v>
      </c>
      <c r="S2344">
        <v>1</v>
      </c>
      <c r="T2344" t="str">
        <f t="shared" si="266"/>
        <v>e</v>
      </c>
      <c r="U2344" t="s">
        <v>15</v>
      </c>
      <c r="V2344" t="s">
        <v>697</v>
      </c>
      <c r="X2344" t="s">
        <v>705</v>
      </c>
      <c r="Y2344" t="s">
        <v>720</v>
      </c>
      <c r="AA2344" t="s">
        <v>705</v>
      </c>
      <c r="AF2344" t="s">
        <v>635</v>
      </c>
      <c r="AJ2344">
        <v>1</v>
      </c>
      <c r="AM2344" t="str">
        <f t="shared" si="269"/>
        <v>Possession</v>
      </c>
      <c r="AN2344" t="str">
        <f t="shared" si="270"/>
        <v>PuckRetrieval</v>
      </c>
      <c r="AP2344" t="str">
        <f t="shared" si="271"/>
        <v>Offensive</v>
      </c>
      <c r="BB2344" s="23"/>
      <c r="BD2344" s="21"/>
      <c r="BE2344" s="21"/>
      <c r="BF2344" s="21"/>
      <c r="BG2344" s="21"/>
      <c r="BH2344" s="21"/>
      <c r="BI2344" s="21"/>
    </row>
    <row r="2345" spans="1:61" x14ac:dyDescent="0.2">
      <c r="A2345">
        <v>1211</v>
      </c>
      <c r="B2345" t="s">
        <v>887</v>
      </c>
      <c r="C2345" t="str">
        <f t="shared" si="267"/>
        <v/>
      </c>
      <c r="D2345" t="str">
        <f t="shared" si="272"/>
        <v/>
      </c>
      <c r="H2345">
        <f t="shared" si="268"/>
        <v>3</v>
      </c>
      <c r="R2345">
        <v>56</v>
      </c>
      <c r="T2345" t="str">
        <f t="shared" si="266"/>
        <v>o</v>
      </c>
      <c r="AJ2345">
        <v>1</v>
      </c>
      <c r="AM2345" t="str">
        <f t="shared" si="269"/>
        <v>Possession</v>
      </c>
      <c r="AN2345" t="str">
        <f t="shared" si="270"/>
        <v>PuckRetrieval</v>
      </c>
      <c r="AP2345" t="str">
        <f t="shared" si="271"/>
        <v>Defensive</v>
      </c>
      <c r="BB2345" s="23"/>
      <c r="BD2345" s="21"/>
      <c r="BE2345" s="21"/>
      <c r="BF2345" s="21"/>
      <c r="BG2345" s="21"/>
      <c r="BH2345" s="21"/>
      <c r="BI2345" s="21"/>
    </row>
    <row r="2346" spans="1:61" x14ac:dyDescent="0.2">
      <c r="A2346">
        <v>1212</v>
      </c>
      <c r="B2346" t="s">
        <v>887</v>
      </c>
      <c r="C2346" t="str">
        <f t="shared" si="267"/>
        <v/>
      </c>
      <c r="D2346" t="str">
        <f t="shared" si="272"/>
        <v/>
      </c>
      <c r="H2346">
        <f t="shared" si="268"/>
        <v>3</v>
      </c>
      <c r="I2346" s="5" t="s">
        <v>732</v>
      </c>
      <c r="J2346" s="5" t="s">
        <v>740</v>
      </c>
      <c r="Q2346" t="s">
        <v>619</v>
      </c>
      <c r="R2346">
        <v>56</v>
      </c>
      <c r="S2346">
        <v>1</v>
      </c>
      <c r="T2346" t="str">
        <f t="shared" si="266"/>
        <v>e</v>
      </c>
      <c r="U2346" t="s">
        <v>10</v>
      </c>
      <c r="V2346" t="s">
        <v>200</v>
      </c>
      <c r="W2346" t="s">
        <v>81</v>
      </c>
      <c r="X2346" t="s">
        <v>706</v>
      </c>
      <c r="Y2346" t="s">
        <v>774</v>
      </c>
      <c r="AA2346" t="s">
        <v>706</v>
      </c>
      <c r="AF2346" t="s">
        <v>635</v>
      </c>
      <c r="AJ2346">
        <v>1</v>
      </c>
      <c r="AM2346" t="str">
        <f t="shared" si="269"/>
        <v>Turnover</v>
      </c>
      <c r="AN2346" t="str">
        <f t="shared" si="270"/>
        <v>Turnover_Takeaway</v>
      </c>
      <c r="AP2346" t="str">
        <f t="shared" si="271"/>
        <v>Defensive</v>
      </c>
      <c r="BB2346" s="23"/>
      <c r="BD2346" s="21"/>
      <c r="BE2346" s="21"/>
      <c r="BF2346" s="21"/>
      <c r="BG2346" s="21"/>
      <c r="BH2346" s="21"/>
      <c r="BI2346" s="21"/>
    </row>
    <row r="2347" spans="1:61" x14ac:dyDescent="0.2">
      <c r="A2347">
        <v>1212</v>
      </c>
      <c r="B2347" t="s">
        <v>887</v>
      </c>
      <c r="C2347" t="str">
        <f t="shared" si="267"/>
        <v/>
      </c>
      <c r="D2347" t="str">
        <f t="shared" si="272"/>
        <v/>
      </c>
      <c r="H2347">
        <f t="shared" si="268"/>
        <v>3</v>
      </c>
      <c r="R2347">
        <v>9</v>
      </c>
      <c r="T2347" t="str">
        <f t="shared" si="266"/>
        <v>o</v>
      </c>
      <c r="AJ2347">
        <v>1</v>
      </c>
      <c r="AM2347" t="str">
        <f t="shared" si="269"/>
        <v>Turnover</v>
      </c>
      <c r="AN2347" t="str">
        <f t="shared" si="270"/>
        <v>Turnover_Takeaway</v>
      </c>
      <c r="AP2347" t="str">
        <f t="shared" si="271"/>
        <v>Offensive</v>
      </c>
      <c r="BB2347" s="23"/>
      <c r="BD2347" s="21"/>
      <c r="BE2347" s="21"/>
      <c r="BF2347" s="21"/>
      <c r="BG2347" s="21"/>
      <c r="BH2347" s="21"/>
      <c r="BI2347" s="21"/>
    </row>
    <row r="2348" spans="1:61" x14ac:dyDescent="0.2">
      <c r="A2348">
        <v>1213</v>
      </c>
      <c r="B2348" t="s">
        <v>887</v>
      </c>
      <c r="C2348" t="str">
        <f t="shared" si="267"/>
        <v/>
      </c>
      <c r="D2348" t="str">
        <f t="shared" si="272"/>
        <v/>
      </c>
      <c r="H2348">
        <f t="shared" si="268"/>
        <v>3</v>
      </c>
      <c r="I2348" s="5" t="s">
        <v>732</v>
      </c>
      <c r="J2348" s="5" t="s">
        <v>741</v>
      </c>
      <c r="Q2348" t="s">
        <v>619</v>
      </c>
      <c r="R2348">
        <v>56</v>
      </c>
      <c r="S2348">
        <v>1</v>
      </c>
      <c r="T2348" t="str">
        <f t="shared" si="266"/>
        <v>e</v>
      </c>
      <c r="U2348" t="s">
        <v>257</v>
      </c>
      <c r="V2348" t="s">
        <v>191</v>
      </c>
      <c r="W2348" t="s">
        <v>87</v>
      </c>
      <c r="X2348" t="s">
        <v>706</v>
      </c>
      <c r="Y2348" t="s">
        <v>677</v>
      </c>
      <c r="AA2348" t="s">
        <v>706</v>
      </c>
      <c r="AF2348" t="s">
        <v>401</v>
      </c>
      <c r="AM2348" t="str">
        <f t="shared" si="269"/>
        <v>Zone_Entry_Exit</v>
      </c>
      <c r="AN2348" t="str">
        <f t="shared" si="270"/>
        <v>Zone_Entry</v>
      </c>
      <c r="AP2348" t="str">
        <f t="shared" si="271"/>
        <v>Offensive</v>
      </c>
      <c r="BB2348" s="23"/>
      <c r="BD2348" s="21"/>
      <c r="BE2348" s="21"/>
      <c r="BF2348" s="21"/>
      <c r="BG2348" s="21"/>
      <c r="BH2348" s="21"/>
      <c r="BI2348" s="21"/>
    </row>
    <row r="2349" spans="1:61" x14ac:dyDescent="0.2">
      <c r="A2349">
        <v>1214</v>
      </c>
      <c r="B2349" t="s">
        <v>887</v>
      </c>
      <c r="C2349" t="str">
        <f t="shared" si="267"/>
        <v/>
      </c>
      <c r="D2349" t="str">
        <f t="shared" si="272"/>
        <v/>
      </c>
      <c r="H2349">
        <f t="shared" si="268"/>
        <v>3</v>
      </c>
      <c r="I2349" s="5" t="s">
        <v>732</v>
      </c>
      <c r="J2349" s="5" t="s">
        <v>741</v>
      </c>
      <c r="K2349" s="5" t="s">
        <v>448</v>
      </c>
      <c r="L2349" s="7" t="s">
        <v>622</v>
      </c>
      <c r="Q2349" t="s">
        <v>619</v>
      </c>
      <c r="R2349">
        <v>56</v>
      </c>
      <c r="S2349">
        <v>1</v>
      </c>
      <c r="T2349" t="str">
        <f t="shared" si="266"/>
        <v>e</v>
      </c>
      <c r="U2349" t="s">
        <v>15</v>
      </c>
      <c r="V2349" t="s">
        <v>453</v>
      </c>
      <c r="Y2349" t="s">
        <v>677</v>
      </c>
      <c r="AF2349" t="s">
        <v>401</v>
      </c>
      <c r="AJ2349">
        <v>1</v>
      </c>
      <c r="AM2349" t="str">
        <f t="shared" si="269"/>
        <v>Possession</v>
      </c>
      <c r="AN2349" t="str">
        <f t="shared" si="270"/>
        <v>Breakaway</v>
      </c>
      <c r="AP2349" t="str">
        <f t="shared" si="271"/>
        <v>Offensive</v>
      </c>
      <c r="BB2349" s="23"/>
      <c r="BD2349" s="21"/>
      <c r="BE2349" s="21"/>
      <c r="BF2349" s="21"/>
      <c r="BG2349" s="21"/>
      <c r="BH2349" s="21"/>
      <c r="BI2349" s="21"/>
    </row>
    <row r="2350" spans="1:61" x14ac:dyDescent="0.2">
      <c r="A2350">
        <v>1214</v>
      </c>
      <c r="B2350" t="s">
        <v>887</v>
      </c>
      <c r="C2350" t="str">
        <f t="shared" si="267"/>
        <v/>
      </c>
      <c r="D2350" t="str">
        <f t="shared" si="272"/>
        <v/>
      </c>
      <c r="H2350">
        <f t="shared" si="268"/>
        <v>3</v>
      </c>
      <c r="R2350">
        <v>22</v>
      </c>
      <c r="T2350" t="str">
        <f t="shared" si="266"/>
        <v>o</v>
      </c>
      <c r="Y2350" t="s">
        <v>824</v>
      </c>
      <c r="Z2350" t="s">
        <v>715</v>
      </c>
      <c r="AJ2350">
        <v>1</v>
      </c>
      <c r="AM2350" t="str">
        <f t="shared" si="269"/>
        <v>Possession</v>
      </c>
      <c r="AN2350" t="str">
        <f t="shared" si="270"/>
        <v>Breakaway</v>
      </c>
      <c r="AP2350" t="str">
        <f t="shared" si="271"/>
        <v>Defensive</v>
      </c>
      <c r="BB2350" s="23"/>
      <c r="BD2350" s="21"/>
      <c r="BE2350" s="21"/>
      <c r="BF2350" s="21"/>
      <c r="BG2350" s="21"/>
      <c r="BH2350" s="21"/>
      <c r="BI2350" s="21"/>
    </row>
    <row r="2351" spans="1:61" x14ac:dyDescent="0.2">
      <c r="A2351">
        <v>1215</v>
      </c>
      <c r="B2351">
        <v>190</v>
      </c>
      <c r="C2351">
        <f t="shared" si="267"/>
        <v>9190</v>
      </c>
      <c r="D2351">
        <f t="shared" si="272"/>
        <v>9190</v>
      </c>
      <c r="H2351">
        <f t="shared" si="268"/>
        <v>3</v>
      </c>
      <c r="I2351" s="5" t="s">
        <v>448</v>
      </c>
      <c r="J2351" s="5" t="s">
        <v>622</v>
      </c>
      <c r="Q2351" t="s">
        <v>619</v>
      </c>
      <c r="R2351">
        <v>56</v>
      </c>
      <c r="S2351">
        <v>1</v>
      </c>
      <c r="T2351" t="str">
        <f t="shared" si="266"/>
        <v>e</v>
      </c>
      <c r="U2351" t="s">
        <v>7</v>
      </c>
      <c r="V2351" t="s">
        <v>222</v>
      </c>
      <c r="W2351" t="s">
        <v>53</v>
      </c>
      <c r="X2351" t="s">
        <v>706</v>
      </c>
      <c r="AF2351" t="s">
        <v>401</v>
      </c>
      <c r="AM2351" t="str">
        <f t="shared" si="269"/>
        <v>Shot</v>
      </c>
      <c r="AN2351" t="str">
        <f t="shared" si="270"/>
        <v>Shot_OnNetSaved</v>
      </c>
      <c r="AP2351" t="str">
        <f t="shared" si="271"/>
        <v>Offensive</v>
      </c>
      <c r="BB2351" s="23"/>
      <c r="BD2351" s="21"/>
      <c r="BE2351" s="21"/>
      <c r="BF2351" s="21"/>
      <c r="BG2351" s="21"/>
      <c r="BH2351" s="21"/>
      <c r="BI2351" s="21"/>
    </row>
    <row r="2352" spans="1:61" x14ac:dyDescent="0.2">
      <c r="A2352">
        <v>1215</v>
      </c>
      <c r="B2352">
        <v>190</v>
      </c>
      <c r="C2352">
        <f t="shared" si="267"/>
        <v>9190</v>
      </c>
      <c r="D2352">
        <f t="shared" si="272"/>
        <v>9190</v>
      </c>
      <c r="H2352">
        <f t="shared" si="268"/>
        <v>3</v>
      </c>
      <c r="R2352">
        <v>39</v>
      </c>
      <c r="T2352" t="str">
        <f t="shared" si="266"/>
        <v>o</v>
      </c>
      <c r="AM2352" t="str">
        <f t="shared" si="269"/>
        <v>Shot</v>
      </c>
      <c r="AN2352" t="str">
        <f t="shared" si="270"/>
        <v>Shot_OnNetSaved</v>
      </c>
      <c r="AP2352" t="str">
        <f t="shared" si="271"/>
        <v>Defensive</v>
      </c>
      <c r="BB2352" s="23"/>
      <c r="BD2352" s="21"/>
      <c r="BE2352" s="21"/>
      <c r="BF2352" s="21"/>
      <c r="BG2352" s="21"/>
      <c r="BH2352" s="21"/>
      <c r="BI2352" s="21"/>
    </row>
    <row r="2353" spans="1:61" x14ac:dyDescent="0.2">
      <c r="A2353">
        <v>1216</v>
      </c>
      <c r="B2353">
        <v>190</v>
      </c>
      <c r="C2353">
        <f t="shared" si="267"/>
        <v>9190</v>
      </c>
      <c r="D2353">
        <f t="shared" si="272"/>
        <v>9190</v>
      </c>
      <c r="H2353">
        <f t="shared" si="268"/>
        <v>3</v>
      </c>
      <c r="I2353" s="5" t="s">
        <v>448</v>
      </c>
      <c r="J2353" s="5" t="s">
        <v>622</v>
      </c>
      <c r="Q2353" t="s">
        <v>620</v>
      </c>
      <c r="R2353">
        <v>39</v>
      </c>
      <c r="S2353">
        <v>1</v>
      </c>
      <c r="T2353" t="str">
        <f t="shared" si="266"/>
        <v>e</v>
      </c>
      <c r="U2353" t="s">
        <v>17</v>
      </c>
      <c r="V2353" t="s">
        <v>196</v>
      </c>
      <c r="W2353" t="s">
        <v>99</v>
      </c>
      <c r="AF2353" t="s">
        <v>623</v>
      </c>
      <c r="AM2353" t="str">
        <f t="shared" si="269"/>
        <v>Save</v>
      </c>
      <c r="AN2353" t="str">
        <f t="shared" si="270"/>
        <v>Save_Rebound</v>
      </c>
      <c r="AP2353" t="str">
        <f t="shared" si="271"/>
        <v>Defensive</v>
      </c>
      <c r="BB2353" s="23"/>
      <c r="BD2353" s="21"/>
      <c r="BE2353" s="21"/>
      <c r="BF2353" s="21"/>
      <c r="BG2353" s="21"/>
      <c r="BH2353" s="21"/>
      <c r="BI2353" s="21"/>
    </row>
    <row r="2354" spans="1:61" x14ac:dyDescent="0.2">
      <c r="A2354">
        <v>1216</v>
      </c>
      <c r="B2354">
        <v>190</v>
      </c>
      <c r="C2354">
        <f t="shared" si="267"/>
        <v>9190</v>
      </c>
      <c r="D2354">
        <f t="shared" si="272"/>
        <v>9190</v>
      </c>
      <c r="H2354">
        <f t="shared" si="268"/>
        <v>3</v>
      </c>
      <c r="R2354">
        <v>56</v>
      </c>
      <c r="T2354" t="str">
        <f t="shared" si="266"/>
        <v>o</v>
      </c>
      <c r="AM2354" t="str">
        <f t="shared" si="269"/>
        <v>Save</v>
      </c>
      <c r="AN2354" t="str">
        <f t="shared" si="270"/>
        <v>Save_Rebound</v>
      </c>
      <c r="AP2354" t="str">
        <f t="shared" si="271"/>
        <v>Offensive</v>
      </c>
      <c r="BB2354" s="23"/>
      <c r="BD2354" s="21"/>
      <c r="BE2354" s="21"/>
      <c r="BF2354" s="21"/>
      <c r="BG2354" s="21"/>
      <c r="BH2354" s="21"/>
      <c r="BI2354" s="21"/>
    </row>
    <row r="2355" spans="1:61" x14ac:dyDescent="0.2">
      <c r="A2355">
        <v>1217</v>
      </c>
      <c r="B2355">
        <v>190</v>
      </c>
      <c r="C2355">
        <f t="shared" si="267"/>
        <v>9190</v>
      </c>
      <c r="D2355">
        <f t="shared" si="272"/>
        <v>9190</v>
      </c>
      <c r="H2355">
        <f t="shared" si="268"/>
        <v>3</v>
      </c>
      <c r="I2355" s="5" t="s">
        <v>448</v>
      </c>
      <c r="J2355" s="5" t="s">
        <v>622</v>
      </c>
      <c r="Q2355" t="s">
        <v>620</v>
      </c>
      <c r="R2355">
        <v>39</v>
      </c>
      <c r="S2355">
        <v>1</v>
      </c>
      <c r="T2355" t="str">
        <f t="shared" si="266"/>
        <v>e</v>
      </c>
      <c r="U2355" t="s">
        <v>250</v>
      </c>
      <c r="V2355" t="s">
        <v>252</v>
      </c>
      <c r="AF2355" t="s">
        <v>623</v>
      </c>
      <c r="AM2355" t="str">
        <f t="shared" si="269"/>
        <v>Rebound</v>
      </c>
      <c r="AN2355" t="str">
        <f t="shared" si="270"/>
        <v>Rebound_OppTeamRecovered</v>
      </c>
      <c r="AP2355" t="str">
        <f t="shared" si="271"/>
        <v>Offensive</v>
      </c>
      <c r="BB2355" s="23"/>
      <c r="BD2355" s="21"/>
      <c r="BE2355" s="21"/>
      <c r="BF2355" s="21"/>
      <c r="BG2355" s="21"/>
      <c r="BH2355" s="21"/>
      <c r="BI2355" s="21"/>
    </row>
    <row r="2356" spans="1:61" x14ac:dyDescent="0.2">
      <c r="A2356">
        <v>1218</v>
      </c>
      <c r="B2356" t="s">
        <v>887</v>
      </c>
      <c r="C2356" t="str">
        <f t="shared" si="267"/>
        <v/>
      </c>
      <c r="D2356" t="str">
        <f t="shared" si="272"/>
        <v/>
      </c>
      <c r="H2356">
        <f t="shared" si="268"/>
        <v>3</v>
      </c>
      <c r="I2356" s="5" t="s">
        <v>448</v>
      </c>
      <c r="J2356" s="5" t="s">
        <v>896</v>
      </c>
      <c r="K2356" s="5" t="s">
        <v>448</v>
      </c>
      <c r="L2356" s="7" t="s">
        <v>638</v>
      </c>
      <c r="Q2356" t="s">
        <v>619</v>
      </c>
      <c r="R2356">
        <v>56</v>
      </c>
      <c r="S2356">
        <v>1</v>
      </c>
      <c r="T2356" t="str">
        <f t="shared" si="266"/>
        <v>e</v>
      </c>
      <c r="U2356" t="s">
        <v>15</v>
      </c>
      <c r="V2356" t="s">
        <v>697</v>
      </c>
      <c r="X2356" t="s">
        <v>705</v>
      </c>
      <c r="Y2356" t="s">
        <v>683</v>
      </c>
      <c r="AA2356" t="s">
        <v>705</v>
      </c>
      <c r="AF2356" t="s">
        <v>401</v>
      </c>
      <c r="AJ2356">
        <v>1</v>
      </c>
      <c r="AM2356" t="str">
        <f t="shared" si="269"/>
        <v>Possession</v>
      </c>
      <c r="AN2356" t="str">
        <f t="shared" si="270"/>
        <v>PuckRetrieval</v>
      </c>
      <c r="AP2356" t="str">
        <f t="shared" si="271"/>
        <v>Offensive</v>
      </c>
      <c r="BB2356" s="23"/>
      <c r="BD2356" s="21"/>
      <c r="BE2356" s="21"/>
      <c r="BF2356" s="21"/>
      <c r="BG2356" s="21"/>
      <c r="BH2356" s="21"/>
      <c r="BI2356" s="21"/>
    </row>
    <row r="2357" spans="1:61" x14ac:dyDescent="0.2">
      <c r="A2357">
        <v>1218</v>
      </c>
      <c r="B2357" t="s">
        <v>887</v>
      </c>
      <c r="C2357" t="str">
        <f t="shared" si="267"/>
        <v/>
      </c>
      <c r="D2357" t="str">
        <f t="shared" si="272"/>
        <v/>
      </c>
      <c r="H2357">
        <f t="shared" si="268"/>
        <v>3</v>
      </c>
      <c r="R2357">
        <v>9</v>
      </c>
      <c r="T2357" t="str">
        <f t="shared" si="266"/>
        <v>o</v>
      </c>
      <c r="Y2357" t="s">
        <v>715</v>
      </c>
      <c r="AJ2357">
        <v>1</v>
      </c>
      <c r="AM2357" t="str">
        <f t="shared" si="269"/>
        <v>Possession</v>
      </c>
      <c r="AN2357" t="str">
        <f t="shared" si="270"/>
        <v>PuckRetrieval</v>
      </c>
      <c r="AP2357" t="str">
        <f t="shared" si="271"/>
        <v>Defensive</v>
      </c>
      <c r="BB2357" s="23"/>
      <c r="BD2357" s="21"/>
      <c r="BE2357" s="21"/>
      <c r="BF2357" s="21"/>
      <c r="BG2357" s="21"/>
      <c r="BH2357" s="21"/>
      <c r="BI2357" s="21"/>
    </row>
    <row r="2358" spans="1:61" x14ac:dyDescent="0.2">
      <c r="A2358">
        <v>1219</v>
      </c>
      <c r="B2358" t="s">
        <v>887</v>
      </c>
      <c r="C2358" t="str">
        <f t="shared" si="267"/>
        <v/>
      </c>
      <c r="D2358" t="str">
        <f t="shared" si="272"/>
        <v/>
      </c>
      <c r="H2358">
        <f t="shared" si="268"/>
        <v>3</v>
      </c>
      <c r="I2358" s="5" t="s">
        <v>448</v>
      </c>
      <c r="J2358" s="5" t="s">
        <v>789</v>
      </c>
      <c r="Q2358" t="s">
        <v>620</v>
      </c>
      <c r="R2358">
        <v>9</v>
      </c>
      <c r="S2358">
        <v>1</v>
      </c>
      <c r="T2358" t="str">
        <f t="shared" si="266"/>
        <v>e</v>
      </c>
      <c r="U2358" t="s">
        <v>10</v>
      </c>
      <c r="V2358" t="s">
        <v>200</v>
      </c>
      <c r="W2358" t="s">
        <v>82</v>
      </c>
      <c r="X2358" t="s">
        <v>706</v>
      </c>
      <c r="Y2358" t="s">
        <v>714</v>
      </c>
      <c r="AA2358" t="s">
        <v>706</v>
      </c>
      <c r="AF2358" t="s">
        <v>623</v>
      </c>
      <c r="AJ2358">
        <v>1</v>
      </c>
      <c r="AM2358" t="str">
        <f t="shared" si="269"/>
        <v>Turnover</v>
      </c>
      <c r="AN2358" t="str">
        <f t="shared" si="270"/>
        <v>Turnover_Takeaway</v>
      </c>
      <c r="AP2358" t="str">
        <f t="shared" si="271"/>
        <v>Defensive</v>
      </c>
      <c r="BB2358" s="23"/>
      <c r="BD2358" s="21"/>
      <c r="BE2358" s="21"/>
      <c r="BF2358" s="21"/>
      <c r="BG2358" s="21"/>
      <c r="BH2358" s="21"/>
      <c r="BI2358" s="21"/>
    </row>
    <row r="2359" spans="1:61" x14ac:dyDescent="0.2">
      <c r="A2359">
        <v>1219</v>
      </c>
      <c r="B2359" t="s">
        <v>887</v>
      </c>
      <c r="C2359" t="str">
        <f t="shared" si="267"/>
        <v/>
      </c>
      <c r="D2359" t="str">
        <f t="shared" si="272"/>
        <v/>
      </c>
      <c r="H2359">
        <f t="shared" si="268"/>
        <v>3</v>
      </c>
      <c r="R2359">
        <v>56</v>
      </c>
      <c r="T2359" t="str">
        <f t="shared" si="266"/>
        <v>o</v>
      </c>
      <c r="AJ2359">
        <v>1</v>
      </c>
      <c r="AM2359" t="str">
        <f t="shared" si="269"/>
        <v>Turnover</v>
      </c>
      <c r="AN2359" t="str">
        <f t="shared" si="270"/>
        <v>Turnover_Takeaway</v>
      </c>
      <c r="AP2359" t="str">
        <f t="shared" si="271"/>
        <v>Offensive</v>
      </c>
      <c r="BB2359" s="23"/>
      <c r="BD2359" s="21"/>
      <c r="BE2359" s="21"/>
      <c r="BF2359" s="21"/>
      <c r="BG2359" s="21"/>
      <c r="BH2359" s="21"/>
      <c r="BI2359" s="21"/>
    </row>
    <row r="2360" spans="1:61" x14ac:dyDescent="0.2">
      <c r="A2360">
        <v>1220</v>
      </c>
      <c r="B2360" t="s">
        <v>887</v>
      </c>
      <c r="C2360" t="str">
        <f t="shared" si="267"/>
        <v/>
      </c>
      <c r="D2360" t="str">
        <f t="shared" si="272"/>
        <v/>
      </c>
      <c r="H2360">
        <f t="shared" si="268"/>
        <v>3</v>
      </c>
      <c r="I2360" s="5" t="s">
        <v>448</v>
      </c>
      <c r="J2360" s="5" t="s">
        <v>788</v>
      </c>
      <c r="Q2360" t="s">
        <v>620</v>
      </c>
      <c r="R2360">
        <v>70</v>
      </c>
      <c r="S2360">
        <v>1</v>
      </c>
      <c r="T2360" t="str">
        <f t="shared" si="266"/>
        <v>e</v>
      </c>
      <c r="U2360" t="s">
        <v>15</v>
      </c>
      <c r="V2360" t="s">
        <v>697</v>
      </c>
      <c r="X2360" t="s">
        <v>706</v>
      </c>
      <c r="Y2360" t="s">
        <v>712</v>
      </c>
      <c r="AA2360" t="s">
        <v>706</v>
      </c>
      <c r="AF2360" t="s">
        <v>623</v>
      </c>
      <c r="AJ2360">
        <v>1</v>
      </c>
      <c r="AM2360" t="str">
        <f t="shared" si="269"/>
        <v>Possession</v>
      </c>
      <c r="AN2360" t="str">
        <f t="shared" si="270"/>
        <v>PuckRetrieval</v>
      </c>
      <c r="AP2360" t="str">
        <f t="shared" si="271"/>
        <v>Offensive</v>
      </c>
      <c r="BB2360" s="23"/>
      <c r="BD2360" s="21"/>
      <c r="BE2360" s="21"/>
      <c r="BF2360" s="21"/>
      <c r="BG2360" s="21"/>
      <c r="BH2360" s="21"/>
      <c r="BI2360" s="21"/>
    </row>
    <row r="2361" spans="1:61" x14ac:dyDescent="0.2">
      <c r="A2361">
        <v>1220</v>
      </c>
      <c r="B2361" t="s">
        <v>887</v>
      </c>
      <c r="C2361" t="str">
        <f t="shared" si="267"/>
        <v/>
      </c>
      <c r="D2361" t="str">
        <f t="shared" si="272"/>
        <v/>
      </c>
      <c r="H2361">
        <f t="shared" si="268"/>
        <v>3</v>
      </c>
      <c r="R2361">
        <v>3</v>
      </c>
      <c r="T2361" t="str">
        <f t="shared" si="266"/>
        <v>o</v>
      </c>
      <c r="Y2361" t="s">
        <v>775</v>
      </c>
      <c r="AA2361" t="s">
        <v>705</v>
      </c>
      <c r="AJ2361">
        <v>1</v>
      </c>
      <c r="AM2361" t="str">
        <f t="shared" si="269"/>
        <v>Possession</v>
      </c>
      <c r="AN2361" t="str">
        <f t="shared" si="270"/>
        <v>PuckRetrieval</v>
      </c>
      <c r="AP2361" t="str">
        <f t="shared" si="271"/>
        <v>Defensive</v>
      </c>
      <c r="BB2361" s="23"/>
      <c r="BD2361" s="21"/>
      <c r="BE2361" s="21"/>
      <c r="BF2361" s="21"/>
      <c r="BG2361" s="21"/>
      <c r="BH2361" s="21"/>
      <c r="BI2361" s="21"/>
    </row>
    <row r="2362" spans="1:61" x14ac:dyDescent="0.2">
      <c r="A2362">
        <v>1220</v>
      </c>
      <c r="B2362" t="s">
        <v>887</v>
      </c>
      <c r="C2362" t="str">
        <f t="shared" si="267"/>
        <v/>
      </c>
      <c r="D2362" t="str">
        <f t="shared" si="272"/>
        <v/>
      </c>
      <c r="H2362">
        <f t="shared" si="268"/>
        <v>3</v>
      </c>
      <c r="R2362">
        <v>12</v>
      </c>
      <c r="T2362" t="str">
        <f t="shared" si="266"/>
        <v>o</v>
      </c>
      <c r="Y2362" t="s">
        <v>775</v>
      </c>
      <c r="AA2362" t="s">
        <v>705</v>
      </c>
      <c r="AJ2362">
        <v>1</v>
      </c>
      <c r="AM2362" t="str">
        <f t="shared" si="269"/>
        <v>Possession</v>
      </c>
      <c r="AN2362" t="str">
        <f t="shared" si="270"/>
        <v>PuckRetrieval</v>
      </c>
      <c r="AP2362" t="str">
        <f t="shared" si="271"/>
        <v>Defensive</v>
      </c>
      <c r="BB2362" s="23"/>
      <c r="BD2362" s="21"/>
      <c r="BE2362" s="21"/>
      <c r="BF2362" s="21"/>
      <c r="BG2362" s="21"/>
      <c r="BH2362" s="21"/>
      <c r="BI2362" s="21"/>
    </row>
    <row r="2363" spans="1:61" x14ac:dyDescent="0.2">
      <c r="A2363">
        <v>1221</v>
      </c>
      <c r="B2363" t="s">
        <v>887</v>
      </c>
      <c r="C2363" t="str">
        <f t="shared" si="267"/>
        <v/>
      </c>
      <c r="D2363" t="str">
        <f t="shared" si="272"/>
        <v/>
      </c>
      <c r="H2363">
        <f t="shared" si="268"/>
        <v>3</v>
      </c>
      <c r="I2363" s="5" t="s">
        <v>448</v>
      </c>
      <c r="J2363" s="5" t="s">
        <v>788</v>
      </c>
      <c r="K2363" s="5" t="s">
        <v>448</v>
      </c>
      <c r="L2363" s="7" t="s">
        <v>639</v>
      </c>
      <c r="Q2363" t="s">
        <v>620</v>
      </c>
      <c r="R2363">
        <v>70</v>
      </c>
      <c r="S2363">
        <v>1</v>
      </c>
      <c r="T2363" t="str">
        <f t="shared" si="266"/>
        <v>e</v>
      </c>
      <c r="U2363" t="s">
        <v>257</v>
      </c>
      <c r="V2363" t="s">
        <v>201</v>
      </c>
      <c r="W2363" t="s">
        <v>90</v>
      </c>
      <c r="X2363" t="s">
        <v>706</v>
      </c>
      <c r="AF2363" t="s">
        <v>623</v>
      </c>
      <c r="AM2363" t="str">
        <f t="shared" si="269"/>
        <v>Zone_Entry_Exit</v>
      </c>
      <c r="AN2363" t="str">
        <f t="shared" si="270"/>
        <v>Zone_Exit</v>
      </c>
      <c r="AP2363" t="str">
        <f t="shared" si="271"/>
        <v>Offensive</v>
      </c>
      <c r="BB2363" s="23"/>
      <c r="BD2363" s="21"/>
      <c r="BE2363" s="21"/>
      <c r="BF2363" s="21"/>
      <c r="BG2363" s="21"/>
      <c r="BH2363" s="21"/>
      <c r="BI2363" s="21"/>
    </row>
    <row r="2364" spans="1:61" x14ac:dyDescent="0.2">
      <c r="A2364">
        <v>1222</v>
      </c>
      <c r="B2364" t="s">
        <v>887</v>
      </c>
      <c r="C2364" t="str">
        <f t="shared" si="267"/>
        <v/>
      </c>
      <c r="D2364" t="str">
        <f t="shared" si="272"/>
        <v/>
      </c>
      <c r="H2364">
        <f t="shared" si="268"/>
        <v>3</v>
      </c>
      <c r="I2364" s="5" t="s">
        <v>448</v>
      </c>
      <c r="J2364" s="5" t="s">
        <v>639</v>
      </c>
      <c r="K2364" s="5" t="s">
        <v>448</v>
      </c>
      <c r="L2364" s="7" t="s">
        <v>640</v>
      </c>
      <c r="Q2364" t="s">
        <v>620</v>
      </c>
      <c r="R2364">
        <v>70</v>
      </c>
      <c r="S2364">
        <v>1</v>
      </c>
      <c r="T2364" t="str">
        <f t="shared" si="266"/>
        <v>e</v>
      </c>
      <c r="U2364" t="s">
        <v>15</v>
      </c>
      <c r="AF2364" t="s">
        <v>635</v>
      </c>
      <c r="AM2364" t="str">
        <f t="shared" si="269"/>
        <v>Possession</v>
      </c>
      <c r="AN2364" t="str">
        <f t="shared" si="270"/>
        <v/>
      </c>
      <c r="AP2364" t="str">
        <f t="shared" si="271"/>
        <v>Offensive</v>
      </c>
      <c r="BB2364" s="23"/>
      <c r="BD2364" s="21"/>
      <c r="BE2364" s="21"/>
      <c r="BF2364" s="21"/>
      <c r="BG2364" s="21"/>
      <c r="BH2364" s="21"/>
      <c r="BI2364" s="21"/>
    </row>
    <row r="2365" spans="1:61" x14ac:dyDescent="0.2">
      <c r="A2365">
        <v>1223</v>
      </c>
      <c r="B2365" t="s">
        <v>887</v>
      </c>
      <c r="C2365" t="str">
        <f t="shared" si="267"/>
        <v/>
      </c>
      <c r="D2365" t="str">
        <f t="shared" si="272"/>
        <v/>
      </c>
      <c r="H2365">
        <f t="shared" si="268"/>
        <v>3</v>
      </c>
      <c r="I2365" s="5" t="s">
        <v>448</v>
      </c>
      <c r="J2365" s="5" t="s">
        <v>640</v>
      </c>
      <c r="K2365" s="5" t="s">
        <v>448</v>
      </c>
      <c r="L2365" s="7" t="s">
        <v>789</v>
      </c>
      <c r="Q2365" t="s">
        <v>620</v>
      </c>
      <c r="R2365">
        <v>70</v>
      </c>
      <c r="S2365">
        <v>1</v>
      </c>
      <c r="T2365" t="str">
        <f t="shared" si="266"/>
        <v>e</v>
      </c>
      <c r="U2365" t="s">
        <v>257</v>
      </c>
      <c r="V2365" t="s">
        <v>191</v>
      </c>
      <c r="W2365" t="s">
        <v>87</v>
      </c>
      <c r="X2365" t="s">
        <v>706</v>
      </c>
      <c r="Y2365" t="s">
        <v>728</v>
      </c>
      <c r="AA2365" t="s">
        <v>706</v>
      </c>
      <c r="AF2365" t="s">
        <v>401</v>
      </c>
      <c r="AJ2365">
        <v>1</v>
      </c>
      <c r="AM2365" t="str">
        <f t="shared" si="269"/>
        <v>Zone_Entry_Exit</v>
      </c>
      <c r="AN2365" t="str">
        <f t="shared" si="270"/>
        <v>Zone_Entry</v>
      </c>
      <c r="AP2365" t="str">
        <f t="shared" si="271"/>
        <v>Offensive</v>
      </c>
      <c r="BB2365" s="23"/>
      <c r="BD2365" s="21"/>
      <c r="BE2365" s="21"/>
      <c r="BF2365" s="21"/>
      <c r="BG2365" s="21"/>
      <c r="BH2365" s="21"/>
      <c r="BI2365" s="21"/>
    </row>
    <row r="2366" spans="1:61" x14ac:dyDescent="0.2">
      <c r="A2366">
        <v>1223</v>
      </c>
      <c r="B2366" t="s">
        <v>887</v>
      </c>
      <c r="C2366" t="str">
        <f t="shared" si="267"/>
        <v/>
      </c>
      <c r="D2366" t="str">
        <f t="shared" si="272"/>
        <v/>
      </c>
      <c r="H2366">
        <f t="shared" si="268"/>
        <v>3</v>
      </c>
      <c r="R2366">
        <v>4</v>
      </c>
      <c r="T2366" t="str">
        <f t="shared" si="266"/>
        <v>o</v>
      </c>
      <c r="AJ2366">
        <v>1</v>
      </c>
      <c r="AM2366" t="str">
        <f t="shared" si="269"/>
        <v>Zone_Entry_Exit</v>
      </c>
      <c r="AN2366" t="str">
        <f t="shared" si="270"/>
        <v>Zone_Entry</v>
      </c>
      <c r="AP2366" t="str">
        <f t="shared" si="271"/>
        <v>Defensive</v>
      </c>
      <c r="BB2366" s="23"/>
      <c r="BD2366" s="21"/>
      <c r="BE2366" s="21"/>
      <c r="BF2366" s="21"/>
      <c r="BG2366" s="21"/>
      <c r="BH2366" s="21"/>
      <c r="BI2366" s="21"/>
    </row>
    <row r="2367" spans="1:61" x14ac:dyDescent="0.2">
      <c r="A2367">
        <v>1224</v>
      </c>
      <c r="B2367" t="s">
        <v>887</v>
      </c>
      <c r="C2367" t="str">
        <f t="shared" si="267"/>
        <v/>
      </c>
      <c r="D2367" t="str">
        <f t="shared" si="272"/>
        <v/>
      </c>
      <c r="H2367">
        <f t="shared" si="268"/>
        <v>3</v>
      </c>
      <c r="I2367" s="5" t="s">
        <v>448</v>
      </c>
      <c r="J2367" s="5" t="s">
        <v>789</v>
      </c>
      <c r="K2367" s="5" t="s">
        <v>448</v>
      </c>
      <c r="L2367" s="7" t="s">
        <v>672</v>
      </c>
      <c r="Q2367" t="s">
        <v>620</v>
      </c>
      <c r="R2367">
        <v>70</v>
      </c>
      <c r="S2367">
        <v>1</v>
      </c>
      <c r="T2367" t="str">
        <f t="shared" si="266"/>
        <v>e</v>
      </c>
      <c r="U2367" t="s">
        <v>15</v>
      </c>
      <c r="Y2367" t="s">
        <v>767</v>
      </c>
      <c r="Z2367" t="s">
        <v>826</v>
      </c>
      <c r="AA2367" t="s">
        <v>706</v>
      </c>
      <c r="AF2367" t="s">
        <v>401</v>
      </c>
      <c r="AJ2367">
        <v>1</v>
      </c>
      <c r="AM2367" t="str">
        <f t="shared" si="269"/>
        <v>Possession</v>
      </c>
      <c r="AN2367" t="str">
        <f t="shared" si="270"/>
        <v/>
      </c>
      <c r="AP2367" t="str">
        <f t="shared" si="271"/>
        <v>Offensive</v>
      </c>
      <c r="BB2367" s="23"/>
      <c r="BD2367" s="21"/>
      <c r="BE2367" s="21"/>
      <c r="BF2367" s="21"/>
      <c r="BG2367" s="21"/>
      <c r="BH2367" s="21"/>
      <c r="BI2367" s="21"/>
    </row>
    <row r="2368" spans="1:61" x14ac:dyDescent="0.2">
      <c r="A2368">
        <v>1224</v>
      </c>
      <c r="B2368" t="s">
        <v>887</v>
      </c>
      <c r="C2368" t="str">
        <f t="shared" si="267"/>
        <v/>
      </c>
      <c r="D2368" t="str">
        <f t="shared" si="272"/>
        <v/>
      </c>
      <c r="H2368">
        <f t="shared" si="268"/>
        <v>3</v>
      </c>
      <c r="R2368">
        <v>4</v>
      </c>
      <c r="T2368" t="str">
        <f t="shared" si="266"/>
        <v>o</v>
      </c>
      <c r="Y2368" t="s">
        <v>764</v>
      </c>
      <c r="AA2368" t="s">
        <v>705</v>
      </c>
      <c r="AJ2368">
        <v>1</v>
      </c>
      <c r="AM2368" t="str">
        <f t="shared" si="269"/>
        <v>Possession</v>
      </c>
      <c r="AN2368" t="str">
        <f t="shared" si="270"/>
        <v/>
      </c>
      <c r="AP2368" t="str">
        <f t="shared" si="271"/>
        <v>Defensive</v>
      </c>
      <c r="BB2368" s="23"/>
      <c r="BD2368" s="21"/>
      <c r="BE2368" s="21"/>
      <c r="BF2368" s="21"/>
      <c r="BG2368" s="21"/>
      <c r="BH2368" s="21"/>
      <c r="BI2368" s="21"/>
    </row>
    <row r="2369" spans="1:61" x14ac:dyDescent="0.2">
      <c r="A2369">
        <v>1225</v>
      </c>
      <c r="B2369">
        <v>191</v>
      </c>
      <c r="C2369">
        <f t="shared" si="267"/>
        <v>9191</v>
      </c>
      <c r="D2369">
        <f t="shared" si="272"/>
        <v>9191</v>
      </c>
      <c r="H2369">
        <f t="shared" si="268"/>
        <v>3</v>
      </c>
      <c r="I2369" s="5" t="s">
        <v>448</v>
      </c>
      <c r="J2369" s="5" t="s">
        <v>672</v>
      </c>
      <c r="Q2369" t="s">
        <v>620</v>
      </c>
      <c r="R2369">
        <v>70</v>
      </c>
      <c r="S2369">
        <v>1</v>
      </c>
      <c r="T2369" t="str">
        <f t="shared" si="266"/>
        <v>e</v>
      </c>
      <c r="U2369" t="s">
        <v>7</v>
      </c>
      <c r="V2369" t="s">
        <v>198</v>
      </c>
      <c r="W2369" t="s">
        <v>55</v>
      </c>
      <c r="X2369" t="s">
        <v>705</v>
      </c>
      <c r="AF2369" t="s">
        <v>401</v>
      </c>
      <c r="AJ2369">
        <v>1</v>
      </c>
      <c r="AM2369" t="str">
        <f t="shared" si="269"/>
        <v>Shot</v>
      </c>
      <c r="AN2369" t="str">
        <f t="shared" si="270"/>
        <v>Shot_Missed</v>
      </c>
      <c r="AP2369" t="str">
        <f t="shared" si="271"/>
        <v>Offensive</v>
      </c>
      <c r="BB2369" s="23"/>
      <c r="BD2369" s="21"/>
      <c r="BE2369" s="21"/>
      <c r="BF2369" s="21"/>
      <c r="BG2369" s="21"/>
      <c r="BH2369" s="21"/>
      <c r="BI2369" s="21"/>
    </row>
    <row r="2370" spans="1:61" x14ac:dyDescent="0.2">
      <c r="A2370">
        <v>1225</v>
      </c>
      <c r="B2370">
        <v>191</v>
      </c>
      <c r="C2370">
        <f t="shared" si="267"/>
        <v>9191</v>
      </c>
      <c r="D2370">
        <f t="shared" si="272"/>
        <v>9191</v>
      </c>
      <c r="H2370">
        <f t="shared" si="268"/>
        <v>3</v>
      </c>
      <c r="R2370">
        <v>4</v>
      </c>
      <c r="T2370" t="str">
        <f t="shared" si="266"/>
        <v>o</v>
      </c>
      <c r="Y2370" t="s">
        <v>715</v>
      </c>
      <c r="AJ2370">
        <v>1</v>
      </c>
      <c r="AM2370" t="str">
        <f t="shared" si="269"/>
        <v>Shot</v>
      </c>
      <c r="AN2370" t="str">
        <f t="shared" si="270"/>
        <v>Shot_Missed</v>
      </c>
      <c r="AP2370" t="str">
        <f t="shared" si="271"/>
        <v>Defensive</v>
      </c>
      <c r="BB2370" s="23"/>
      <c r="BD2370" s="21"/>
      <c r="BE2370" s="21"/>
      <c r="BF2370" s="21"/>
      <c r="BG2370" s="21"/>
      <c r="BH2370" s="21"/>
      <c r="BI2370" s="21"/>
    </row>
    <row r="2371" spans="1:61" x14ac:dyDescent="0.2">
      <c r="A2371">
        <v>1226</v>
      </c>
      <c r="B2371">
        <v>191</v>
      </c>
      <c r="C2371">
        <f t="shared" si="267"/>
        <v>9191</v>
      </c>
      <c r="D2371">
        <f t="shared" si="272"/>
        <v>9191</v>
      </c>
      <c r="H2371">
        <f t="shared" si="268"/>
        <v>3</v>
      </c>
      <c r="I2371" s="5" t="s">
        <v>448</v>
      </c>
      <c r="J2371" s="5" t="s">
        <v>672</v>
      </c>
      <c r="Q2371" t="s">
        <v>620</v>
      </c>
      <c r="R2371">
        <v>70</v>
      </c>
      <c r="S2371">
        <v>1</v>
      </c>
      <c r="T2371" t="str">
        <f t="shared" ref="T2371:T2434" si="273">IF(S2371="x","",IF(S2371=1,"e","o"))</f>
        <v>e</v>
      </c>
      <c r="U2371" t="s">
        <v>10</v>
      </c>
      <c r="V2371" t="s">
        <v>190</v>
      </c>
      <c r="W2371" t="s">
        <v>79</v>
      </c>
      <c r="X2371" t="s">
        <v>705</v>
      </c>
      <c r="AF2371" t="s">
        <v>401</v>
      </c>
      <c r="AJ2371">
        <v>1</v>
      </c>
      <c r="AM2371" t="str">
        <f t="shared" si="269"/>
        <v>Turnover</v>
      </c>
      <c r="AN2371" t="str">
        <f t="shared" si="270"/>
        <v>Turnover_Giveaway</v>
      </c>
      <c r="AP2371" t="str">
        <f t="shared" si="271"/>
        <v>Offensive</v>
      </c>
      <c r="BB2371" s="23"/>
      <c r="BD2371" s="21"/>
      <c r="BE2371" s="21"/>
      <c r="BF2371" s="21"/>
      <c r="BG2371" s="21"/>
      <c r="BH2371" s="21"/>
      <c r="BI2371" s="21"/>
    </row>
    <row r="2372" spans="1:61" x14ac:dyDescent="0.2">
      <c r="A2372">
        <v>1226</v>
      </c>
      <c r="B2372">
        <v>191</v>
      </c>
      <c r="C2372">
        <f t="shared" ref="C2372:C2435" si="274">IF(B2372&lt;&gt;"",9000+B2372,"")</f>
        <v>9191</v>
      </c>
      <c r="D2372">
        <f t="shared" si="272"/>
        <v>9191</v>
      </c>
      <c r="H2372">
        <f t="shared" si="268"/>
        <v>3</v>
      </c>
      <c r="R2372">
        <v>4</v>
      </c>
      <c r="T2372" t="str">
        <f t="shared" si="273"/>
        <v>o</v>
      </c>
      <c r="Y2372" t="s">
        <v>715</v>
      </c>
      <c r="AJ2372">
        <v>1</v>
      </c>
      <c r="AM2372" t="str">
        <f t="shared" si="269"/>
        <v>Turnover</v>
      </c>
      <c r="AN2372" t="str">
        <f t="shared" si="270"/>
        <v>Turnover_Giveaway</v>
      </c>
      <c r="AP2372" t="str">
        <f t="shared" si="271"/>
        <v>Defensive</v>
      </c>
      <c r="BB2372" s="23"/>
      <c r="BD2372" s="21"/>
      <c r="BE2372" s="21"/>
      <c r="BF2372" s="21"/>
      <c r="BG2372" s="21"/>
      <c r="BH2372" s="21"/>
      <c r="BI2372" s="21"/>
    </row>
    <row r="2373" spans="1:61" x14ac:dyDescent="0.2">
      <c r="A2373">
        <v>1227</v>
      </c>
      <c r="B2373" t="s">
        <v>887</v>
      </c>
      <c r="C2373" t="str">
        <f t="shared" si="274"/>
        <v/>
      </c>
      <c r="D2373" t="str">
        <f t="shared" si="272"/>
        <v/>
      </c>
      <c r="H2373">
        <f t="shared" ref="H2373:H2436" si="275">IF(U2373="Intermission",H2372+1,H2372)</f>
        <v>3</v>
      </c>
      <c r="I2373" s="5" t="s">
        <v>448</v>
      </c>
      <c r="J2373" s="5" t="s">
        <v>755</v>
      </c>
      <c r="K2373" s="5" t="s">
        <v>448</v>
      </c>
      <c r="L2373" s="7" t="s">
        <v>713</v>
      </c>
      <c r="Q2373" t="s">
        <v>619</v>
      </c>
      <c r="R2373">
        <v>4</v>
      </c>
      <c r="S2373">
        <v>1</v>
      </c>
      <c r="T2373" t="str">
        <f t="shared" si="273"/>
        <v>e</v>
      </c>
      <c r="U2373" t="s">
        <v>10</v>
      </c>
      <c r="V2373" t="s">
        <v>190</v>
      </c>
      <c r="W2373" t="s">
        <v>398</v>
      </c>
      <c r="X2373" t="s">
        <v>705</v>
      </c>
      <c r="Y2373" t="s">
        <v>746</v>
      </c>
      <c r="AA2373" t="s">
        <v>705</v>
      </c>
      <c r="AF2373" t="s">
        <v>623</v>
      </c>
      <c r="AM2373" t="str">
        <f t="shared" ref="AM2373:AM2436" si="276">IF(U2373&lt;&gt;"",U2373,IF($A2373=$A2372,AM2372,""))</f>
        <v>Turnover</v>
      </c>
      <c r="AN2373" t="str">
        <f t="shared" ref="AN2373:AN2436" si="277">IF(V2373&lt;&gt;"",V2373,IF($A2373=$A2372,AN2372,""))</f>
        <v>Turnover_Giveaway</v>
      </c>
      <c r="AP2373" t="str">
        <f t="shared" si="271"/>
        <v>Offensive</v>
      </c>
      <c r="BB2373" s="23"/>
      <c r="BD2373" s="21"/>
      <c r="BE2373" s="21"/>
      <c r="BF2373" s="21"/>
      <c r="BG2373" s="21"/>
      <c r="BH2373" s="21"/>
      <c r="BI2373" s="21"/>
    </row>
    <row r="2374" spans="1:61" x14ac:dyDescent="0.2">
      <c r="A2374">
        <v>1228</v>
      </c>
      <c r="B2374">
        <v>192</v>
      </c>
      <c r="C2374">
        <f t="shared" si="274"/>
        <v>9192</v>
      </c>
      <c r="D2374">
        <f t="shared" si="272"/>
        <v>9192</v>
      </c>
      <c r="H2374">
        <f t="shared" si="275"/>
        <v>3</v>
      </c>
      <c r="I2374" s="5" t="s">
        <v>448</v>
      </c>
      <c r="J2374" s="5" t="s">
        <v>716</v>
      </c>
      <c r="Q2374" t="s">
        <v>620</v>
      </c>
      <c r="R2374">
        <v>22</v>
      </c>
      <c r="S2374">
        <v>1</v>
      </c>
      <c r="T2374" t="str">
        <f t="shared" si="273"/>
        <v>e</v>
      </c>
      <c r="U2374" t="s">
        <v>257</v>
      </c>
      <c r="V2374" t="s">
        <v>210</v>
      </c>
      <c r="W2374" t="s">
        <v>93</v>
      </c>
      <c r="X2374" t="s">
        <v>705</v>
      </c>
      <c r="Y2374" t="s">
        <v>737</v>
      </c>
      <c r="AA2374" t="s">
        <v>705</v>
      </c>
      <c r="AF2374" t="s">
        <v>401</v>
      </c>
      <c r="AM2374" t="str">
        <f t="shared" si="276"/>
        <v>Zone_Entry_Exit</v>
      </c>
      <c r="AN2374" t="str">
        <f t="shared" si="277"/>
        <v>Zone_Keepin</v>
      </c>
      <c r="AP2374" t="str">
        <f t="shared" ref="AP2374:AP2437" si="278">IF(AND(T2374="e",OR(AM2374="Save",AN2374="Turnover_Takeaway",AN2374="Play_Defensive")),"Defensive",IF(AND(T2374="o",OR(AM2374="Save",AN2374="Turnover_Takeaway",AN2374="Play_Defensive")),"Offensive",IF(OR(AM2374="Deadice",AM2374="Stoppage",AM2374="Intermission"),"",IF(T2374="e","Offensive",IF(T2374="o","Defensive","")))))</f>
        <v>Offensive</v>
      </c>
      <c r="BB2374" s="23"/>
      <c r="BD2374" s="21"/>
      <c r="BE2374" s="21"/>
      <c r="BF2374" s="21"/>
      <c r="BG2374" s="21"/>
      <c r="BH2374" s="21"/>
      <c r="BI2374" s="21"/>
    </row>
    <row r="2375" spans="1:61" x14ac:dyDescent="0.2">
      <c r="A2375">
        <v>1229</v>
      </c>
      <c r="B2375">
        <v>192</v>
      </c>
      <c r="C2375">
        <f t="shared" si="274"/>
        <v>9192</v>
      </c>
      <c r="D2375">
        <f t="shared" si="272"/>
        <v>9192</v>
      </c>
      <c r="H2375">
        <f t="shared" si="275"/>
        <v>3</v>
      </c>
      <c r="Q2375" t="s">
        <v>620</v>
      </c>
      <c r="R2375">
        <v>22</v>
      </c>
      <c r="S2375">
        <v>1</v>
      </c>
      <c r="T2375" t="str">
        <f t="shared" si="273"/>
        <v>e</v>
      </c>
      <c r="U2375" t="s">
        <v>15</v>
      </c>
      <c r="V2375" t="s">
        <v>697</v>
      </c>
      <c r="X2375" t="s">
        <v>705</v>
      </c>
      <c r="Y2375" t="s">
        <v>720</v>
      </c>
      <c r="AA2375" t="s">
        <v>705</v>
      </c>
      <c r="AF2375" t="s">
        <v>401</v>
      </c>
      <c r="AM2375" t="str">
        <f t="shared" si="276"/>
        <v>Possession</v>
      </c>
      <c r="AN2375" t="str">
        <f t="shared" si="277"/>
        <v>PuckRetrieval</v>
      </c>
      <c r="AP2375" t="str">
        <f t="shared" si="278"/>
        <v>Offensive</v>
      </c>
      <c r="BB2375" s="23"/>
      <c r="BD2375" s="21"/>
      <c r="BE2375" s="21"/>
      <c r="BF2375" s="21"/>
      <c r="BG2375" s="21"/>
      <c r="BH2375" s="21"/>
      <c r="BI2375" s="21"/>
    </row>
    <row r="2376" spans="1:61" x14ac:dyDescent="0.2">
      <c r="A2376">
        <v>1230</v>
      </c>
      <c r="B2376" t="s">
        <v>887</v>
      </c>
      <c r="C2376" t="str">
        <f t="shared" si="274"/>
        <v/>
      </c>
      <c r="D2376" t="str">
        <f t="shared" si="272"/>
        <v/>
      </c>
      <c r="H2376">
        <f t="shared" si="275"/>
        <v>3</v>
      </c>
      <c r="I2376" s="5" t="s">
        <v>448</v>
      </c>
      <c r="J2376" s="5" t="s">
        <v>790</v>
      </c>
      <c r="Q2376" t="s">
        <v>619</v>
      </c>
      <c r="R2376">
        <v>56</v>
      </c>
      <c r="S2376">
        <v>1</v>
      </c>
      <c r="T2376" t="str">
        <f t="shared" si="273"/>
        <v>e</v>
      </c>
      <c r="U2376" t="s">
        <v>257</v>
      </c>
      <c r="V2376" t="s">
        <v>201</v>
      </c>
      <c r="W2376" t="s">
        <v>183</v>
      </c>
      <c r="X2376" t="s">
        <v>705</v>
      </c>
      <c r="AF2376" t="s">
        <v>623</v>
      </c>
      <c r="AJ2376">
        <v>1</v>
      </c>
      <c r="AM2376" t="str">
        <f t="shared" si="276"/>
        <v>Zone_Entry_Exit</v>
      </c>
      <c r="AN2376" t="str">
        <f t="shared" si="277"/>
        <v>Zone_Exit</v>
      </c>
      <c r="AP2376" t="str">
        <f t="shared" si="278"/>
        <v>Offensive</v>
      </c>
      <c r="BB2376" s="23"/>
      <c r="BD2376" s="21"/>
      <c r="BE2376" s="21"/>
      <c r="BF2376" s="21"/>
      <c r="BG2376" s="21"/>
      <c r="BH2376" s="21"/>
      <c r="BI2376" s="21"/>
    </row>
    <row r="2377" spans="1:61" x14ac:dyDescent="0.2">
      <c r="A2377">
        <v>1230</v>
      </c>
      <c r="B2377" t="s">
        <v>887</v>
      </c>
      <c r="C2377" t="str">
        <f t="shared" si="274"/>
        <v/>
      </c>
      <c r="D2377" t="str">
        <f t="shared" ref="D2377:D2440" si="279">IF(C2377&lt;&gt;"",C2377,B2377)</f>
        <v/>
      </c>
      <c r="H2377">
        <f t="shared" si="275"/>
        <v>3</v>
      </c>
      <c r="R2377">
        <v>22</v>
      </c>
      <c r="T2377" t="str">
        <f t="shared" si="273"/>
        <v>o</v>
      </c>
      <c r="AJ2377">
        <v>1</v>
      </c>
      <c r="AM2377" t="str">
        <f t="shared" si="276"/>
        <v>Zone_Entry_Exit</v>
      </c>
      <c r="AN2377" t="str">
        <f t="shared" si="277"/>
        <v>Zone_Exit</v>
      </c>
      <c r="AP2377" t="str">
        <f t="shared" si="278"/>
        <v>Defensive</v>
      </c>
      <c r="BB2377" s="23"/>
      <c r="BD2377" s="21"/>
      <c r="BE2377" s="21"/>
      <c r="BF2377" s="21"/>
      <c r="BG2377" s="21"/>
      <c r="BH2377" s="21"/>
      <c r="BI2377" s="21"/>
    </row>
    <row r="2378" spans="1:61" x14ac:dyDescent="0.2">
      <c r="A2378">
        <v>1231</v>
      </c>
      <c r="B2378" t="s">
        <v>887</v>
      </c>
      <c r="C2378" t="str">
        <f t="shared" si="274"/>
        <v/>
      </c>
      <c r="D2378" t="str">
        <f t="shared" si="279"/>
        <v/>
      </c>
      <c r="H2378">
        <f t="shared" si="275"/>
        <v>3</v>
      </c>
      <c r="I2378" s="5" t="s">
        <v>448</v>
      </c>
      <c r="J2378" s="5" t="s">
        <v>717</v>
      </c>
      <c r="K2378" s="5" t="s">
        <v>448</v>
      </c>
      <c r="L2378" s="7" t="s">
        <v>778</v>
      </c>
      <c r="Q2378" t="s">
        <v>620</v>
      </c>
      <c r="R2378">
        <v>22</v>
      </c>
      <c r="S2378">
        <v>1</v>
      </c>
      <c r="T2378" t="str">
        <f t="shared" si="273"/>
        <v>e</v>
      </c>
      <c r="U2378" t="s">
        <v>15</v>
      </c>
      <c r="V2378" t="s">
        <v>697</v>
      </c>
      <c r="X2378" t="s">
        <v>706</v>
      </c>
      <c r="Y2378" t="s">
        <v>712</v>
      </c>
      <c r="AA2378" t="s">
        <v>705</v>
      </c>
      <c r="AF2378" t="s">
        <v>635</v>
      </c>
      <c r="AM2378" t="str">
        <f t="shared" si="276"/>
        <v>Possession</v>
      </c>
      <c r="AN2378" t="str">
        <f t="shared" si="277"/>
        <v>PuckRetrieval</v>
      </c>
      <c r="AP2378" t="str">
        <f t="shared" si="278"/>
        <v>Offensive</v>
      </c>
      <c r="BB2378" s="23"/>
      <c r="BD2378" s="21"/>
      <c r="BE2378" s="21"/>
      <c r="BF2378" s="21"/>
      <c r="BG2378" s="21"/>
      <c r="BH2378" s="21"/>
      <c r="BI2378" s="21"/>
    </row>
    <row r="2379" spans="1:61" x14ac:dyDescent="0.2">
      <c r="A2379">
        <v>1232</v>
      </c>
      <c r="B2379" t="s">
        <v>887</v>
      </c>
      <c r="C2379" t="str">
        <f t="shared" si="274"/>
        <v/>
      </c>
      <c r="D2379" t="str">
        <f t="shared" si="279"/>
        <v/>
      </c>
      <c r="H2379">
        <f t="shared" si="275"/>
        <v>3</v>
      </c>
      <c r="I2379" s="5" t="s">
        <v>448</v>
      </c>
      <c r="J2379" s="5" t="s">
        <v>719</v>
      </c>
      <c r="Q2379" t="s">
        <v>620</v>
      </c>
      <c r="R2379">
        <v>22</v>
      </c>
      <c r="S2379">
        <v>1</v>
      </c>
      <c r="T2379" t="str">
        <f t="shared" si="273"/>
        <v>e</v>
      </c>
      <c r="U2379" t="s">
        <v>8</v>
      </c>
      <c r="V2379" t="s">
        <v>189</v>
      </c>
      <c r="W2379" t="s">
        <v>70</v>
      </c>
      <c r="X2379" t="s">
        <v>706</v>
      </c>
      <c r="Y2379" t="s">
        <v>814</v>
      </c>
      <c r="Z2379" t="s">
        <v>784</v>
      </c>
      <c r="AA2379" t="s">
        <v>706</v>
      </c>
      <c r="AF2379" t="s">
        <v>635</v>
      </c>
      <c r="AM2379" t="str">
        <f t="shared" si="276"/>
        <v>Pass</v>
      </c>
      <c r="AN2379" t="str">
        <f t="shared" si="277"/>
        <v>Pass_Completed</v>
      </c>
      <c r="AP2379" t="str">
        <f t="shared" si="278"/>
        <v>Offensive</v>
      </c>
      <c r="BB2379" s="23"/>
      <c r="BD2379" s="21"/>
      <c r="BE2379" s="21"/>
      <c r="BF2379" s="21"/>
      <c r="BG2379" s="21"/>
      <c r="BH2379" s="21"/>
      <c r="BI2379" s="21"/>
    </row>
    <row r="2380" spans="1:61" x14ac:dyDescent="0.2">
      <c r="A2380">
        <v>1232</v>
      </c>
      <c r="B2380" t="s">
        <v>887</v>
      </c>
      <c r="C2380" t="str">
        <f t="shared" si="274"/>
        <v/>
      </c>
      <c r="D2380" t="str">
        <f t="shared" si="279"/>
        <v/>
      </c>
      <c r="H2380">
        <f t="shared" si="275"/>
        <v>3</v>
      </c>
      <c r="R2380">
        <v>84</v>
      </c>
      <c r="S2380">
        <v>1</v>
      </c>
      <c r="T2380" t="str">
        <f t="shared" si="273"/>
        <v>e</v>
      </c>
      <c r="AM2380" t="str">
        <f t="shared" si="276"/>
        <v>Pass</v>
      </c>
      <c r="AN2380" t="str">
        <f t="shared" si="277"/>
        <v>Pass_Completed</v>
      </c>
      <c r="AP2380" t="str">
        <f t="shared" si="278"/>
        <v>Offensive</v>
      </c>
      <c r="BB2380" s="23"/>
      <c r="BD2380" s="21"/>
      <c r="BE2380" s="21"/>
      <c r="BF2380" s="21"/>
      <c r="BG2380" s="21"/>
      <c r="BH2380" s="21"/>
      <c r="BI2380" s="21"/>
    </row>
    <row r="2381" spans="1:61" x14ac:dyDescent="0.2">
      <c r="A2381">
        <v>1233</v>
      </c>
      <c r="B2381" t="s">
        <v>887</v>
      </c>
      <c r="C2381" t="str">
        <f t="shared" si="274"/>
        <v/>
      </c>
      <c r="D2381" t="str">
        <f t="shared" si="279"/>
        <v/>
      </c>
      <c r="H2381">
        <f t="shared" si="275"/>
        <v>3</v>
      </c>
      <c r="I2381" s="5" t="s">
        <v>448</v>
      </c>
      <c r="J2381" s="5" t="s">
        <v>779</v>
      </c>
      <c r="Q2381" t="s">
        <v>620</v>
      </c>
      <c r="R2381">
        <v>84</v>
      </c>
      <c r="S2381">
        <v>1</v>
      </c>
      <c r="T2381" t="str">
        <f t="shared" si="273"/>
        <v>e</v>
      </c>
      <c r="U2381" t="s">
        <v>8</v>
      </c>
      <c r="V2381" t="s">
        <v>189</v>
      </c>
      <c r="W2381" t="s">
        <v>70</v>
      </c>
      <c r="X2381" t="s">
        <v>706</v>
      </c>
      <c r="Y2381" t="s">
        <v>814</v>
      </c>
      <c r="AA2381" t="s">
        <v>706</v>
      </c>
      <c r="AF2381" t="s">
        <v>635</v>
      </c>
      <c r="AM2381" t="str">
        <f t="shared" si="276"/>
        <v>Pass</v>
      </c>
      <c r="AN2381" t="str">
        <f t="shared" si="277"/>
        <v>Pass_Completed</v>
      </c>
      <c r="AP2381" t="str">
        <f t="shared" si="278"/>
        <v>Offensive</v>
      </c>
      <c r="BB2381" s="23"/>
      <c r="BD2381" s="21"/>
      <c r="BE2381" s="21"/>
      <c r="BF2381" s="21"/>
      <c r="BG2381" s="21"/>
      <c r="BH2381" s="21"/>
      <c r="BI2381" s="21"/>
    </row>
    <row r="2382" spans="1:61" x14ac:dyDescent="0.2">
      <c r="A2382">
        <v>1233</v>
      </c>
      <c r="B2382" t="s">
        <v>887</v>
      </c>
      <c r="C2382" t="str">
        <f t="shared" si="274"/>
        <v/>
      </c>
      <c r="D2382" t="str">
        <f t="shared" si="279"/>
        <v/>
      </c>
      <c r="H2382">
        <f t="shared" si="275"/>
        <v>3</v>
      </c>
      <c r="R2382">
        <v>70</v>
      </c>
      <c r="S2382">
        <v>1</v>
      </c>
      <c r="T2382" t="str">
        <f t="shared" si="273"/>
        <v>e</v>
      </c>
      <c r="AM2382" t="str">
        <f t="shared" si="276"/>
        <v>Pass</v>
      </c>
      <c r="AN2382" t="str">
        <f t="shared" si="277"/>
        <v>Pass_Completed</v>
      </c>
      <c r="AP2382" t="str">
        <f t="shared" si="278"/>
        <v>Offensive</v>
      </c>
      <c r="BB2382" s="23"/>
      <c r="BD2382" s="21"/>
      <c r="BE2382" s="21"/>
      <c r="BF2382" s="21"/>
      <c r="BG2382" s="21"/>
      <c r="BH2382" s="21"/>
      <c r="BI2382" s="21"/>
    </row>
    <row r="2383" spans="1:61" x14ac:dyDescent="0.2">
      <c r="A2383">
        <v>1234</v>
      </c>
      <c r="B2383" t="s">
        <v>887</v>
      </c>
      <c r="C2383" t="str">
        <f t="shared" si="274"/>
        <v/>
      </c>
      <c r="D2383" t="str">
        <f t="shared" si="279"/>
        <v/>
      </c>
      <c r="H2383">
        <f t="shared" si="275"/>
        <v>3</v>
      </c>
      <c r="I2383" s="5" t="s">
        <v>448</v>
      </c>
      <c r="J2383" s="5" t="s">
        <v>721</v>
      </c>
      <c r="Q2383" t="s">
        <v>620</v>
      </c>
      <c r="R2383">
        <v>70</v>
      </c>
      <c r="S2383">
        <v>1</v>
      </c>
      <c r="T2383" t="str">
        <f t="shared" si="273"/>
        <v>e</v>
      </c>
      <c r="U2383" t="s">
        <v>10</v>
      </c>
      <c r="V2383" t="s">
        <v>190</v>
      </c>
      <c r="W2383" t="s">
        <v>398</v>
      </c>
      <c r="X2383" t="s">
        <v>705</v>
      </c>
      <c r="Y2383" t="s">
        <v>748</v>
      </c>
      <c r="AA2383" t="s">
        <v>705</v>
      </c>
      <c r="AF2383" t="s">
        <v>635</v>
      </c>
      <c r="AM2383" t="str">
        <f t="shared" si="276"/>
        <v>Turnover</v>
      </c>
      <c r="AN2383" t="str">
        <f t="shared" si="277"/>
        <v>Turnover_Giveaway</v>
      </c>
      <c r="AP2383" t="str">
        <f t="shared" si="278"/>
        <v>Offensive</v>
      </c>
      <c r="BB2383" s="23"/>
      <c r="BD2383" s="21"/>
      <c r="BE2383" s="21"/>
      <c r="BF2383" s="21"/>
      <c r="BG2383" s="21"/>
      <c r="BH2383" s="21"/>
      <c r="BI2383" s="21"/>
    </row>
    <row r="2384" spans="1:61" x14ac:dyDescent="0.2">
      <c r="A2384">
        <v>1235</v>
      </c>
      <c r="B2384" t="s">
        <v>887</v>
      </c>
      <c r="C2384" t="str">
        <f t="shared" si="274"/>
        <v/>
      </c>
      <c r="D2384" t="str">
        <f t="shared" si="279"/>
        <v/>
      </c>
      <c r="H2384">
        <f t="shared" si="275"/>
        <v>3</v>
      </c>
      <c r="I2384" s="5" t="s">
        <v>448</v>
      </c>
      <c r="J2384" s="5" t="s">
        <v>724</v>
      </c>
      <c r="K2384" s="5" t="s">
        <v>448</v>
      </c>
      <c r="L2384" s="7" t="s">
        <v>780</v>
      </c>
      <c r="Q2384" t="s">
        <v>619</v>
      </c>
      <c r="R2384">
        <v>56</v>
      </c>
      <c r="S2384">
        <v>1</v>
      </c>
      <c r="T2384" t="str">
        <f t="shared" si="273"/>
        <v>e</v>
      </c>
      <c r="U2384" t="s">
        <v>15</v>
      </c>
      <c r="V2384" t="s">
        <v>697</v>
      </c>
      <c r="X2384" t="s">
        <v>706</v>
      </c>
      <c r="Y2384" t="s">
        <v>712</v>
      </c>
      <c r="AA2384" t="s">
        <v>706</v>
      </c>
      <c r="AF2384" t="s">
        <v>635</v>
      </c>
      <c r="AJ2384">
        <v>1</v>
      </c>
      <c r="AM2384" t="str">
        <f t="shared" si="276"/>
        <v>Possession</v>
      </c>
      <c r="AN2384" t="str">
        <f t="shared" si="277"/>
        <v>PuckRetrieval</v>
      </c>
      <c r="AP2384" t="str">
        <f t="shared" si="278"/>
        <v>Offensive</v>
      </c>
      <c r="BB2384" s="23"/>
      <c r="BD2384" s="21"/>
      <c r="BE2384" s="21"/>
      <c r="BF2384" s="21"/>
      <c r="BG2384" s="21"/>
      <c r="BH2384" s="21"/>
      <c r="BI2384" s="21"/>
    </row>
    <row r="2385" spans="1:61" x14ac:dyDescent="0.2">
      <c r="A2385">
        <v>1235</v>
      </c>
      <c r="B2385" t="s">
        <v>887</v>
      </c>
      <c r="C2385" t="str">
        <f t="shared" si="274"/>
        <v/>
      </c>
      <c r="D2385" t="str">
        <f t="shared" si="279"/>
        <v/>
      </c>
      <c r="H2385">
        <f t="shared" si="275"/>
        <v>3</v>
      </c>
      <c r="R2385">
        <v>61</v>
      </c>
      <c r="T2385" t="str">
        <f t="shared" si="273"/>
        <v>o</v>
      </c>
      <c r="Y2385" t="s">
        <v>715</v>
      </c>
      <c r="AA2385" t="s">
        <v>705</v>
      </c>
      <c r="AJ2385">
        <v>1</v>
      </c>
      <c r="AM2385" t="str">
        <f t="shared" si="276"/>
        <v>Possession</v>
      </c>
      <c r="AN2385" t="str">
        <f t="shared" si="277"/>
        <v>PuckRetrieval</v>
      </c>
      <c r="AP2385" t="str">
        <f t="shared" si="278"/>
        <v>Defensive</v>
      </c>
      <c r="BB2385" s="23"/>
      <c r="BD2385" s="21"/>
      <c r="BE2385" s="21"/>
      <c r="BF2385" s="21"/>
      <c r="BG2385" s="21"/>
      <c r="BH2385" s="21"/>
      <c r="BI2385" s="21"/>
    </row>
    <row r="2386" spans="1:61" x14ac:dyDescent="0.2">
      <c r="A2386">
        <v>1235</v>
      </c>
      <c r="B2386" t="s">
        <v>887</v>
      </c>
      <c r="C2386" t="str">
        <f t="shared" si="274"/>
        <v/>
      </c>
      <c r="D2386" t="str">
        <f t="shared" si="279"/>
        <v/>
      </c>
      <c r="H2386">
        <f t="shared" si="275"/>
        <v>3</v>
      </c>
      <c r="R2386">
        <v>22</v>
      </c>
      <c r="T2386" t="str">
        <f t="shared" si="273"/>
        <v>o</v>
      </c>
      <c r="Y2386" t="s">
        <v>715</v>
      </c>
      <c r="AA2386" t="s">
        <v>705</v>
      </c>
      <c r="AJ2386">
        <v>1</v>
      </c>
      <c r="AM2386" t="str">
        <f t="shared" si="276"/>
        <v>Possession</v>
      </c>
      <c r="AN2386" t="str">
        <f t="shared" si="277"/>
        <v>PuckRetrieval</v>
      </c>
      <c r="AP2386" t="str">
        <f t="shared" si="278"/>
        <v>Defensive</v>
      </c>
      <c r="BB2386" s="23"/>
      <c r="BD2386" s="21"/>
      <c r="BE2386" s="21"/>
      <c r="BF2386" s="21"/>
      <c r="BG2386" s="21"/>
      <c r="BH2386" s="21"/>
      <c r="BI2386" s="21"/>
    </row>
    <row r="2387" spans="1:61" x14ac:dyDescent="0.2">
      <c r="A2387">
        <v>1236</v>
      </c>
      <c r="B2387" t="s">
        <v>887</v>
      </c>
      <c r="C2387" t="str">
        <f t="shared" si="274"/>
        <v/>
      </c>
      <c r="D2387" t="str">
        <f t="shared" si="279"/>
        <v/>
      </c>
      <c r="H2387">
        <f t="shared" si="275"/>
        <v>3</v>
      </c>
      <c r="I2387" s="5" t="s">
        <v>448</v>
      </c>
      <c r="J2387" s="5" t="s">
        <v>780</v>
      </c>
      <c r="K2387" s="5" t="s">
        <v>448</v>
      </c>
      <c r="L2387" s="7" t="s">
        <v>813</v>
      </c>
      <c r="Q2387" t="s">
        <v>619</v>
      </c>
      <c r="R2387">
        <v>56</v>
      </c>
      <c r="S2387">
        <v>1</v>
      </c>
      <c r="T2387" t="str">
        <f t="shared" si="273"/>
        <v>e</v>
      </c>
      <c r="U2387" t="s">
        <v>257</v>
      </c>
      <c r="V2387" t="s">
        <v>191</v>
      </c>
      <c r="W2387" t="s">
        <v>87</v>
      </c>
      <c r="X2387" t="s">
        <v>705</v>
      </c>
      <c r="Y2387" t="s">
        <v>728</v>
      </c>
      <c r="AF2387" t="s">
        <v>401</v>
      </c>
      <c r="AJ2387">
        <v>1</v>
      </c>
      <c r="AM2387" t="str">
        <f t="shared" si="276"/>
        <v>Zone_Entry_Exit</v>
      </c>
      <c r="AN2387" t="str">
        <f t="shared" si="277"/>
        <v>Zone_Entry</v>
      </c>
      <c r="AP2387" t="str">
        <f t="shared" si="278"/>
        <v>Offensive</v>
      </c>
      <c r="BB2387" s="23"/>
      <c r="BD2387" s="21"/>
      <c r="BE2387" s="21"/>
      <c r="BF2387" s="21"/>
      <c r="BG2387" s="21"/>
      <c r="BH2387" s="21"/>
      <c r="BI2387" s="21"/>
    </row>
    <row r="2388" spans="1:61" x14ac:dyDescent="0.2">
      <c r="A2388">
        <v>1236</v>
      </c>
      <c r="B2388" t="s">
        <v>887</v>
      </c>
      <c r="C2388" t="str">
        <f t="shared" si="274"/>
        <v/>
      </c>
      <c r="D2388" t="str">
        <f t="shared" si="279"/>
        <v/>
      </c>
      <c r="H2388">
        <f t="shared" si="275"/>
        <v>3</v>
      </c>
      <c r="R2388">
        <v>3</v>
      </c>
      <c r="S2388">
        <v>1</v>
      </c>
      <c r="T2388" t="str">
        <f t="shared" si="273"/>
        <v>e</v>
      </c>
      <c r="AM2388" t="str">
        <f t="shared" si="276"/>
        <v>Zone_Entry_Exit</v>
      </c>
      <c r="AN2388" t="str">
        <f t="shared" si="277"/>
        <v>Zone_Entry</v>
      </c>
      <c r="AP2388" t="str">
        <f t="shared" si="278"/>
        <v>Offensive</v>
      </c>
      <c r="BB2388" s="23"/>
      <c r="BD2388" s="21"/>
      <c r="BE2388" s="21"/>
      <c r="BF2388" s="21"/>
      <c r="BG2388" s="21"/>
      <c r="BH2388" s="21"/>
      <c r="BI2388" s="21"/>
    </row>
    <row r="2389" spans="1:61" x14ac:dyDescent="0.2">
      <c r="A2389">
        <v>1236</v>
      </c>
      <c r="B2389" t="s">
        <v>887</v>
      </c>
      <c r="C2389" t="str">
        <f t="shared" si="274"/>
        <v/>
      </c>
      <c r="D2389" t="str">
        <f t="shared" si="279"/>
        <v/>
      </c>
      <c r="H2389">
        <f t="shared" si="275"/>
        <v>3</v>
      </c>
      <c r="R2389">
        <v>12</v>
      </c>
      <c r="S2389">
        <v>1</v>
      </c>
      <c r="T2389" t="str">
        <f t="shared" si="273"/>
        <v>e</v>
      </c>
      <c r="AM2389" t="str">
        <f t="shared" si="276"/>
        <v>Zone_Entry_Exit</v>
      </c>
      <c r="AN2389" t="str">
        <f t="shared" si="277"/>
        <v>Zone_Entry</v>
      </c>
      <c r="AP2389" t="str">
        <f t="shared" si="278"/>
        <v>Offensive</v>
      </c>
      <c r="BB2389" s="23"/>
      <c r="BD2389" s="21"/>
      <c r="BE2389" s="21"/>
      <c r="BF2389" s="21"/>
      <c r="BG2389" s="21"/>
      <c r="BH2389" s="21"/>
      <c r="BI2389" s="21"/>
    </row>
    <row r="2390" spans="1:61" x14ac:dyDescent="0.2">
      <c r="A2390">
        <v>1236</v>
      </c>
      <c r="B2390" t="s">
        <v>887</v>
      </c>
      <c r="C2390" t="str">
        <f t="shared" si="274"/>
        <v/>
      </c>
      <c r="D2390" t="str">
        <f t="shared" si="279"/>
        <v/>
      </c>
      <c r="H2390">
        <f t="shared" si="275"/>
        <v>3</v>
      </c>
      <c r="R2390">
        <v>22</v>
      </c>
      <c r="T2390" t="str">
        <f t="shared" si="273"/>
        <v>o</v>
      </c>
      <c r="Y2390" t="s">
        <v>715</v>
      </c>
      <c r="AJ2390">
        <v>1</v>
      </c>
      <c r="AM2390" t="str">
        <f t="shared" si="276"/>
        <v>Zone_Entry_Exit</v>
      </c>
      <c r="AN2390" t="str">
        <f t="shared" si="277"/>
        <v>Zone_Entry</v>
      </c>
      <c r="AP2390" t="str">
        <f t="shared" si="278"/>
        <v>Defensive</v>
      </c>
      <c r="BB2390" s="23"/>
      <c r="BD2390" s="21"/>
      <c r="BE2390" s="21"/>
      <c r="BF2390" s="21"/>
      <c r="BG2390" s="21"/>
      <c r="BH2390" s="21"/>
      <c r="BI2390" s="21"/>
    </row>
    <row r="2391" spans="1:61" x14ac:dyDescent="0.2">
      <c r="A2391">
        <v>1236</v>
      </c>
      <c r="B2391" t="s">
        <v>887</v>
      </c>
      <c r="C2391" t="str">
        <f t="shared" si="274"/>
        <v/>
      </c>
      <c r="D2391" t="str">
        <f t="shared" si="279"/>
        <v/>
      </c>
      <c r="H2391">
        <f t="shared" si="275"/>
        <v>3</v>
      </c>
      <c r="R2391">
        <v>70</v>
      </c>
      <c r="T2391" t="str">
        <f t="shared" si="273"/>
        <v>o</v>
      </c>
      <c r="AM2391" t="str">
        <f t="shared" si="276"/>
        <v>Zone_Entry_Exit</v>
      </c>
      <c r="AN2391" t="str">
        <f t="shared" si="277"/>
        <v>Zone_Entry</v>
      </c>
      <c r="AP2391" t="str">
        <f t="shared" si="278"/>
        <v>Defensive</v>
      </c>
      <c r="BB2391" s="23"/>
      <c r="BD2391" s="21"/>
      <c r="BE2391" s="21"/>
      <c r="BF2391" s="21"/>
      <c r="BG2391" s="21"/>
      <c r="BH2391" s="21"/>
      <c r="BI2391" s="21"/>
    </row>
    <row r="2392" spans="1:61" x14ac:dyDescent="0.2">
      <c r="A2392">
        <v>1237</v>
      </c>
      <c r="B2392" t="s">
        <v>887</v>
      </c>
      <c r="C2392" t="str">
        <f t="shared" si="274"/>
        <v/>
      </c>
      <c r="D2392" t="str">
        <f t="shared" si="279"/>
        <v/>
      </c>
      <c r="H2392">
        <f t="shared" si="275"/>
        <v>3</v>
      </c>
      <c r="I2392" s="5" t="s">
        <v>448</v>
      </c>
      <c r="J2392" s="5" t="s">
        <v>813</v>
      </c>
      <c r="Q2392" t="s">
        <v>620</v>
      </c>
      <c r="R2392">
        <v>22</v>
      </c>
      <c r="S2392">
        <v>1</v>
      </c>
      <c r="T2392" t="str">
        <f t="shared" si="273"/>
        <v>e</v>
      </c>
      <c r="U2392" t="s">
        <v>10</v>
      </c>
      <c r="V2392" t="s">
        <v>200</v>
      </c>
      <c r="W2392" t="s">
        <v>81</v>
      </c>
      <c r="X2392" t="s">
        <v>706</v>
      </c>
      <c r="Y2392" t="s">
        <v>774</v>
      </c>
      <c r="AA2392" t="s">
        <v>706</v>
      </c>
      <c r="AF2392" t="s">
        <v>623</v>
      </c>
      <c r="AJ2392">
        <v>1</v>
      </c>
      <c r="AM2392" t="str">
        <f t="shared" si="276"/>
        <v>Turnover</v>
      </c>
      <c r="AN2392" t="str">
        <f t="shared" si="277"/>
        <v>Turnover_Takeaway</v>
      </c>
      <c r="AP2392" t="str">
        <f t="shared" si="278"/>
        <v>Defensive</v>
      </c>
      <c r="BB2392" s="23"/>
      <c r="BD2392" s="21"/>
      <c r="BE2392" s="21"/>
      <c r="BF2392" s="21"/>
      <c r="BG2392" s="21"/>
      <c r="BH2392" s="21"/>
      <c r="BI2392" s="21"/>
    </row>
    <row r="2393" spans="1:61" x14ac:dyDescent="0.2">
      <c r="A2393">
        <v>1237</v>
      </c>
      <c r="B2393" t="s">
        <v>887</v>
      </c>
      <c r="C2393" t="str">
        <f t="shared" si="274"/>
        <v/>
      </c>
      <c r="D2393" t="str">
        <f t="shared" si="279"/>
        <v/>
      </c>
      <c r="H2393">
        <f t="shared" si="275"/>
        <v>3</v>
      </c>
      <c r="R2393">
        <v>56</v>
      </c>
      <c r="T2393" t="str">
        <f t="shared" si="273"/>
        <v>o</v>
      </c>
      <c r="AJ2393">
        <v>1</v>
      </c>
      <c r="AM2393" t="str">
        <f t="shared" si="276"/>
        <v>Turnover</v>
      </c>
      <c r="AN2393" t="str">
        <f t="shared" si="277"/>
        <v>Turnover_Takeaway</v>
      </c>
      <c r="AP2393" t="str">
        <f t="shared" si="278"/>
        <v>Offensive</v>
      </c>
      <c r="BB2393" s="23"/>
      <c r="BD2393" s="21"/>
      <c r="BE2393" s="21"/>
      <c r="BF2393" s="21"/>
      <c r="BG2393" s="21"/>
      <c r="BH2393" s="21"/>
      <c r="BI2393" s="21"/>
    </row>
    <row r="2394" spans="1:61" x14ac:dyDescent="0.2">
      <c r="A2394">
        <v>1238</v>
      </c>
      <c r="B2394" t="s">
        <v>887</v>
      </c>
      <c r="C2394" t="str">
        <f t="shared" si="274"/>
        <v/>
      </c>
      <c r="D2394" t="str">
        <f t="shared" si="279"/>
        <v/>
      </c>
      <c r="H2394">
        <f t="shared" si="275"/>
        <v>3</v>
      </c>
      <c r="I2394" s="5" t="s">
        <v>448</v>
      </c>
      <c r="J2394" s="5" t="s">
        <v>813</v>
      </c>
      <c r="K2394" s="5" t="s">
        <v>448</v>
      </c>
      <c r="L2394" s="7" t="s">
        <v>760</v>
      </c>
      <c r="Q2394" t="s">
        <v>620</v>
      </c>
      <c r="R2394">
        <v>22</v>
      </c>
      <c r="S2394">
        <v>1</v>
      </c>
      <c r="T2394" t="str">
        <f t="shared" si="273"/>
        <v>e</v>
      </c>
      <c r="U2394" t="s">
        <v>15</v>
      </c>
      <c r="AF2394" t="s">
        <v>623</v>
      </c>
      <c r="AM2394" t="str">
        <f t="shared" si="276"/>
        <v>Possession</v>
      </c>
      <c r="AN2394" t="str">
        <f t="shared" si="277"/>
        <v/>
      </c>
      <c r="AP2394" t="str">
        <f t="shared" si="278"/>
        <v>Offensive</v>
      </c>
      <c r="BB2394" s="23"/>
      <c r="BD2394" s="21"/>
      <c r="BE2394" s="21"/>
      <c r="BF2394" s="21"/>
      <c r="BG2394" s="21"/>
      <c r="BH2394" s="21"/>
      <c r="BI2394" s="21"/>
    </row>
    <row r="2395" spans="1:61" x14ac:dyDescent="0.2">
      <c r="A2395">
        <v>1239</v>
      </c>
      <c r="B2395">
        <v>193</v>
      </c>
      <c r="C2395">
        <f t="shared" si="274"/>
        <v>9193</v>
      </c>
      <c r="D2395">
        <f t="shared" si="279"/>
        <v>9193</v>
      </c>
      <c r="H2395">
        <f t="shared" si="275"/>
        <v>3</v>
      </c>
      <c r="I2395" s="5" t="s">
        <v>448</v>
      </c>
      <c r="J2395" s="5" t="s">
        <v>760</v>
      </c>
      <c r="Q2395" t="s">
        <v>620</v>
      </c>
      <c r="R2395">
        <v>22</v>
      </c>
      <c r="S2395">
        <v>1</v>
      </c>
      <c r="T2395" t="str">
        <f t="shared" si="273"/>
        <v>e</v>
      </c>
      <c r="U2395" t="s">
        <v>8</v>
      </c>
      <c r="V2395" t="s">
        <v>199</v>
      </c>
      <c r="W2395" t="s">
        <v>71</v>
      </c>
      <c r="X2395" t="s">
        <v>705</v>
      </c>
      <c r="Y2395" t="s">
        <v>678</v>
      </c>
      <c r="AA2395" t="s">
        <v>705</v>
      </c>
      <c r="AF2395" t="s">
        <v>623</v>
      </c>
      <c r="AM2395" t="str">
        <f t="shared" si="276"/>
        <v>Pass</v>
      </c>
      <c r="AN2395" t="str">
        <f t="shared" si="277"/>
        <v>Pass_Missed</v>
      </c>
      <c r="AP2395" t="str">
        <f t="shared" si="278"/>
        <v>Offensive</v>
      </c>
      <c r="BB2395" s="23"/>
      <c r="BD2395" s="21"/>
      <c r="BE2395" s="21"/>
      <c r="BF2395" s="21"/>
      <c r="BG2395" s="21"/>
      <c r="BH2395" s="21"/>
      <c r="BI2395" s="21"/>
    </row>
    <row r="2396" spans="1:61" x14ac:dyDescent="0.2">
      <c r="A2396">
        <v>1239</v>
      </c>
      <c r="B2396">
        <v>193</v>
      </c>
      <c r="C2396">
        <f t="shared" si="274"/>
        <v>9193</v>
      </c>
      <c r="D2396">
        <f t="shared" si="279"/>
        <v>9193</v>
      </c>
      <c r="H2396">
        <f t="shared" si="275"/>
        <v>3</v>
      </c>
      <c r="R2396">
        <v>61</v>
      </c>
      <c r="S2396">
        <v>1</v>
      </c>
      <c r="T2396" t="str">
        <f t="shared" si="273"/>
        <v>e</v>
      </c>
      <c r="AJ2396">
        <v>1</v>
      </c>
      <c r="AM2396" t="str">
        <f t="shared" si="276"/>
        <v>Pass</v>
      </c>
      <c r="AN2396" t="str">
        <f t="shared" si="277"/>
        <v>Pass_Missed</v>
      </c>
      <c r="AP2396" t="str">
        <f t="shared" si="278"/>
        <v>Offensive</v>
      </c>
      <c r="BB2396" s="23"/>
      <c r="BD2396" s="21"/>
      <c r="BE2396" s="21"/>
      <c r="BF2396" s="21"/>
      <c r="BG2396" s="21"/>
      <c r="BH2396" s="21"/>
      <c r="BI2396" s="21"/>
    </row>
    <row r="2397" spans="1:61" x14ac:dyDescent="0.2">
      <c r="A2397">
        <v>1239</v>
      </c>
      <c r="B2397">
        <v>193</v>
      </c>
      <c r="C2397">
        <f t="shared" si="274"/>
        <v>9193</v>
      </c>
      <c r="D2397">
        <f t="shared" si="279"/>
        <v>9193</v>
      </c>
      <c r="H2397">
        <f t="shared" si="275"/>
        <v>3</v>
      </c>
      <c r="R2397">
        <v>25</v>
      </c>
      <c r="T2397" t="str">
        <f t="shared" si="273"/>
        <v>o</v>
      </c>
      <c r="Y2397" t="s">
        <v>737</v>
      </c>
      <c r="AA2397" t="s">
        <v>705</v>
      </c>
      <c r="AJ2397">
        <v>1</v>
      </c>
      <c r="AM2397" t="str">
        <f t="shared" si="276"/>
        <v>Pass</v>
      </c>
      <c r="AN2397" t="str">
        <f t="shared" si="277"/>
        <v>Pass_Missed</v>
      </c>
      <c r="AP2397" t="str">
        <f t="shared" si="278"/>
        <v>Defensive</v>
      </c>
      <c r="BB2397" s="23"/>
      <c r="BD2397" s="21"/>
      <c r="BE2397" s="21"/>
      <c r="BF2397" s="21"/>
      <c r="BG2397" s="21"/>
      <c r="BH2397" s="21"/>
      <c r="BI2397" s="21"/>
    </row>
    <row r="2398" spans="1:61" x14ac:dyDescent="0.2">
      <c r="A2398">
        <v>1240</v>
      </c>
      <c r="B2398">
        <v>193</v>
      </c>
      <c r="C2398">
        <f t="shared" si="274"/>
        <v>9193</v>
      </c>
      <c r="D2398">
        <f t="shared" si="279"/>
        <v>9193</v>
      </c>
      <c r="H2398">
        <f t="shared" si="275"/>
        <v>3</v>
      </c>
      <c r="I2398" s="5" t="s">
        <v>448</v>
      </c>
      <c r="J2398" s="5" t="s">
        <v>760</v>
      </c>
      <c r="Q2398" t="s">
        <v>620</v>
      </c>
      <c r="R2398">
        <v>22</v>
      </c>
      <c r="S2398">
        <v>1</v>
      </c>
      <c r="T2398" t="str">
        <f t="shared" ref="T2398:T2403" si="280">IF(S2398="x","",IF(S2398=1,"e","o"))</f>
        <v>e</v>
      </c>
      <c r="U2398" t="s">
        <v>257</v>
      </c>
      <c r="V2398" t="s">
        <v>201</v>
      </c>
      <c r="W2398" t="s">
        <v>409</v>
      </c>
      <c r="X2398" t="s">
        <v>705</v>
      </c>
      <c r="Y2398" t="s">
        <v>678</v>
      </c>
      <c r="AA2398" t="s">
        <v>705</v>
      </c>
      <c r="AF2398" t="s">
        <v>623</v>
      </c>
      <c r="AM2398" t="str">
        <f t="shared" si="276"/>
        <v>Zone_Entry_Exit</v>
      </c>
      <c r="AN2398" t="str">
        <f t="shared" si="277"/>
        <v>Zone_Exit</v>
      </c>
      <c r="AP2398" t="str">
        <f t="shared" si="278"/>
        <v>Offensive</v>
      </c>
      <c r="BB2398" s="23"/>
      <c r="BD2398" s="21"/>
      <c r="BE2398" s="21"/>
      <c r="BF2398" s="21"/>
      <c r="BG2398" s="21"/>
      <c r="BH2398" s="21"/>
      <c r="BI2398" s="21"/>
    </row>
    <row r="2399" spans="1:61" x14ac:dyDescent="0.2">
      <c r="A2399">
        <v>1240</v>
      </c>
      <c r="B2399">
        <v>193</v>
      </c>
      <c r="C2399">
        <f t="shared" si="274"/>
        <v>9193</v>
      </c>
      <c r="D2399">
        <f t="shared" si="279"/>
        <v>9193</v>
      </c>
      <c r="H2399">
        <f t="shared" si="275"/>
        <v>3</v>
      </c>
      <c r="R2399">
        <v>61</v>
      </c>
      <c r="S2399">
        <v>1</v>
      </c>
      <c r="T2399" t="str">
        <f t="shared" si="280"/>
        <v>e</v>
      </c>
      <c r="AJ2399">
        <v>1</v>
      </c>
      <c r="AM2399" t="str">
        <f t="shared" si="276"/>
        <v>Zone_Entry_Exit</v>
      </c>
      <c r="AN2399" t="str">
        <f t="shared" si="277"/>
        <v>Zone_Exit</v>
      </c>
      <c r="AP2399" t="str">
        <f t="shared" si="278"/>
        <v>Offensive</v>
      </c>
      <c r="BB2399" s="23"/>
      <c r="BD2399" s="21"/>
      <c r="BE2399" s="21"/>
      <c r="BF2399" s="21"/>
      <c r="BG2399" s="21"/>
      <c r="BH2399" s="21"/>
      <c r="BI2399" s="21"/>
    </row>
    <row r="2400" spans="1:61" x14ac:dyDescent="0.2">
      <c r="A2400">
        <v>1240</v>
      </c>
      <c r="B2400">
        <v>193</v>
      </c>
      <c r="C2400">
        <f t="shared" si="274"/>
        <v>9193</v>
      </c>
      <c r="D2400">
        <f t="shared" si="279"/>
        <v>9193</v>
      </c>
      <c r="H2400">
        <f t="shared" si="275"/>
        <v>3</v>
      </c>
      <c r="R2400">
        <v>25</v>
      </c>
      <c r="T2400" t="str">
        <f t="shared" si="280"/>
        <v>o</v>
      </c>
      <c r="Y2400" t="s">
        <v>737</v>
      </c>
      <c r="AA2400" t="s">
        <v>705</v>
      </c>
      <c r="AJ2400">
        <v>1</v>
      </c>
      <c r="AM2400" t="str">
        <f t="shared" si="276"/>
        <v>Zone_Entry_Exit</v>
      </c>
      <c r="AN2400" t="str">
        <f t="shared" si="277"/>
        <v>Zone_Exit</v>
      </c>
      <c r="AP2400" t="str">
        <f t="shared" si="278"/>
        <v>Defensive</v>
      </c>
      <c r="BB2400" s="23"/>
      <c r="BD2400" s="21"/>
      <c r="BE2400" s="21"/>
      <c r="BF2400" s="21"/>
      <c r="BG2400" s="21"/>
      <c r="BH2400" s="21"/>
      <c r="BI2400" s="21"/>
    </row>
    <row r="2401" spans="1:61" x14ac:dyDescent="0.2">
      <c r="A2401">
        <v>1241</v>
      </c>
      <c r="B2401">
        <v>193</v>
      </c>
      <c r="C2401">
        <f>IF(B2401&lt;&gt;"",9000+B2401,"")</f>
        <v>9193</v>
      </c>
      <c r="D2401">
        <f>IF(C2401&lt;&gt;"",C2401,B2401)</f>
        <v>9193</v>
      </c>
      <c r="H2401">
        <f>IF(U2401="Intermission",H2400+1,H2400)</f>
        <v>3</v>
      </c>
      <c r="I2401" s="5" t="s">
        <v>448</v>
      </c>
      <c r="J2401" s="5" t="s">
        <v>760</v>
      </c>
      <c r="Q2401" t="s">
        <v>620</v>
      </c>
      <c r="R2401">
        <v>22</v>
      </c>
      <c r="S2401">
        <v>1</v>
      </c>
      <c r="T2401" t="str">
        <f t="shared" si="280"/>
        <v>e</v>
      </c>
      <c r="U2401" t="s">
        <v>10</v>
      </c>
      <c r="V2401" t="s">
        <v>190</v>
      </c>
      <c r="W2401" t="s">
        <v>76</v>
      </c>
      <c r="X2401" t="s">
        <v>705</v>
      </c>
      <c r="Y2401" t="s">
        <v>678</v>
      </c>
      <c r="AA2401" t="s">
        <v>705</v>
      </c>
      <c r="AF2401" t="s">
        <v>623</v>
      </c>
      <c r="AM2401" t="str">
        <f t="shared" si="276"/>
        <v>Turnover</v>
      </c>
      <c r="AN2401" t="str">
        <f t="shared" si="277"/>
        <v>Turnover_Giveaway</v>
      </c>
      <c r="AP2401" t="str">
        <f t="shared" si="278"/>
        <v>Offensive</v>
      </c>
      <c r="BB2401" s="23"/>
      <c r="BD2401" s="21"/>
      <c r="BE2401" s="21"/>
      <c r="BF2401" s="21"/>
      <c r="BG2401" s="21"/>
      <c r="BH2401" s="21"/>
      <c r="BI2401" s="21"/>
    </row>
    <row r="2402" spans="1:61" x14ac:dyDescent="0.2">
      <c r="A2402">
        <v>1241</v>
      </c>
      <c r="B2402">
        <v>193</v>
      </c>
      <c r="C2402">
        <f>IF(B2402&lt;&gt;"",9000+B2402,"")</f>
        <v>9193</v>
      </c>
      <c r="D2402">
        <f>IF(C2402&lt;&gt;"",C2402,B2402)</f>
        <v>9193</v>
      </c>
      <c r="H2402">
        <f>IF(U2402="Intermission",H2401+1,H2401)</f>
        <v>3</v>
      </c>
      <c r="R2402">
        <v>61</v>
      </c>
      <c r="S2402">
        <v>1</v>
      </c>
      <c r="T2402" t="str">
        <f t="shared" si="280"/>
        <v>e</v>
      </c>
      <c r="AJ2402">
        <v>1</v>
      </c>
      <c r="AM2402" t="str">
        <f t="shared" si="276"/>
        <v>Turnover</v>
      </c>
      <c r="AN2402" t="str">
        <f t="shared" si="277"/>
        <v>Turnover_Giveaway</v>
      </c>
      <c r="AP2402" t="str">
        <f t="shared" si="278"/>
        <v>Offensive</v>
      </c>
      <c r="BB2402" s="23"/>
      <c r="BD2402" s="21"/>
      <c r="BE2402" s="21"/>
      <c r="BF2402" s="21"/>
      <c r="BG2402" s="21"/>
      <c r="BH2402" s="21"/>
      <c r="BI2402" s="21"/>
    </row>
    <row r="2403" spans="1:61" x14ac:dyDescent="0.2">
      <c r="A2403">
        <v>1241</v>
      </c>
      <c r="B2403">
        <v>193</v>
      </c>
      <c r="C2403">
        <f>IF(B2403&lt;&gt;"",9000+B2403,"")</f>
        <v>9193</v>
      </c>
      <c r="D2403">
        <f>IF(C2403&lt;&gt;"",C2403,B2403)</f>
        <v>9193</v>
      </c>
      <c r="H2403">
        <f>IF(U2403="Intermission",H2402+1,H2402)</f>
        <v>3</v>
      </c>
      <c r="R2403">
        <v>25</v>
      </c>
      <c r="T2403" t="str">
        <f t="shared" si="280"/>
        <v>o</v>
      </c>
      <c r="Y2403" t="s">
        <v>737</v>
      </c>
      <c r="AA2403" t="s">
        <v>705</v>
      </c>
      <c r="AJ2403">
        <v>1</v>
      </c>
      <c r="AM2403" t="str">
        <f t="shared" si="276"/>
        <v>Turnover</v>
      </c>
      <c r="AN2403" t="str">
        <f t="shared" si="277"/>
        <v>Turnover_Giveaway</v>
      </c>
      <c r="AP2403" t="str">
        <f t="shared" si="278"/>
        <v>Defensive</v>
      </c>
      <c r="BB2403" s="23"/>
      <c r="BD2403" s="21"/>
      <c r="BE2403" s="21"/>
      <c r="BF2403" s="21"/>
      <c r="BG2403" s="21"/>
      <c r="BH2403" s="21"/>
      <c r="BI2403" s="21"/>
    </row>
    <row r="2404" spans="1:61" x14ac:dyDescent="0.2">
      <c r="A2404">
        <v>1242</v>
      </c>
      <c r="B2404" t="s">
        <v>887</v>
      </c>
      <c r="C2404" t="str">
        <f t="shared" si="274"/>
        <v/>
      </c>
      <c r="D2404" t="str">
        <f t="shared" si="279"/>
        <v/>
      </c>
      <c r="H2404">
        <f t="shared" si="275"/>
        <v>3</v>
      </c>
      <c r="I2404" s="5" t="s">
        <v>448</v>
      </c>
      <c r="J2404" s="5" t="s">
        <v>782</v>
      </c>
      <c r="K2404" s="5" t="s">
        <v>448</v>
      </c>
      <c r="L2404" s="7" t="s">
        <v>732</v>
      </c>
      <c r="Q2404" t="s">
        <v>619</v>
      </c>
      <c r="R2404">
        <v>4</v>
      </c>
      <c r="S2404">
        <v>1</v>
      </c>
      <c r="T2404" t="str">
        <f t="shared" si="273"/>
        <v>e</v>
      </c>
      <c r="U2404" t="s">
        <v>15</v>
      </c>
      <c r="V2404" t="s">
        <v>697</v>
      </c>
      <c r="X2404" t="s">
        <v>705</v>
      </c>
      <c r="Y2404" t="s">
        <v>712</v>
      </c>
      <c r="AA2404" t="s">
        <v>705</v>
      </c>
      <c r="AF2404" t="s">
        <v>635</v>
      </c>
      <c r="AJ2404">
        <v>1</v>
      </c>
      <c r="AM2404" t="str">
        <f t="shared" si="276"/>
        <v>Possession</v>
      </c>
      <c r="AN2404" t="str">
        <f t="shared" si="277"/>
        <v>PuckRetrieval</v>
      </c>
      <c r="AP2404" t="str">
        <f t="shared" si="278"/>
        <v>Offensive</v>
      </c>
      <c r="BB2404" s="23"/>
      <c r="BD2404" s="21"/>
      <c r="BE2404" s="21"/>
      <c r="BF2404" s="21"/>
      <c r="BG2404" s="21"/>
      <c r="BH2404" s="21"/>
      <c r="BI2404" s="21"/>
    </row>
    <row r="2405" spans="1:61" x14ac:dyDescent="0.2">
      <c r="A2405">
        <v>1242</v>
      </c>
      <c r="B2405" t="s">
        <v>887</v>
      </c>
      <c r="C2405" t="str">
        <f t="shared" si="274"/>
        <v/>
      </c>
      <c r="D2405" t="str">
        <f t="shared" si="279"/>
        <v/>
      </c>
      <c r="H2405">
        <f t="shared" si="275"/>
        <v>3</v>
      </c>
      <c r="R2405">
        <v>70</v>
      </c>
      <c r="T2405" t="str">
        <f t="shared" si="273"/>
        <v>o</v>
      </c>
      <c r="AJ2405">
        <v>1</v>
      </c>
      <c r="AM2405" t="str">
        <f t="shared" si="276"/>
        <v>Possession</v>
      </c>
      <c r="AN2405" t="str">
        <f t="shared" si="277"/>
        <v>PuckRetrieval</v>
      </c>
      <c r="AP2405" t="str">
        <f t="shared" si="278"/>
        <v>Defensive</v>
      </c>
      <c r="BB2405" s="23"/>
      <c r="BD2405" s="21"/>
      <c r="BE2405" s="21"/>
      <c r="BF2405" s="21"/>
      <c r="BG2405" s="21"/>
      <c r="BH2405" s="21"/>
      <c r="BI2405" s="21"/>
    </row>
    <row r="2406" spans="1:61" x14ac:dyDescent="0.2">
      <c r="A2406">
        <v>1242</v>
      </c>
      <c r="B2406" t="s">
        <v>887</v>
      </c>
      <c r="C2406" t="str">
        <f t="shared" si="274"/>
        <v/>
      </c>
      <c r="D2406" t="str">
        <f t="shared" si="279"/>
        <v/>
      </c>
      <c r="H2406">
        <f t="shared" si="275"/>
        <v>3</v>
      </c>
      <c r="R2406">
        <v>61</v>
      </c>
      <c r="T2406" t="str">
        <f t="shared" si="273"/>
        <v>o</v>
      </c>
      <c r="AJ2406">
        <v>1</v>
      </c>
      <c r="AM2406" t="str">
        <f t="shared" si="276"/>
        <v>Possession</v>
      </c>
      <c r="AN2406" t="str">
        <f t="shared" si="277"/>
        <v>PuckRetrieval</v>
      </c>
      <c r="AP2406" t="str">
        <f t="shared" si="278"/>
        <v>Defensive</v>
      </c>
      <c r="BB2406" s="23"/>
      <c r="BD2406" s="21"/>
      <c r="BE2406" s="21"/>
      <c r="BF2406" s="21"/>
      <c r="BG2406" s="21"/>
      <c r="BH2406" s="21"/>
      <c r="BI2406" s="21"/>
    </row>
    <row r="2407" spans="1:61" x14ac:dyDescent="0.2">
      <c r="A2407">
        <v>1243</v>
      </c>
      <c r="B2407" t="s">
        <v>887</v>
      </c>
      <c r="C2407" t="str">
        <f t="shared" si="274"/>
        <v/>
      </c>
      <c r="D2407" t="str">
        <f t="shared" si="279"/>
        <v/>
      </c>
      <c r="H2407">
        <f t="shared" si="275"/>
        <v>3</v>
      </c>
      <c r="I2407" s="5" t="s">
        <v>448</v>
      </c>
      <c r="J2407" s="5" t="s">
        <v>732</v>
      </c>
      <c r="Q2407" t="s">
        <v>619</v>
      </c>
      <c r="R2407">
        <v>4</v>
      </c>
      <c r="S2407">
        <v>1</v>
      </c>
      <c r="T2407" t="str">
        <f t="shared" si="273"/>
        <v>e</v>
      </c>
      <c r="U2407" t="s">
        <v>10</v>
      </c>
      <c r="V2407" t="s">
        <v>190</v>
      </c>
      <c r="W2407" t="s">
        <v>73</v>
      </c>
      <c r="X2407" t="s">
        <v>705</v>
      </c>
      <c r="AF2407" t="s">
        <v>635</v>
      </c>
      <c r="AM2407" t="str">
        <f t="shared" si="276"/>
        <v>Turnover</v>
      </c>
      <c r="AN2407" t="str">
        <f t="shared" si="277"/>
        <v>Turnover_Giveaway</v>
      </c>
      <c r="AP2407" t="str">
        <f t="shared" si="278"/>
        <v>Offensive</v>
      </c>
      <c r="BB2407" s="23"/>
      <c r="BD2407" s="21"/>
      <c r="BE2407" s="21"/>
      <c r="BF2407" s="21"/>
      <c r="BG2407" s="21"/>
      <c r="BH2407" s="21"/>
      <c r="BI2407" s="21"/>
    </row>
    <row r="2408" spans="1:61" x14ac:dyDescent="0.2">
      <c r="A2408">
        <v>1244</v>
      </c>
      <c r="B2408" t="s">
        <v>887</v>
      </c>
      <c r="C2408" t="str">
        <f t="shared" si="274"/>
        <v/>
      </c>
      <c r="D2408" t="str">
        <f t="shared" si="279"/>
        <v/>
      </c>
      <c r="H2408">
        <f t="shared" si="275"/>
        <v>3</v>
      </c>
      <c r="I2408" s="5" t="s">
        <v>448</v>
      </c>
      <c r="J2408" s="5" t="s">
        <v>768</v>
      </c>
      <c r="K2408" s="5" t="s">
        <v>448</v>
      </c>
      <c r="L2408" s="7" t="s">
        <v>734</v>
      </c>
      <c r="Q2408" t="s">
        <v>620</v>
      </c>
      <c r="R2408">
        <v>22</v>
      </c>
      <c r="S2408">
        <v>1</v>
      </c>
      <c r="T2408" t="str">
        <f t="shared" si="273"/>
        <v>e</v>
      </c>
      <c r="U2408" t="s">
        <v>15</v>
      </c>
      <c r="V2408" t="s">
        <v>697</v>
      </c>
      <c r="X2408" t="s">
        <v>706</v>
      </c>
      <c r="Y2408" t="s">
        <v>712</v>
      </c>
      <c r="Z2408" t="s">
        <v>777</v>
      </c>
      <c r="AA2408" t="s">
        <v>706</v>
      </c>
      <c r="AF2408" t="s">
        <v>635</v>
      </c>
      <c r="AJ2408">
        <v>1</v>
      </c>
      <c r="AM2408" t="str">
        <f t="shared" si="276"/>
        <v>Possession</v>
      </c>
      <c r="AN2408" t="str">
        <f t="shared" si="277"/>
        <v>PuckRetrieval</v>
      </c>
      <c r="AP2408" t="str">
        <f t="shared" si="278"/>
        <v>Offensive</v>
      </c>
      <c r="BB2408" s="23"/>
      <c r="BD2408" s="21"/>
      <c r="BE2408" s="21"/>
      <c r="BF2408" s="21"/>
      <c r="BG2408" s="21"/>
      <c r="BH2408" s="21"/>
      <c r="BI2408" s="21"/>
    </row>
    <row r="2409" spans="1:61" x14ac:dyDescent="0.2">
      <c r="A2409">
        <v>1244</v>
      </c>
      <c r="B2409" t="s">
        <v>887</v>
      </c>
      <c r="C2409" t="str">
        <f t="shared" si="274"/>
        <v/>
      </c>
      <c r="D2409" t="str">
        <f t="shared" si="279"/>
        <v/>
      </c>
      <c r="H2409">
        <f t="shared" si="275"/>
        <v>3</v>
      </c>
      <c r="R2409">
        <v>12</v>
      </c>
      <c r="T2409" t="str">
        <f t="shared" si="273"/>
        <v>o</v>
      </c>
      <c r="AJ2409">
        <v>1</v>
      </c>
      <c r="AM2409" t="str">
        <f t="shared" si="276"/>
        <v>Possession</v>
      </c>
      <c r="AN2409" t="str">
        <f t="shared" si="277"/>
        <v>PuckRetrieval</v>
      </c>
      <c r="AP2409" t="str">
        <f t="shared" si="278"/>
        <v>Defensive</v>
      </c>
      <c r="BB2409" s="23"/>
      <c r="BD2409" s="21"/>
      <c r="BE2409" s="21"/>
      <c r="BF2409" s="21"/>
      <c r="BG2409" s="21"/>
      <c r="BH2409" s="21"/>
      <c r="BI2409" s="21"/>
    </row>
    <row r="2410" spans="1:61" x14ac:dyDescent="0.2">
      <c r="A2410">
        <v>1245</v>
      </c>
      <c r="B2410" t="s">
        <v>887</v>
      </c>
      <c r="C2410" t="str">
        <f t="shared" si="274"/>
        <v/>
      </c>
      <c r="D2410" t="str">
        <f t="shared" si="279"/>
        <v/>
      </c>
      <c r="H2410">
        <f t="shared" si="275"/>
        <v>3</v>
      </c>
      <c r="I2410" s="5" t="s">
        <v>448</v>
      </c>
      <c r="J2410" s="5" t="s">
        <v>734</v>
      </c>
      <c r="Q2410" t="s">
        <v>620</v>
      </c>
      <c r="R2410">
        <v>22</v>
      </c>
      <c r="S2410">
        <v>1</v>
      </c>
      <c r="T2410" t="str">
        <f t="shared" si="273"/>
        <v>e</v>
      </c>
      <c r="U2410" t="s">
        <v>8</v>
      </c>
      <c r="V2410" t="s">
        <v>189</v>
      </c>
      <c r="W2410" t="s">
        <v>70</v>
      </c>
      <c r="X2410" t="s">
        <v>706</v>
      </c>
      <c r="AF2410" t="s">
        <v>635</v>
      </c>
      <c r="AM2410" t="str">
        <f t="shared" si="276"/>
        <v>Pass</v>
      </c>
      <c r="AN2410" t="str">
        <f t="shared" si="277"/>
        <v>Pass_Completed</v>
      </c>
      <c r="AP2410" t="str">
        <f t="shared" si="278"/>
        <v>Offensive</v>
      </c>
      <c r="BB2410" s="23"/>
      <c r="BD2410" s="21"/>
      <c r="BE2410" s="21"/>
      <c r="BF2410" s="21"/>
      <c r="BG2410" s="21"/>
      <c r="BH2410" s="21"/>
      <c r="BI2410" s="21"/>
    </row>
    <row r="2411" spans="1:61" x14ac:dyDescent="0.2">
      <c r="A2411">
        <v>1245</v>
      </c>
      <c r="B2411" t="s">
        <v>887</v>
      </c>
      <c r="C2411" t="str">
        <f t="shared" si="274"/>
        <v/>
      </c>
      <c r="D2411" t="str">
        <f t="shared" si="279"/>
        <v/>
      </c>
      <c r="H2411">
        <f t="shared" si="275"/>
        <v>3</v>
      </c>
      <c r="R2411">
        <v>70</v>
      </c>
      <c r="S2411">
        <v>1</v>
      </c>
      <c r="T2411" t="str">
        <f t="shared" si="273"/>
        <v>e</v>
      </c>
      <c r="AM2411" t="str">
        <f t="shared" si="276"/>
        <v>Pass</v>
      </c>
      <c r="AN2411" t="str">
        <f t="shared" si="277"/>
        <v>Pass_Completed</v>
      </c>
      <c r="AP2411" t="str">
        <f t="shared" si="278"/>
        <v>Offensive</v>
      </c>
      <c r="BB2411" s="23"/>
      <c r="BD2411" s="21"/>
      <c r="BE2411" s="21"/>
      <c r="BF2411" s="21"/>
      <c r="BG2411" s="21"/>
      <c r="BH2411" s="21"/>
      <c r="BI2411" s="21"/>
    </row>
    <row r="2412" spans="1:61" x14ac:dyDescent="0.2">
      <c r="A2412">
        <v>1246</v>
      </c>
      <c r="B2412" t="s">
        <v>887</v>
      </c>
      <c r="C2412" t="str">
        <f t="shared" si="274"/>
        <v/>
      </c>
      <c r="D2412" t="str">
        <f t="shared" si="279"/>
        <v/>
      </c>
      <c r="H2412">
        <f t="shared" si="275"/>
        <v>3</v>
      </c>
      <c r="I2412" s="5" t="s">
        <v>448</v>
      </c>
      <c r="J2412" s="5" t="s">
        <v>735</v>
      </c>
      <c r="Q2412" t="s">
        <v>620</v>
      </c>
      <c r="R2412">
        <v>70</v>
      </c>
      <c r="S2412">
        <v>1</v>
      </c>
      <c r="T2412" t="str">
        <f t="shared" si="273"/>
        <v>e</v>
      </c>
      <c r="U2412" t="s">
        <v>257</v>
      </c>
      <c r="V2412" t="s">
        <v>191</v>
      </c>
      <c r="W2412" t="s">
        <v>89</v>
      </c>
      <c r="X2412" t="s">
        <v>705</v>
      </c>
      <c r="Y2412" t="s">
        <v>718</v>
      </c>
      <c r="AA2412" t="s">
        <v>705</v>
      </c>
      <c r="AF2412" t="s">
        <v>635</v>
      </c>
      <c r="AM2412" t="str">
        <f t="shared" si="276"/>
        <v>Zone_Entry_Exit</v>
      </c>
      <c r="AN2412" t="str">
        <f t="shared" si="277"/>
        <v>Zone_Entry</v>
      </c>
      <c r="AP2412" t="str">
        <f t="shared" si="278"/>
        <v>Offensive</v>
      </c>
      <c r="BB2412" s="23"/>
      <c r="BD2412" s="21"/>
      <c r="BE2412" s="21"/>
      <c r="BF2412" s="21"/>
      <c r="BG2412" s="21"/>
      <c r="BH2412" s="21"/>
      <c r="BI2412" s="21"/>
    </row>
    <row r="2413" spans="1:61" x14ac:dyDescent="0.2">
      <c r="A2413">
        <v>1247</v>
      </c>
      <c r="B2413" t="s">
        <v>887</v>
      </c>
      <c r="C2413" t="str">
        <f t="shared" si="274"/>
        <v/>
      </c>
      <c r="D2413" t="str">
        <f t="shared" si="279"/>
        <v/>
      </c>
      <c r="H2413">
        <f t="shared" si="275"/>
        <v>3</v>
      </c>
      <c r="I2413" s="5" t="s">
        <v>448</v>
      </c>
      <c r="J2413" s="5" t="s">
        <v>741</v>
      </c>
      <c r="Q2413" t="s">
        <v>619</v>
      </c>
      <c r="R2413">
        <v>25</v>
      </c>
      <c r="S2413">
        <v>1</v>
      </c>
      <c r="T2413" t="str">
        <f t="shared" si="273"/>
        <v>e</v>
      </c>
      <c r="U2413" t="s">
        <v>15</v>
      </c>
      <c r="V2413" t="s">
        <v>697</v>
      </c>
      <c r="X2413" t="s">
        <v>706</v>
      </c>
      <c r="Y2413" t="s">
        <v>720</v>
      </c>
      <c r="AA2413" t="s">
        <v>706</v>
      </c>
      <c r="AF2413" t="s">
        <v>623</v>
      </c>
      <c r="AM2413" t="str">
        <f t="shared" si="276"/>
        <v>Possession</v>
      </c>
      <c r="AN2413" t="str">
        <f t="shared" si="277"/>
        <v>PuckRetrieval</v>
      </c>
      <c r="AP2413" t="str">
        <f t="shared" si="278"/>
        <v>Offensive</v>
      </c>
      <c r="BB2413" s="23"/>
      <c r="BD2413" s="21"/>
      <c r="BE2413" s="21"/>
      <c r="BF2413" s="21"/>
      <c r="BG2413" s="21"/>
      <c r="BH2413" s="21"/>
      <c r="BI2413" s="21"/>
    </row>
    <row r="2414" spans="1:61" x14ac:dyDescent="0.2">
      <c r="A2414">
        <v>1248</v>
      </c>
      <c r="B2414" t="s">
        <v>887</v>
      </c>
      <c r="C2414" t="str">
        <f t="shared" si="274"/>
        <v/>
      </c>
      <c r="D2414" t="str">
        <f t="shared" si="279"/>
        <v/>
      </c>
      <c r="H2414">
        <f t="shared" si="275"/>
        <v>3</v>
      </c>
      <c r="I2414" s="5" t="s">
        <v>448</v>
      </c>
      <c r="J2414" s="5" t="s">
        <v>741</v>
      </c>
      <c r="K2414" s="5" t="s">
        <v>768</v>
      </c>
      <c r="L2414" s="7" t="s">
        <v>896</v>
      </c>
      <c r="Q2414" t="s">
        <v>619</v>
      </c>
      <c r="R2414">
        <v>25</v>
      </c>
      <c r="S2414">
        <v>1</v>
      </c>
      <c r="T2414" t="str">
        <f t="shared" si="273"/>
        <v>e</v>
      </c>
      <c r="U2414" t="s">
        <v>15</v>
      </c>
      <c r="V2414" t="s">
        <v>684</v>
      </c>
      <c r="X2414" t="s">
        <v>706</v>
      </c>
      <c r="AF2414" t="s">
        <v>623</v>
      </c>
      <c r="AM2414" t="str">
        <f t="shared" si="276"/>
        <v>Possession</v>
      </c>
      <c r="AN2414" t="str">
        <f t="shared" si="277"/>
        <v>Regroup</v>
      </c>
      <c r="AP2414" t="str">
        <f t="shared" si="278"/>
        <v>Offensive</v>
      </c>
      <c r="BB2414" s="23"/>
      <c r="BD2414" s="21"/>
      <c r="BE2414" s="21"/>
      <c r="BF2414" s="21"/>
      <c r="BG2414" s="21"/>
      <c r="BH2414" s="21"/>
      <c r="BI2414" s="21"/>
    </row>
    <row r="2415" spans="1:61" x14ac:dyDescent="0.2">
      <c r="A2415">
        <v>1249</v>
      </c>
      <c r="B2415" t="s">
        <v>887</v>
      </c>
      <c r="C2415" t="str">
        <f t="shared" si="274"/>
        <v/>
      </c>
      <c r="D2415" t="str">
        <f t="shared" si="279"/>
        <v/>
      </c>
      <c r="H2415">
        <f t="shared" si="275"/>
        <v>3</v>
      </c>
      <c r="I2415" s="5" t="s">
        <v>768</v>
      </c>
      <c r="J2415" s="5" t="s">
        <v>896</v>
      </c>
      <c r="Q2415" t="s">
        <v>619</v>
      </c>
      <c r="R2415">
        <v>25</v>
      </c>
      <c r="S2415">
        <v>1</v>
      </c>
      <c r="T2415" t="str">
        <f t="shared" si="273"/>
        <v>e</v>
      </c>
      <c r="U2415" t="s">
        <v>8</v>
      </c>
      <c r="V2415" t="s">
        <v>189</v>
      </c>
      <c r="W2415" t="s">
        <v>71</v>
      </c>
      <c r="X2415" t="s">
        <v>706</v>
      </c>
      <c r="AF2415" t="s">
        <v>623</v>
      </c>
      <c r="AM2415" t="str">
        <f t="shared" si="276"/>
        <v>Pass</v>
      </c>
      <c r="AN2415" t="str">
        <f t="shared" si="277"/>
        <v>Pass_Completed</v>
      </c>
      <c r="AP2415" t="str">
        <f t="shared" si="278"/>
        <v>Offensive</v>
      </c>
      <c r="BB2415" s="23"/>
      <c r="BD2415" s="21"/>
      <c r="BE2415" s="21"/>
      <c r="BF2415" s="21"/>
      <c r="BG2415" s="21"/>
      <c r="BH2415" s="21"/>
      <c r="BI2415" s="21"/>
    </row>
    <row r="2416" spans="1:61" x14ac:dyDescent="0.2">
      <c r="A2416">
        <v>1249</v>
      </c>
      <c r="B2416" t="s">
        <v>887</v>
      </c>
      <c r="C2416" t="str">
        <f t="shared" si="274"/>
        <v/>
      </c>
      <c r="D2416" t="str">
        <f t="shared" si="279"/>
        <v/>
      </c>
      <c r="H2416">
        <f t="shared" si="275"/>
        <v>3</v>
      </c>
      <c r="R2416">
        <v>12</v>
      </c>
      <c r="S2416">
        <v>1</v>
      </c>
      <c r="T2416" t="str">
        <f t="shared" si="273"/>
        <v>e</v>
      </c>
      <c r="AM2416" t="str">
        <f t="shared" si="276"/>
        <v>Pass</v>
      </c>
      <c r="AN2416" t="str">
        <f t="shared" si="277"/>
        <v>Pass_Completed</v>
      </c>
      <c r="AP2416" t="str">
        <f t="shared" si="278"/>
        <v>Offensive</v>
      </c>
      <c r="BB2416" s="23"/>
      <c r="BD2416" s="21"/>
      <c r="BE2416" s="21"/>
      <c r="BF2416" s="21"/>
      <c r="BG2416" s="21"/>
      <c r="BH2416" s="21"/>
      <c r="BI2416" s="21"/>
    </row>
    <row r="2417" spans="1:61" x14ac:dyDescent="0.2">
      <c r="A2417">
        <v>1250</v>
      </c>
      <c r="B2417" t="s">
        <v>887</v>
      </c>
      <c r="C2417" t="str">
        <f t="shared" si="274"/>
        <v/>
      </c>
      <c r="D2417" t="str">
        <f t="shared" si="279"/>
        <v/>
      </c>
      <c r="H2417">
        <f t="shared" si="275"/>
        <v>3</v>
      </c>
      <c r="I2417" s="5" t="s">
        <v>768</v>
      </c>
      <c r="J2417" s="5" t="s">
        <v>750</v>
      </c>
      <c r="K2417" s="5" t="s">
        <v>768</v>
      </c>
      <c r="L2417" s="7" t="s">
        <v>637</v>
      </c>
      <c r="Q2417" t="s">
        <v>619</v>
      </c>
      <c r="R2417">
        <v>12</v>
      </c>
      <c r="S2417">
        <v>1</v>
      </c>
      <c r="T2417" t="str">
        <f t="shared" si="273"/>
        <v>e</v>
      </c>
      <c r="U2417" t="s">
        <v>257</v>
      </c>
      <c r="V2417" t="s">
        <v>201</v>
      </c>
      <c r="W2417" t="s">
        <v>90</v>
      </c>
      <c r="X2417" t="s">
        <v>706</v>
      </c>
      <c r="AF2417" t="s">
        <v>623</v>
      </c>
      <c r="AM2417" t="str">
        <f t="shared" si="276"/>
        <v>Zone_Entry_Exit</v>
      </c>
      <c r="AN2417" t="str">
        <f t="shared" si="277"/>
        <v>Zone_Exit</v>
      </c>
      <c r="AP2417" t="str">
        <f t="shared" si="278"/>
        <v>Offensive</v>
      </c>
      <c r="BB2417" s="23"/>
      <c r="BD2417" s="21"/>
      <c r="BE2417" s="21"/>
      <c r="BF2417" s="21"/>
      <c r="BG2417" s="21"/>
      <c r="BH2417" s="21"/>
      <c r="BI2417" s="21"/>
    </row>
    <row r="2418" spans="1:61" x14ac:dyDescent="0.2">
      <c r="A2418">
        <v>1251</v>
      </c>
      <c r="B2418" t="s">
        <v>887</v>
      </c>
      <c r="C2418" t="str">
        <f t="shared" si="274"/>
        <v/>
      </c>
      <c r="D2418" t="str">
        <f t="shared" si="279"/>
        <v/>
      </c>
      <c r="H2418">
        <f t="shared" si="275"/>
        <v>3</v>
      </c>
      <c r="I2418" s="5" t="s">
        <v>768</v>
      </c>
      <c r="J2418" s="5" t="s">
        <v>637</v>
      </c>
      <c r="K2418" s="5" t="s">
        <v>768</v>
      </c>
      <c r="L2418" s="7" t="s">
        <v>788</v>
      </c>
      <c r="Q2418" t="s">
        <v>619</v>
      </c>
      <c r="R2418">
        <v>12</v>
      </c>
      <c r="S2418">
        <v>1</v>
      </c>
      <c r="T2418" t="str">
        <f t="shared" si="273"/>
        <v>e</v>
      </c>
      <c r="U2418" t="s">
        <v>15</v>
      </c>
      <c r="AF2418" t="s">
        <v>635</v>
      </c>
      <c r="AJ2418">
        <v>1</v>
      </c>
      <c r="AM2418" t="str">
        <f t="shared" si="276"/>
        <v>Possession</v>
      </c>
      <c r="AN2418" t="str">
        <f t="shared" si="277"/>
        <v/>
      </c>
      <c r="AP2418" t="str">
        <f t="shared" si="278"/>
        <v>Offensive</v>
      </c>
      <c r="BB2418" s="23"/>
      <c r="BD2418" s="21"/>
      <c r="BE2418" s="21"/>
      <c r="BF2418" s="21"/>
      <c r="BG2418" s="21"/>
      <c r="BH2418" s="21"/>
      <c r="BI2418" s="21"/>
    </row>
    <row r="2419" spans="1:61" x14ac:dyDescent="0.2">
      <c r="A2419">
        <v>1251</v>
      </c>
      <c r="B2419" t="s">
        <v>887</v>
      </c>
      <c r="C2419" t="str">
        <f t="shared" si="274"/>
        <v/>
      </c>
      <c r="D2419" t="str">
        <f t="shared" si="279"/>
        <v/>
      </c>
      <c r="H2419">
        <f t="shared" si="275"/>
        <v>3</v>
      </c>
      <c r="R2419">
        <v>84</v>
      </c>
      <c r="T2419" t="str">
        <f t="shared" si="273"/>
        <v>o</v>
      </c>
      <c r="Y2419" t="s">
        <v>802</v>
      </c>
      <c r="AJ2419">
        <v>1</v>
      </c>
      <c r="AM2419" t="str">
        <f t="shared" si="276"/>
        <v>Possession</v>
      </c>
      <c r="AN2419" t="str">
        <f t="shared" si="277"/>
        <v/>
      </c>
      <c r="AP2419" t="str">
        <f t="shared" si="278"/>
        <v>Defensive</v>
      </c>
      <c r="BB2419" s="23"/>
      <c r="BD2419" s="21"/>
      <c r="BE2419" s="21"/>
      <c r="BF2419" s="21"/>
      <c r="BG2419" s="21"/>
      <c r="BH2419" s="21"/>
      <c r="BI2419" s="21"/>
    </row>
    <row r="2420" spans="1:61" x14ac:dyDescent="0.2">
      <c r="A2420">
        <v>1252</v>
      </c>
      <c r="B2420" t="s">
        <v>887</v>
      </c>
      <c r="C2420" t="str">
        <f t="shared" si="274"/>
        <v/>
      </c>
      <c r="D2420" t="str">
        <f t="shared" si="279"/>
        <v/>
      </c>
      <c r="H2420">
        <f t="shared" si="275"/>
        <v>3</v>
      </c>
      <c r="I2420" s="5" t="s">
        <v>768</v>
      </c>
      <c r="J2420" s="5" t="s">
        <v>788</v>
      </c>
      <c r="Q2420" t="s">
        <v>619</v>
      </c>
      <c r="R2420">
        <v>12</v>
      </c>
      <c r="S2420">
        <v>1</v>
      </c>
      <c r="T2420" t="str">
        <f t="shared" si="273"/>
        <v>e</v>
      </c>
      <c r="U2420" t="s">
        <v>257</v>
      </c>
      <c r="V2420" t="s">
        <v>191</v>
      </c>
      <c r="W2420" t="s">
        <v>423</v>
      </c>
      <c r="X2420" t="s">
        <v>705</v>
      </c>
      <c r="AF2420" t="s">
        <v>401</v>
      </c>
      <c r="AJ2420">
        <v>1</v>
      </c>
      <c r="AM2420" t="str">
        <f t="shared" si="276"/>
        <v>Zone_Entry_Exit</v>
      </c>
      <c r="AN2420" t="str">
        <f t="shared" si="277"/>
        <v>Zone_Entry</v>
      </c>
      <c r="AP2420" t="str">
        <f t="shared" si="278"/>
        <v>Offensive</v>
      </c>
      <c r="BB2420" s="23"/>
      <c r="BD2420" s="21"/>
      <c r="BE2420" s="21"/>
      <c r="BF2420" s="21"/>
      <c r="BG2420" s="21"/>
      <c r="BH2420" s="21"/>
      <c r="BI2420" s="21"/>
    </row>
    <row r="2421" spans="1:61" x14ac:dyDescent="0.2">
      <c r="A2421">
        <v>1252</v>
      </c>
      <c r="B2421" t="s">
        <v>887</v>
      </c>
      <c r="C2421" t="str">
        <f t="shared" si="274"/>
        <v/>
      </c>
      <c r="D2421" t="str">
        <f t="shared" si="279"/>
        <v/>
      </c>
      <c r="H2421">
        <f t="shared" si="275"/>
        <v>3</v>
      </c>
      <c r="R2421">
        <v>84</v>
      </c>
      <c r="T2421" t="str">
        <f t="shared" si="273"/>
        <v>o</v>
      </c>
      <c r="Y2421" t="s">
        <v>715</v>
      </c>
      <c r="AA2421" t="s">
        <v>706</v>
      </c>
      <c r="AJ2421">
        <v>1</v>
      </c>
      <c r="AM2421" t="str">
        <f t="shared" si="276"/>
        <v>Zone_Entry_Exit</v>
      </c>
      <c r="AN2421" t="str">
        <f t="shared" si="277"/>
        <v>Zone_Entry</v>
      </c>
      <c r="AP2421" t="str">
        <f t="shared" si="278"/>
        <v>Defensive</v>
      </c>
      <c r="BB2421" s="23"/>
      <c r="BD2421" s="21"/>
      <c r="BE2421" s="21"/>
      <c r="BF2421" s="21"/>
      <c r="BG2421" s="21"/>
      <c r="BH2421" s="21"/>
      <c r="BI2421" s="21"/>
    </row>
    <row r="2422" spans="1:61" x14ac:dyDescent="0.2">
      <c r="A2422">
        <v>1253</v>
      </c>
      <c r="B2422" t="s">
        <v>887</v>
      </c>
      <c r="C2422" t="str">
        <f t="shared" si="274"/>
        <v/>
      </c>
      <c r="D2422" t="str">
        <f t="shared" si="279"/>
        <v/>
      </c>
      <c r="H2422">
        <f t="shared" si="275"/>
        <v>3</v>
      </c>
      <c r="I2422" s="5" t="s">
        <v>768</v>
      </c>
      <c r="J2422" s="5" t="s">
        <v>788</v>
      </c>
      <c r="Q2422" t="s">
        <v>620</v>
      </c>
      <c r="R2422">
        <v>84</v>
      </c>
      <c r="S2422">
        <v>1</v>
      </c>
      <c r="T2422" t="str">
        <f t="shared" si="273"/>
        <v>e</v>
      </c>
      <c r="U2422" t="s">
        <v>247</v>
      </c>
      <c r="V2422" t="s">
        <v>422</v>
      </c>
      <c r="W2422" t="s">
        <v>467</v>
      </c>
      <c r="X2422" t="s">
        <v>706</v>
      </c>
      <c r="Y2422" t="s">
        <v>774</v>
      </c>
      <c r="AA2422" t="s">
        <v>706</v>
      </c>
      <c r="AF2422" t="s">
        <v>623</v>
      </c>
      <c r="AJ2422">
        <v>1</v>
      </c>
      <c r="AM2422" t="str">
        <f t="shared" si="276"/>
        <v>Play</v>
      </c>
      <c r="AN2422" t="str">
        <f t="shared" si="277"/>
        <v>Play_Defensive</v>
      </c>
      <c r="AP2422" t="str">
        <f t="shared" si="278"/>
        <v>Defensive</v>
      </c>
      <c r="BB2422" s="23"/>
      <c r="BD2422" s="21"/>
      <c r="BE2422" s="21"/>
      <c r="BF2422" s="21"/>
      <c r="BG2422" s="21"/>
      <c r="BH2422" s="21"/>
      <c r="BI2422" s="21"/>
    </row>
    <row r="2423" spans="1:61" x14ac:dyDescent="0.2">
      <c r="A2423">
        <v>1253</v>
      </c>
      <c r="B2423" t="s">
        <v>887</v>
      </c>
      <c r="C2423" t="str">
        <f t="shared" si="274"/>
        <v/>
      </c>
      <c r="D2423" t="str">
        <f t="shared" si="279"/>
        <v/>
      </c>
      <c r="H2423">
        <f t="shared" si="275"/>
        <v>3</v>
      </c>
      <c r="R2423">
        <v>12</v>
      </c>
      <c r="T2423" t="str">
        <f t="shared" si="273"/>
        <v>o</v>
      </c>
      <c r="AJ2423">
        <v>1</v>
      </c>
      <c r="AM2423" t="str">
        <f t="shared" si="276"/>
        <v>Play</v>
      </c>
      <c r="AN2423" t="str">
        <f t="shared" si="277"/>
        <v>Play_Defensive</v>
      </c>
      <c r="AP2423" t="str">
        <f t="shared" si="278"/>
        <v>Offensive</v>
      </c>
      <c r="BB2423" s="23"/>
      <c r="BD2423" s="21"/>
      <c r="BE2423" s="21"/>
      <c r="BF2423" s="21"/>
      <c r="BG2423" s="21"/>
      <c r="BH2423" s="21"/>
      <c r="BI2423" s="21"/>
    </row>
    <row r="2424" spans="1:61" x14ac:dyDescent="0.2">
      <c r="A2424">
        <v>1254</v>
      </c>
      <c r="B2424" t="s">
        <v>887</v>
      </c>
      <c r="C2424" t="str">
        <f t="shared" si="274"/>
        <v/>
      </c>
      <c r="D2424" t="str">
        <f t="shared" si="279"/>
        <v/>
      </c>
      <c r="H2424">
        <f t="shared" si="275"/>
        <v>3</v>
      </c>
      <c r="I2424" s="5" t="s">
        <v>768</v>
      </c>
      <c r="J2424" s="5" t="s">
        <v>673</v>
      </c>
      <c r="Q2424" t="s">
        <v>619</v>
      </c>
      <c r="R2424">
        <v>12</v>
      </c>
      <c r="S2424">
        <v>1</v>
      </c>
      <c r="T2424" t="str">
        <f t="shared" si="273"/>
        <v>e</v>
      </c>
      <c r="U2424" t="s">
        <v>15</v>
      </c>
      <c r="V2424" t="s">
        <v>698</v>
      </c>
      <c r="X2424" t="s">
        <v>705</v>
      </c>
      <c r="Y2424" t="s">
        <v>752</v>
      </c>
      <c r="AF2424" t="s">
        <v>401</v>
      </c>
      <c r="AJ2424">
        <v>1</v>
      </c>
      <c r="AM2424" t="str">
        <f t="shared" si="276"/>
        <v>Possession</v>
      </c>
      <c r="AN2424" t="str">
        <f t="shared" si="277"/>
        <v>PuckRecovery</v>
      </c>
      <c r="AP2424" t="str">
        <f t="shared" si="278"/>
        <v>Offensive</v>
      </c>
      <c r="BB2424" s="23"/>
      <c r="BD2424" s="21"/>
      <c r="BE2424" s="21"/>
      <c r="BF2424" s="21"/>
      <c r="BG2424" s="21"/>
      <c r="BH2424" s="21"/>
      <c r="BI2424" s="21"/>
    </row>
    <row r="2425" spans="1:61" x14ac:dyDescent="0.2">
      <c r="A2425">
        <v>1254</v>
      </c>
      <c r="B2425" t="s">
        <v>887</v>
      </c>
      <c r="C2425" t="str">
        <f t="shared" si="274"/>
        <v/>
      </c>
      <c r="D2425" t="str">
        <f t="shared" si="279"/>
        <v/>
      </c>
      <c r="H2425">
        <f t="shared" si="275"/>
        <v>3</v>
      </c>
      <c r="R2425">
        <v>91</v>
      </c>
      <c r="T2425" t="str">
        <f t="shared" si="273"/>
        <v>o</v>
      </c>
      <c r="Y2425" t="s">
        <v>847</v>
      </c>
      <c r="AA2425" t="s">
        <v>705</v>
      </c>
      <c r="AJ2425">
        <v>1</v>
      </c>
      <c r="AM2425" t="str">
        <f t="shared" si="276"/>
        <v>Possession</v>
      </c>
      <c r="AN2425" t="str">
        <f t="shared" si="277"/>
        <v>PuckRecovery</v>
      </c>
      <c r="AP2425" t="str">
        <f t="shared" si="278"/>
        <v>Defensive</v>
      </c>
      <c r="BB2425" s="23"/>
      <c r="BD2425" s="21"/>
      <c r="BE2425" s="21"/>
      <c r="BF2425" s="21"/>
      <c r="BG2425" s="21"/>
      <c r="BH2425" s="21"/>
      <c r="BI2425" s="21"/>
    </row>
    <row r="2426" spans="1:61" x14ac:dyDescent="0.2">
      <c r="A2426">
        <v>1255</v>
      </c>
      <c r="B2426" t="s">
        <v>887</v>
      </c>
      <c r="C2426" t="str">
        <f t="shared" si="274"/>
        <v/>
      </c>
      <c r="D2426" t="str">
        <f t="shared" si="279"/>
        <v/>
      </c>
      <c r="H2426">
        <f t="shared" si="275"/>
        <v>3</v>
      </c>
      <c r="I2426" s="5" t="s">
        <v>768</v>
      </c>
      <c r="J2426" s="5" t="s">
        <v>672</v>
      </c>
      <c r="Q2426" t="s">
        <v>619</v>
      </c>
      <c r="R2426">
        <v>12</v>
      </c>
      <c r="S2426">
        <v>1</v>
      </c>
      <c r="T2426" t="str">
        <f t="shared" si="273"/>
        <v>e</v>
      </c>
      <c r="U2426" t="s">
        <v>8</v>
      </c>
      <c r="V2426" t="s">
        <v>209</v>
      </c>
      <c r="W2426" t="s">
        <v>70</v>
      </c>
      <c r="X2426" t="s">
        <v>705</v>
      </c>
      <c r="Y2426" t="s">
        <v>814</v>
      </c>
      <c r="AA2426" t="s">
        <v>705</v>
      </c>
      <c r="AF2426" t="s">
        <v>401</v>
      </c>
      <c r="AJ2426">
        <v>1</v>
      </c>
      <c r="AM2426" t="str">
        <f t="shared" si="276"/>
        <v>Pass</v>
      </c>
      <c r="AN2426" t="str">
        <f t="shared" si="277"/>
        <v>Pass_Deflected</v>
      </c>
      <c r="AP2426" t="str">
        <f t="shared" si="278"/>
        <v>Offensive</v>
      </c>
      <c r="BB2426" s="23"/>
      <c r="BD2426" s="21"/>
      <c r="BE2426" s="21"/>
      <c r="BF2426" s="21"/>
      <c r="BG2426" s="21"/>
      <c r="BH2426" s="21"/>
      <c r="BI2426" s="21"/>
    </row>
    <row r="2427" spans="1:61" x14ac:dyDescent="0.2">
      <c r="A2427">
        <v>1255</v>
      </c>
      <c r="B2427" t="s">
        <v>887</v>
      </c>
      <c r="C2427" t="str">
        <f t="shared" si="274"/>
        <v/>
      </c>
      <c r="D2427" t="str">
        <f t="shared" si="279"/>
        <v/>
      </c>
      <c r="H2427">
        <f t="shared" si="275"/>
        <v>3</v>
      </c>
      <c r="R2427">
        <v>89</v>
      </c>
      <c r="S2427">
        <v>1</v>
      </c>
      <c r="T2427" t="str">
        <f t="shared" si="273"/>
        <v>e</v>
      </c>
      <c r="AM2427" t="str">
        <f t="shared" si="276"/>
        <v>Pass</v>
      </c>
      <c r="AN2427" t="str">
        <f t="shared" si="277"/>
        <v>Pass_Deflected</v>
      </c>
      <c r="AP2427" t="str">
        <f t="shared" si="278"/>
        <v>Offensive</v>
      </c>
      <c r="BB2427" s="23"/>
      <c r="BD2427" s="21"/>
      <c r="BE2427" s="21"/>
      <c r="BF2427" s="21"/>
      <c r="BG2427" s="21"/>
      <c r="BH2427" s="21"/>
      <c r="BI2427" s="21"/>
    </row>
    <row r="2428" spans="1:61" x14ac:dyDescent="0.2">
      <c r="A2428">
        <v>1255</v>
      </c>
      <c r="B2428" t="s">
        <v>887</v>
      </c>
      <c r="C2428" t="str">
        <f t="shared" si="274"/>
        <v/>
      </c>
      <c r="D2428" t="str">
        <f t="shared" si="279"/>
        <v/>
      </c>
      <c r="H2428">
        <f t="shared" si="275"/>
        <v>3</v>
      </c>
      <c r="R2428">
        <v>84</v>
      </c>
      <c r="T2428" t="str">
        <f t="shared" si="273"/>
        <v>o</v>
      </c>
      <c r="Y2428" t="s">
        <v>722</v>
      </c>
      <c r="AA2428" t="s">
        <v>706</v>
      </c>
      <c r="AJ2428">
        <v>1</v>
      </c>
      <c r="AM2428" t="str">
        <f t="shared" si="276"/>
        <v>Pass</v>
      </c>
      <c r="AN2428" t="str">
        <f t="shared" si="277"/>
        <v>Pass_Deflected</v>
      </c>
      <c r="AP2428" t="str">
        <f t="shared" si="278"/>
        <v>Defensive</v>
      </c>
      <c r="BB2428" s="23"/>
      <c r="BD2428" s="21"/>
      <c r="BE2428" s="21"/>
      <c r="BF2428" s="21"/>
      <c r="BG2428" s="21"/>
      <c r="BH2428" s="21"/>
      <c r="BI2428" s="21"/>
    </row>
    <row r="2429" spans="1:61" x14ac:dyDescent="0.2">
      <c r="A2429">
        <v>1256</v>
      </c>
      <c r="B2429" t="s">
        <v>887</v>
      </c>
      <c r="C2429" t="str">
        <f t="shared" si="274"/>
        <v/>
      </c>
      <c r="D2429" t="str">
        <f t="shared" si="279"/>
        <v/>
      </c>
      <c r="H2429">
        <f t="shared" si="275"/>
        <v>3</v>
      </c>
      <c r="I2429" s="5" t="s">
        <v>768</v>
      </c>
      <c r="J2429" s="5" t="s">
        <v>682</v>
      </c>
      <c r="K2429" s="5" t="s">
        <v>768</v>
      </c>
      <c r="L2429" s="7" t="s">
        <v>711</v>
      </c>
      <c r="Q2429" t="s">
        <v>620</v>
      </c>
      <c r="R2429">
        <v>84</v>
      </c>
      <c r="S2429">
        <v>1</v>
      </c>
      <c r="T2429" t="str">
        <f t="shared" si="273"/>
        <v>e</v>
      </c>
      <c r="U2429" t="s">
        <v>15</v>
      </c>
      <c r="V2429" t="s">
        <v>697</v>
      </c>
      <c r="X2429" t="s">
        <v>705</v>
      </c>
      <c r="Y2429" t="s">
        <v>725</v>
      </c>
      <c r="AA2429" t="s">
        <v>705</v>
      </c>
      <c r="AF2429" t="s">
        <v>623</v>
      </c>
      <c r="AJ2429">
        <v>1</v>
      </c>
      <c r="AM2429" t="str">
        <f t="shared" si="276"/>
        <v>Possession</v>
      </c>
      <c r="AN2429" t="str">
        <f t="shared" si="277"/>
        <v>PuckRetrieval</v>
      </c>
      <c r="AP2429" t="str">
        <f t="shared" si="278"/>
        <v>Offensive</v>
      </c>
      <c r="BB2429" s="23"/>
      <c r="BD2429" s="21"/>
      <c r="BE2429" s="21"/>
      <c r="BF2429" s="21"/>
      <c r="BG2429" s="21"/>
      <c r="BH2429" s="21"/>
      <c r="BI2429" s="21"/>
    </row>
    <row r="2430" spans="1:61" x14ac:dyDescent="0.2">
      <c r="A2430">
        <v>1256</v>
      </c>
      <c r="B2430" t="s">
        <v>887</v>
      </c>
      <c r="C2430" t="str">
        <f t="shared" si="274"/>
        <v/>
      </c>
      <c r="D2430" t="str">
        <f t="shared" si="279"/>
        <v/>
      </c>
      <c r="H2430">
        <f t="shared" si="275"/>
        <v>3</v>
      </c>
      <c r="R2430">
        <v>12</v>
      </c>
      <c r="T2430" t="str">
        <f t="shared" si="273"/>
        <v>o</v>
      </c>
      <c r="AJ2430">
        <v>1</v>
      </c>
      <c r="AM2430" t="str">
        <f t="shared" si="276"/>
        <v>Possession</v>
      </c>
      <c r="AN2430" t="str">
        <f t="shared" si="277"/>
        <v>PuckRetrieval</v>
      </c>
      <c r="AP2430" t="str">
        <f t="shared" si="278"/>
        <v>Defensive</v>
      </c>
      <c r="BB2430" s="23"/>
      <c r="BD2430" s="21"/>
      <c r="BE2430" s="21"/>
      <c r="BF2430" s="21"/>
      <c r="BG2430" s="21"/>
      <c r="BH2430" s="21"/>
      <c r="BI2430" s="21"/>
    </row>
    <row r="2431" spans="1:61" x14ac:dyDescent="0.2">
      <c r="A2431">
        <v>1257</v>
      </c>
      <c r="B2431" t="s">
        <v>887</v>
      </c>
      <c r="C2431" t="str">
        <f t="shared" si="274"/>
        <v/>
      </c>
      <c r="D2431" t="str">
        <f t="shared" si="279"/>
        <v/>
      </c>
      <c r="H2431">
        <f t="shared" si="275"/>
        <v>3</v>
      </c>
      <c r="I2431" s="5" t="s">
        <v>768</v>
      </c>
      <c r="J2431" s="5" t="s">
        <v>711</v>
      </c>
      <c r="Q2431" t="s">
        <v>619</v>
      </c>
      <c r="R2431">
        <v>12</v>
      </c>
      <c r="S2431">
        <v>1</v>
      </c>
      <c r="T2431" t="str">
        <f t="shared" si="273"/>
        <v>e</v>
      </c>
      <c r="U2431" t="s">
        <v>10</v>
      </c>
      <c r="V2431" t="s">
        <v>200</v>
      </c>
      <c r="W2431" t="s">
        <v>81</v>
      </c>
      <c r="X2431" t="s">
        <v>706</v>
      </c>
      <c r="Y2431" t="s">
        <v>774</v>
      </c>
      <c r="AA2431" t="s">
        <v>706</v>
      </c>
      <c r="AF2431" t="s">
        <v>401</v>
      </c>
      <c r="AJ2431">
        <v>1</v>
      </c>
      <c r="AM2431" t="str">
        <f t="shared" si="276"/>
        <v>Turnover</v>
      </c>
      <c r="AN2431" t="str">
        <f t="shared" si="277"/>
        <v>Turnover_Takeaway</v>
      </c>
      <c r="AP2431" t="str">
        <f t="shared" si="278"/>
        <v>Defensive</v>
      </c>
      <c r="BB2431" s="23"/>
      <c r="BD2431" s="21"/>
      <c r="BE2431" s="21"/>
      <c r="BF2431" s="21"/>
      <c r="BG2431" s="21"/>
      <c r="BH2431" s="21"/>
      <c r="BI2431" s="21"/>
    </row>
    <row r="2432" spans="1:61" x14ac:dyDescent="0.2">
      <c r="A2432">
        <v>1257</v>
      </c>
      <c r="B2432" t="s">
        <v>887</v>
      </c>
      <c r="C2432" t="str">
        <f t="shared" si="274"/>
        <v/>
      </c>
      <c r="D2432" t="str">
        <f t="shared" si="279"/>
        <v/>
      </c>
      <c r="H2432">
        <f t="shared" si="275"/>
        <v>3</v>
      </c>
      <c r="R2432">
        <v>84</v>
      </c>
      <c r="T2432" t="str">
        <f t="shared" si="273"/>
        <v>o</v>
      </c>
      <c r="AJ2432">
        <v>1</v>
      </c>
      <c r="AM2432" t="str">
        <f t="shared" si="276"/>
        <v>Turnover</v>
      </c>
      <c r="AN2432" t="str">
        <f t="shared" si="277"/>
        <v>Turnover_Takeaway</v>
      </c>
      <c r="AP2432" t="str">
        <f t="shared" si="278"/>
        <v>Offensive</v>
      </c>
      <c r="BB2432" s="23"/>
      <c r="BD2432" s="21"/>
      <c r="BE2432" s="21"/>
      <c r="BF2432" s="21"/>
      <c r="BG2432" s="21"/>
      <c r="BH2432" s="21"/>
      <c r="BI2432" s="21"/>
    </row>
    <row r="2433" spans="1:61" x14ac:dyDescent="0.2">
      <c r="A2433">
        <v>1258</v>
      </c>
      <c r="B2433" t="s">
        <v>887</v>
      </c>
      <c r="C2433" t="str">
        <f t="shared" si="274"/>
        <v/>
      </c>
      <c r="D2433" t="str">
        <f t="shared" si="279"/>
        <v/>
      </c>
      <c r="H2433">
        <f t="shared" si="275"/>
        <v>3</v>
      </c>
      <c r="I2433" s="5" t="s">
        <v>768</v>
      </c>
      <c r="J2433" s="5" t="s">
        <v>713</v>
      </c>
      <c r="Q2433" t="s">
        <v>619</v>
      </c>
      <c r="R2433">
        <v>91</v>
      </c>
      <c r="S2433">
        <v>1</v>
      </c>
      <c r="T2433" t="str">
        <f t="shared" si="273"/>
        <v>e</v>
      </c>
      <c r="U2433" t="s">
        <v>247</v>
      </c>
      <c r="V2433" t="s">
        <v>421</v>
      </c>
      <c r="W2433" t="s">
        <v>466</v>
      </c>
      <c r="AF2433" t="s">
        <v>401</v>
      </c>
      <c r="AJ2433">
        <v>1</v>
      </c>
      <c r="AM2433" t="str">
        <f t="shared" si="276"/>
        <v>Play</v>
      </c>
      <c r="AN2433" t="str">
        <f t="shared" si="277"/>
        <v>Play_Offensive</v>
      </c>
      <c r="AP2433" t="str">
        <f t="shared" si="278"/>
        <v>Offensive</v>
      </c>
      <c r="BB2433" s="23"/>
      <c r="BD2433" s="21"/>
      <c r="BE2433" s="21"/>
      <c r="BF2433" s="21"/>
      <c r="BG2433" s="21"/>
      <c r="BH2433" s="21"/>
      <c r="BI2433" s="21"/>
    </row>
    <row r="2434" spans="1:61" x14ac:dyDescent="0.2">
      <c r="A2434">
        <v>1258</v>
      </c>
      <c r="B2434" t="s">
        <v>887</v>
      </c>
      <c r="C2434" t="str">
        <f t="shared" si="274"/>
        <v/>
      </c>
      <c r="D2434" t="str">
        <f t="shared" si="279"/>
        <v/>
      </c>
      <c r="H2434">
        <f t="shared" si="275"/>
        <v>3</v>
      </c>
      <c r="R2434">
        <v>91</v>
      </c>
      <c r="T2434" t="str">
        <f t="shared" si="273"/>
        <v>o</v>
      </c>
      <c r="AJ2434">
        <v>1</v>
      </c>
      <c r="AM2434" t="str">
        <f t="shared" si="276"/>
        <v>Play</v>
      </c>
      <c r="AN2434" t="str">
        <f t="shared" si="277"/>
        <v>Play_Offensive</v>
      </c>
      <c r="AP2434" t="str">
        <f t="shared" si="278"/>
        <v>Defensive</v>
      </c>
      <c r="BB2434" s="23"/>
      <c r="BD2434" s="21"/>
      <c r="BE2434" s="21"/>
      <c r="BF2434" s="21"/>
      <c r="BG2434" s="21"/>
      <c r="BH2434" s="21"/>
      <c r="BI2434" s="21"/>
    </row>
    <row r="2435" spans="1:61" x14ac:dyDescent="0.2">
      <c r="A2435">
        <v>1259</v>
      </c>
      <c r="B2435" t="s">
        <v>887</v>
      </c>
      <c r="C2435" t="str">
        <f t="shared" si="274"/>
        <v/>
      </c>
      <c r="D2435" t="str">
        <f t="shared" si="279"/>
        <v/>
      </c>
      <c r="H2435">
        <f t="shared" si="275"/>
        <v>3</v>
      </c>
      <c r="I2435" s="5" t="s">
        <v>768</v>
      </c>
      <c r="J2435" s="5" t="s">
        <v>778</v>
      </c>
      <c r="Q2435" t="s">
        <v>619</v>
      </c>
      <c r="R2435">
        <v>89</v>
      </c>
      <c r="S2435">
        <v>1</v>
      </c>
      <c r="T2435" t="str">
        <f t="shared" ref="T2435:T2498" si="281">IF(S2435="x","",IF(S2435=1,"e","o"))</f>
        <v>e</v>
      </c>
      <c r="U2435" t="s">
        <v>15</v>
      </c>
      <c r="V2435" t="s">
        <v>698</v>
      </c>
      <c r="X2435" t="s">
        <v>705</v>
      </c>
      <c r="Y2435" t="s">
        <v>858</v>
      </c>
      <c r="AA2435" t="s">
        <v>705</v>
      </c>
      <c r="AF2435" t="s">
        <v>401</v>
      </c>
      <c r="AM2435" t="str">
        <f t="shared" si="276"/>
        <v>Possession</v>
      </c>
      <c r="AN2435" t="str">
        <f t="shared" si="277"/>
        <v>PuckRecovery</v>
      </c>
      <c r="AP2435" t="str">
        <f t="shared" si="278"/>
        <v>Offensive</v>
      </c>
      <c r="BB2435" s="23"/>
      <c r="BD2435" s="21"/>
      <c r="BE2435" s="21"/>
      <c r="BF2435" s="21"/>
      <c r="BG2435" s="21"/>
      <c r="BH2435" s="21"/>
      <c r="BI2435" s="21"/>
    </row>
    <row r="2436" spans="1:61" x14ac:dyDescent="0.2">
      <c r="A2436">
        <v>1260</v>
      </c>
      <c r="B2436" t="s">
        <v>887</v>
      </c>
      <c r="C2436" t="str">
        <f t="shared" ref="C2436:C2499" si="282">IF(B2436&lt;&gt;"",9000+B2436,"")</f>
        <v/>
      </c>
      <c r="D2436" t="str">
        <f t="shared" si="279"/>
        <v/>
      </c>
      <c r="H2436">
        <f t="shared" si="275"/>
        <v>3</v>
      </c>
      <c r="I2436" s="5" t="s">
        <v>768</v>
      </c>
      <c r="J2436" s="5" t="s">
        <v>778</v>
      </c>
      <c r="Q2436" t="s">
        <v>619</v>
      </c>
      <c r="R2436">
        <v>89</v>
      </c>
      <c r="S2436">
        <v>1</v>
      </c>
      <c r="T2436" t="str">
        <f t="shared" si="281"/>
        <v>e</v>
      </c>
      <c r="U2436" t="s">
        <v>8</v>
      </c>
      <c r="V2436" t="s">
        <v>209</v>
      </c>
      <c r="W2436" t="s">
        <v>70</v>
      </c>
      <c r="X2436" t="s">
        <v>705</v>
      </c>
      <c r="Y2436" t="s">
        <v>814</v>
      </c>
      <c r="AA2436" t="s">
        <v>705</v>
      </c>
      <c r="AF2436" t="s">
        <v>401</v>
      </c>
      <c r="AJ2436">
        <v>1</v>
      </c>
      <c r="AM2436" t="str">
        <f t="shared" si="276"/>
        <v>Pass</v>
      </c>
      <c r="AN2436" t="str">
        <f t="shared" si="277"/>
        <v>Pass_Deflected</v>
      </c>
      <c r="AP2436" t="str">
        <f t="shared" si="278"/>
        <v>Offensive</v>
      </c>
      <c r="BB2436" s="23"/>
      <c r="BD2436" s="21"/>
      <c r="BE2436" s="21"/>
      <c r="BF2436" s="21"/>
      <c r="BG2436" s="21"/>
      <c r="BH2436" s="21"/>
      <c r="BI2436" s="21"/>
    </row>
    <row r="2437" spans="1:61" x14ac:dyDescent="0.2">
      <c r="A2437">
        <v>1260</v>
      </c>
      <c r="B2437" t="s">
        <v>887</v>
      </c>
      <c r="C2437" t="str">
        <f t="shared" si="282"/>
        <v/>
      </c>
      <c r="D2437" t="str">
        <f t="shared" si="279"/>
        <v/>
      </c>
      <c r="H2437">
        <f t="shared" ref="H2437:H2500" si="283">IF(U2437="Intermission",H2436+1,H2436)</f>
        <v>3</v>
      </c>
      <c r="R2437">
        <v>91</v>
      </c>
      <c r="S2437">
        <v>1</v>
      </c>
      <c r="T2437" t="str">
        <f t="shared" si="281"/>
        <v>e</v>
      </c>
      <c r="AM2437" t="str">
        <f t="shared" ref="AM2437:AM2500" si="284">IF(U2437&lt;&gt;"",U2437,IF($A2437=$A2436,AM2436,""))</f>
        <v>Pass</v>
      </c>
      <c r="AN2437" t="str">
        <f t="shared" ref="AN2437:AN2500" si="285">IF(V2437&lt;&gt;"",V2437,IF($A2437=$A2436,AN2436,""))</f>
        <v>Pass_Deflected</v>
      </c>
      <c r="AP2437" t="str">
        <f t="shared" si="278"/>
        <v>Offensive</v>
      </c>
      <c r="BB2437" s="23"/>
      <c r="BD2437" s="21"/>
      <c r="BE2437" s="21"/>
      <c r="BF2437" s="21"/>
      <c r="BG2437" s="21"/>
      <c r="BH2437" s="21"/>
      <c r="BI2437" s="21"/>
    </row>
    <row r="2438" spans="1:61" x14ac:dyDescent="0.2">
      <c r="A2438">
        <v>1260</v>
      </c>
      <c r="B2438" t="s">
        <v>887</v>
      </c>
      <c r="C2438" t="str">
        <f t="shared" si="282"/>
        <v/>
      </c>
      <c r="D2438" t="str">
        <f t="shared" si="279"/>
        <v/>
      </c>
      <c r="H2438">
        <f t="shared" si="283"/>
        <v>3</v>
      </c>
      <c r="R2438">
        <v>91</v>
      </c>
      <c r="T2438" t="str">
        <f t="shared" si="281"/>
        <v>o</v>
      </c>
      <c r="Y2438" t="s">
        <v>722</v>
      </c>
      <c r="AA2438" t="s">
        <v>706</v>
      </c>
      <c r="AJ2438">
        <v>1</v>
      </c>
      <c r="AM2438" t="str">
        <f t="shared" si="284"/>
        <v>Pass</v>
      </c>
      <c r="AN2438" t="str">
        <f t="shared" si="285"/>
        <v>Pass_Deflected</v>
      </c>
      <c r="AP2438" t="str">
        <f t="shared" ref="AP2438:AP2501" si="286">IF(AND(T2438="e",OR(AM2438="Save",AN2438="Turnover_Takeaway",AN2438="Play_Defensive")),"Defensive",IF(AND(T2438="o",OR(AM2438="Save",AN2438="Turnover_Takeaway",AN2438="Play_Defensive")),"Offensive",IF(OR(AM2438="Deadice",AM2438="Stoppage",AM2438="Intermission"),"",IF(T2438="e","Offensive",IF(T2438="o","Defensive","")))))</f>
        <v>Defensive</v>
      </c>
      <c r="BB2438" s="23"/>
      <c r="BD2438" s="21"/>
      <c r="BE2438" s="21"/>
      <c r="BF2438" s="21"/>
      <c r="BG2438" s="21"/>
      <c r="BH2438" s="21"/>
      <c r="BI2438" s="21"/>
    </row>
    <row r="2439" spans="1:61" x14ac:dyDescent="0.2">
      <c r="A2439">
        <v>1261</v>
      </c>
      <c r="B2439" t="s">
        <v>887</v>
      </c>
      <c r="C2439" t="str">
        <f t="shared" si="282"/>
        <v/>
      </c>
      <c r="D2439" t="str">
        <f t="shared" si="279"/>
        <v/>
      </c>
      <c r="H2439">
        <f t="shared" si="283"/>
        <v>3</v>
      </c>
      <c r="I2439" s="5" t="s">
        <v>768</v>
      </c>
      <c r="J2439" s="5" t="s">
        <v>791</v>
      </c>
      <c r="K2439" s="5" t="s">
        <v>768</v>
      </c>
      <c r="L2439" s="7" t="s">
        <v>724</v>
      </c>
      <c r="Q2439" t="s">
        <v>619</v>
      </c>
      <c r="R2439">
        <v>89</v>
      </c>
      <c r="S2439">
        <v>1</v>
      </c>
      <c r="T2439" t="str">
        <f t="shared" si="281"/>
        <v>e</v>
      </c>
      <c r="U2439" t="s">
        <v>15</v>
      </c>
      <c r="V2439" t="s">
        <v>698</v>
      </c>
      <c r="X2439" t="s">
        <v>706</v>
      </c>
      <c r="Y2439" t="s">
        <v>756</v>
      </c>
      <c r="AA2439" t="s">
        <v>706</v>
      </c>
      <c r="AF2439" t="s">
        <v>401</v>
      </c>
      <c r="AM2439" t="str">
        <f t="shared" si="284"/>
        <v>Possession</v>
      </c>
      <c r="AN2439" t="str">
        <f t="shared" si="285"/>
        <v>PuckRecovery</v>
      </c>
      <c r="AP2439" t="str">
        <f t="shared" si="286"/>
        <v>Offensive</v>
      </c>
      <c r="BB2439" s="23"/>
      <c r="BD2439" s="21"/>
      <c r="BE2439" s="21"/>
      <c r="BF2439" s="21"/>
      <c r="BG2439" s="21"/>
      <c r="BH2439" s="21"/>
      <c r="BI2439" s="21"/>
    </row>
    <row r="2440" spans="1:61" x14ac:dyDescent="0.2">
      <c r="A2440">
        <v>1262</v>
      </c>
      <c r="B2440" t="s">
        <v>887</v>
      </c>
      <c r="C2440" t="str">
        <f t="shared" si="282"/>
        <v/>
      </c>
      <c r="D2440" t="str">
        <f t="shared" si="279"/>
        <v/>
      </c>
      <c r="H2440">
        <f t="shared" si="283"/>
        <v>3</v>
      </c>
      <c r="I2440" s="5" t="s">
        <v>768</v>
      </c>
      <c r="J2440" s="5" t="s">
        <v>724</v>
      </c>
      <c r="Q2440" t="s">
        <v>619</v>
      </c>
      <c r="R2440">
        <v>89</v>
      </c>
      <c r="S2440">
        <v>1</v>
      </c>
      <c r="T2440" t="str">
        <f t="shared" si="281"/>
        <v>e</v>
      </c>
      <c r="U2440" t="s">
        <v>8</v>
      </c>
      <c r="V2440" t="s">
        <v>189</v>
      </c>
      <c r="W2440" t="s">
        <v>70</v>
      </c>
      <c r="X2440" t="s">
        <v>706</v>
      </c>
      <c r="Y2440" t="s">
        <v>814</v>
      </c>
      <c r="AA2440" t="s">
        <v>706</v>
      </c>
      <c r="AF2440" t="s">
        <v>401</v>
      </c>
      <c r="AJ2440">
        <v>1</v>
      </c>
      <c r="AM2440" t="str">
        <f t="shared" si="284"/>
        <v>Pass</v>
      </c>
      <c r="AN2440" t="str">
        <f t="shared" si="285"/>
        <v>Pass_Completed</v>
      </c>
      <c r="AP2440" t="str">
        <f t="shared" si="286"/>
        <v>Offensive</v>
      </c>
      <c r="BB2440" s="23"/>
      <c r="BD2440" s="21"/>
      <c r="BE2440" s="21"/>
      <c r="BF2440" s="21"/>
      <c r="BG2440" s="21"/>
      <c r="BH2440" s="21"/>
      <c r="BI2440" s="21"/>
    </row>
    <row r="2441" spans="1:61" x14ac:dyDescent="0.2">
      <c r="A2441">
        <v>1262</v>
      </c>
      <c r="B2441" t="s">
        <v>887</v>
      </c>
      <c r="C2441" t="str">
        <f t="shared" si="282"/>
        <v/>
      </c>
      <c r="D2441" t="str">
        <f t="shared" ref="D2441:D2504" si="287">IF(C2441&lt;&gt;"",C2441,B2441)</f>
        <v/>
      </c>
      <c r="H2441">
        <f t="shared" si="283"/>
        <v>3</v>
      </c>
      <c r="R2441">
        <v>4</v>
      </c>
      <c r="S2441">
        <v>1</v>
      </c>
      <c r="T2441" t="str">
        <f t="shared" si="281"/>
        <v>e</v>
      </c>
      <c r="AM2441" t="str">
        <f t="shared" si="284"/>
        <v>Pass</v>
      </c>
      <c r="AN2441" t="str">
        <f t="shared" si="285"/>
        <v>Pass_Completed</v>
      </c>
      <c r="AP2441" t="str">
        <f t="shared" si="286"/>
        <v>Offensive</v>
      </c>
      <c r="BB2441" s="23"/>
      <c r="BD2441" s="21"/>
      <c r="BE2441" s="21"/>
      <c r="BF2441" s="21"/>
      <c r="BG2441" s="21"/>
      <c r="BH2441" s="21"/>
      <c r="BI2441" s="21"/>
    </row>
    <row r="2442" spans="1:61" x14ac:dyDescent="0.2">
      <c r="A2442">
        <v>1262</v>
      </c>
      <c r="B2442" t="s">
        <v>887</v>
      </c>
      <c r="C2442" t="str">
        <f t="shared" si="282"/>
        <v/>
      </c>
      <c r="D2442" t="str">
        <f t="shared" si="287"/>
        <v/>
      </c>
      <c r="H2442">
        <f t="shared" si="283"/>
        <v>3</v>
      </c>
      <c r="R2442">
        <v>61</v>
      </c>
      <c r="T2442" t="str">
        <f t="shared" si="281"/>
        <v>o</v>
      </c>
      <c r="Y2442" t="s">
        <v>722</v>
      </c>
      <c r="AJ2442">
        <v>1</v>
      </c>
      <c r="AM2442" t="str">
        <f t="shared" si="284"/>
        <v>Pass</v>
      </c>
      <c r="AN2442" t="str">
        <f t="shared" si="285"/>
        <v>Pass_Completed</v>
      </c>
      <c r="AP2442" t="str">
        <f t="shared" si="286"/>
        <v>Defensive</v>
      </c>
      <c r="BB2442" s="23"/>
      <c r="BD2442" s="21"/>
      <c r="BE2442" s="21"/>
      <c r="BF2442" s="21"/>
      <c r="BG2442" s="21"/>
      <c r="BH2442" s="21"/>
      <c r="BI2442" s="21"/>
    </row>
    <row r="2443" spans="1:61" x14ac:dyDescent="0.2">
      <c r="A2443">
        <v>1263</v>
      </c>
      <c r="B2443">
        <v>194</v>
      </c>
      <c r="C2443">
        <f t="shared" si="282"/>
        <v>9194</v>
      </c>
      <c r="D2443">
        <f t="shared" si="287"/>
        <v>9194</v>
      </c>
      <c r="H2443">
        <f t="shared" si="283"/>
        <v>3</v>
      </c>
      <c r="I2443" s="5" t="s">
        <v>768</v>
      </c>
      <c r="J2443" s="5" t="s">
        <v>812</v>
      </c>
      <c r="Q2443" t="s">
        <v>619</v>
      </c>
      <c r="R2443">
        <v>4</v>
      </c>
      <c r="S2443">
        <v>1</v>
      </c>
      <c r="T2443" t="str">
        <f t="shared" si="281"/>
        <v>e</v>
      </c>
      <c r="U2443" t="s">
        <v>7</v>
      </c>
      <c r="V2443" t="s">
        <v>222</v>
      </c>
      <c r="W2443" t="s">
        <v>53</v>
      </c>
      <c r="X2443" t="s">
        <v>706</v>
      </c>
      <c r="AF2443" t="s">
        <v>401</v>
      </c>
      <c r="AJ2443">
        <v>1</v>
      </c>
      <c r="AM2443" t="str">
        <f t="shared" si="284"/>
        <v>Shot</v>
      </c>
      <c r="AN2443" t="str">
        <f t="shared" si="285"/>
        <v>Shot_OnNetSaved</v>
      </c>
      <c r="AP2443" t="str">
        <f t="shared" si="286"/>
        <v>Offensive</v>
      </c>
      <c r="BB2443" s="23"/>
      <c r="BD2443" s="21"/>
      <c r="BE2443" s="21"/>
      <c r="BF2443" s="21"/>
      <c r="BG2443" s="21"/>
      <c r="BH2443" s="21"/>
      <c r="BI2443" s="21"/>
    </row>
    <row r="2444" spans="1:61" x14ac:dyDescent="0.2">
      <c r="A2444">
        <v>1263</v>
      </c>
      <c r="B2444">
        <v>194</v>
      </c>
      <c r="C2444">
        <f t="shared" si="282"/>
        <v>9194</v>
      </c>
      <c r="D2444">
        <f t="shared" si="287"/>
        <v>9194</v>
      </c>
      <c r="H2444">
        <f t="shared" si="283"/>
        <v>3</v>
      </c>
      <c r="R2444">
        <v>91</v>
      </c>
      <c r="S2444">
        <v>1</v>
      </c>
      <c r="T2444" t="str">
        <f t="shared" si="281"/>
        <v>e</v>
      </c>
      <c r="Y2444" t="s">
        <v>770</v>
      </c>
      <c r="Z2444" t="s">
        <v>846</v>
      </c>
      <c r="AM2444" t="str">
        <f t="shared" si="284"/>
        <v>Shot</v>
      </c>
      <c r="AN2444" t="str">
        <f t="shared" si="285"/>
        <v>Shot_OnNetSaved</v>
      </c>
      <c r="AP2444" t="str">
        <f t="shared" si="286"/>
        <v>Offensive</v>
      </c>
      <c r="BB2444" s="23"/>
      <c r="BD2444" s="21"/>
      <c r="BE2444" s="21"/>
      <c r="BF2444" s="21"/>
      <c r="BG2444" s="21"/>
      <c r="BH2444" s="21"/>
      <c r="BI2444" s="21"/>
    </row>
    <row r="2445" spans="1:61" x14ac:dyDescent="0.2">
      <c r="A2445">
        <v>1263</v>
      </c>
      <c r="B2445">
        <v>194</v>
      </c>
      <c r="C2445">
        <f t="shared" si="282"/>
        <v>9194</v>
      </c>
      <c r="D2445">
        <f t="shared" si="287"/>
        <v>9194</v>
      </c>
      <c r="H2445">
        <f t="shared" si="283"/>
        <v>3</v>
      </c>
      <c r="R2445">
        <v>39</v>
      </c>
      <c r="T2445" t="str">
        <f t="shared" si="281"/>
        <v>o</v>
      </c>
      <c r="AM2445" t="str">
        <f t="shared" si="284"/>
        <v>Shot</v>
      </c>
      <c r="AN2445" t="str">
        <f t="shared" si="285"/>
        <v>Shot_OnNetSaved</v>
      </c>
      <c r="AP2445" t="str">
        <f t="shared" si="286"/>
        <v>Defensive</v>
      </c>
      <c r="BB2445" s="23"/>
      <c r="BD2445" s="21"/>
      <c r="BE2445" s="21"/>
      <c r="BF2445" s="21"/>
      <c r="BG2445" s="21"/>
      <c r="BH2445" s="21"/>
      <c r="BI2445" s="21"/>
    </row>
    <row r="2446" spans="1:61" x14ac:dyDescent="0.2">
      <c r="A2446">
        <v>1263</v>
      </c>
      <c r="B2446">
        <v>194</v>
      </c>
      <c r="C2446">
        <f t="shared" si="282"/>
        <v>9194</v>
      </c>
      <c r="D2446">
        <f t="shared" si="287"/>
        <v>9194</v>
      </c>
      <c r="H2446">
        <f t="shared" si="283"/>
        <v>3</v>
      </c>
      <c r="R2446">
        <v>24</v>
      </c>
      <c r="T2446" t="str">
        <f t="shared" si="281"/>
        <v>o</v>
      </c>
      <c r="AJ2446">
        <v>1</v>
      </c>
      <c r="AM2446" t="str">
        <f t="shared" si="284"/>
        <v>Shot</v>
      </c>
      <c r="AN2446" t="str">
        <f t="shared" si="285"/>
        <v>Shot_OnNetSaved</v>
      </c>
      <c r="AP2446" t="str">
        <f t="shared" si="286"/>
        <v>Defensive</v>
      </c>
      <c r="BB2446" s="23"/>
      <c r="BD2446" s="21"/>
      <c r="BE2446" s="21"/>
      <c r="BF2446" s="21"/>
      <c r="BG2446" s="21"/>
      <c r="BH2446" s="21"/>
      <c r="BI2446" s="21"/>
    </row>
    <row r="2447" spans="1:61" x14ac:dyDescent="0.2">
      <c r="A2447">
        <v>1264</v>
      </c>
      <c r="B2447">
        <v>194</v>
      </c>
      <c r="C2447">
        <f t="shared" si="282"/>
        <v>9194</v>
      </c>
      <c r="D2447">
        <f t="shared" si="287"/>
        <v>9194</v>
      </c>
      <c r="H2447">
        <f t="shared" si="283"/>
        <v>3</v>
      </c>
      <c r="I2447" s="5" t="s">
        <v>768</v>
      </c>
      <c r="J2447" s="5" t="s">
        <v>812</v>
      </c>
      <c r="Q2447" t="s">
        <v>620</v>
      </c>
      <c r="R2447">
        <v>39</v>
      </c>
      <c r="S2447">
        <v>1</v>
      </c>
      <c r="T2447" t="str">
        <f t="shared" si="281"/>
        <v>e</v>
      </c>
      <c r="U2447" t="s">
        <v>17</v>
      </c>
      <c r="V2447" t="s">
        <v>206</v>
      </c>
      <c r="W2447" t="s">
        <v>103</v>
      </c>
      <c r="AF2447" t="s">
        <v>623</v>
      </c>
      <c r="AM2447" t="str">
        <f t="shared" si="284"/>
        <v>Save</v>
      </c>
      <c r="AN2447" t="str">
        <f t="shared" si="285"/>
        <v>Save_Freeze</v>
      </c>
      <c r="AP2447" t="str">
        <f t="shared" si="286"/>
        <v>Defensive</v>
      </c>
      <c r="BB2447" s="23"/>
      <c r="BD2447" s="21"/>
      <c r="BE2447" s="21"/>
      <c r="BF2447" s="21"/>
      <c r="BG2447" s="21"/>
      <c r="BH2447" s="21"/>
      <c r="BI2447" s="21"/>
    </row>
    <row r="2448" spans="1:61" x14ac:dyDescent="0.2">
      <c r="A2448">
        <v>1264</v>
      </c>
      <c r="B2448">
        <v>194</v>
      </c>
      <c r="C2448">
        <f t="shared" si="282"/>
        <v>9194</v>
      </c>
      <c r="D2448">
        <f t="shared" si="287"/>
        <v>9194</v>
      </c>
      <c r="H2448">
        <f t="shared" si="283"/>
        <v>3</v>
      </c>
      <c r="R2448">
        <v>24</v>
      </c>
      <c r="S2448">
        <v>1</v>
      </c>
      <c r="T2448" t="str">
        <f t="shared" si="281"/>
        <v>e</v>
      </c>
      <c r="AJ2448">
        <v>1</v>
      </c>
      <c r="AM2448" t="str">
        <f t="shared" si="284"/>
        <v>Save</v>
      </c>
      <c r="AN2448" t="str">
        <f t="shared" si="285"/>
        <v>Save_Freeze</v>
      </c>
      <c r="AP2448" t="str">
        <f t="shared" si="286"/>
        <v>Defensive</v>
      </c>
      <c r="BB2448" s="23"/>
      <c r="BD2448" s="21"/>
      <c r="BE2448" s="21"/>
      <c r="BF2448" s="21"/>
      <c r="BG2448" s="21"/>
      <c r="BH2448" s="21"/>
      <c r="BI2448" s="21"/>
    </row>
    <row r="2449" spans="1:61" x14ac:dyDescent="0.2">
      <c r="A2449">
        <v>1264</v>
      </c>
      <c r="B2449">
        <v>194</v>
      </c>
      <c r="C2449">
        <f t="shared" si="282"/>
        <v>9194</v>
      </c>
      <c r="D2449">
        <f t="shared" si="287"/>
        <v>9194</v>
      </c>
      <c r="H2449">
        <f t="shared" si="283"/>
        <v>3</v>
      </c>
      <c r="R2449">
        <v>4</v>
      </c>
      <c r="T2449" t="str">
        <f t="shared" si="281"/>
        <v>o</v>
      </c>
      <c r="AJ2449">
        <v>1</v>
      </c>
      <c r="AM2449" t="str">
        <f t="shared" si="284"/>
        <v>Save</v>
      </c>
      <c r="AN2449" t="str">
        <f t="shared" si="285"/>
        <v>Save_Freeze</v>
      </c>
      <c r="AP2449" t="str">
        <f t="shared" si="286"/>
        <v>Offensive</v>
      </c>
      <c r="BB2449" s="23"/>
      <c r="BD2449" s="21"/>
      <c r="BE2449" s="21"/>
      <c r="BF2449" s="21"/>
      <c r="BG2449" s="21"/>
      <c r="BH2449" s="21"/>
      <c r="BI2449" s="21"/>
    </row>
    <row r="2450" spans="1:61" x14ac:dyDescent="0.2">
      <c r="A2450">
        <v>1264</v>
      </c>
      <c r="B2450">
        <v>194</v>
      </c>
      <c r="C2450">
        <f t="shared" si="282"/>
        <v>9194</v>
      </c>
      <c r="D2450">
        <f t="shared" si="287"/>
        <v>9194</v>
      </c>
      <c r="H2450">
        <f t="shared" si="283"/>
        <v>3</v>
      </c>
      <c r="R2450">
        <v>91</v>
      </c>
      <c r="T2450" t="str">
        <f t="shared" si="281"/>
        <v>o</v>
      </c>
      <c r="Y2450" t="s">
        <v>770</v>
      </c>
      <c r="Z2450" t="s">
        <v>846</v>
      </c>
      <c r="AM2450" t="str">
        <f t="shared" si="284"/>
        <v>Save</v>
      </c>
      <c r="AN2450" t="str">
        <f t="shared" si="285"/>
        <v>Save_Freeze</v>
      </c>
      <c r="AP2450" t="str">
        <f t="shared" si="286"/>
        <v>Offensive</v>
      </c>
      <c r="BB2450" s="23"/>
      <c r="BD2450" s="21"/>
      <c r="BE2450" s="21"/>
      <c r="BF2450" s="21"/>
      <c r="BG2450" s="21"/>
      <c r="BH2450" s="21"/>
      <c r="BI2450" s="21"/>
    </row>
    <row r="2451" spans="1:61" x14ac:dyDescent="0.2">
      <c r="A2451">
        <v>1265</v>
      </c>
      <c r="B2451">
        <v>194</v>
      </c>
      <c r="C2451">
        <f t="shared" si="282"/>
        <v>9194</v>
      </c>
      <c r="D2451">
        <f t="shared" si="287"/>
        <v>9194</v>
      </c>
      <c r="H2451">
        <f t="shared" si="283"/>
        <v>3</v>
      </c>
      <c r="I2451" s="5" t="s">
        <v>768</v>
      </c>
      <c r="J2451" s="5" t="s">
        <v>726</v>
      </c>
      <c r="Q2451" t="s">
        <v>620</v>
      </c>
      <c r="R2451">
        <v>39</v>
      </c>
      <c r="S2451">
        <v>1</v>
      </c>
      <c r="T2451" t="str">
        <f t="shared" si="281"/>
        <v>e</v>
      </c>
      <c r="U2451" t="s">
        <v>13</v>
      </c>
      <c r="V2451" t="s">
        <v>204</v>
      </c>
      <c r="W2451" t="s">
        <v>110</v>
      </c>
      <c r="AF2451" t="s">
        <v>623</v>
      </c>
      <c r="AM2451" t="str">
        <f t="shared" si="284"/>
        <v>Stoppage</v>
      </c>
      <c r="AN2451" t="str">
        <f t="shared" si="285"/>
        <v>Stoppage_Play</v>
      </c>
      <c r="AP2451" t="str">
        <f t="shared" si="286"/>
        <v/>
      </c>
      <c r="BB2451" s="23"/>
      <c r="BD2451" s="21"/>
      <c r="BE2451" s="21"/>
      <c r="BF2451" s="21"/>
      <c r="BG2451" s="21"/>
      <c r="BH2451" s="21"/>
      <c r="BI2451" s="21"/>
    </row>
    <row r="2452" spans="1:61" x14ac:dyDescent="0.2">
      <c r="A2452">
        <v>1266</v>
      </c>
      <c r="B2452">
        <v>194</v>
      </c>
      <c r="C2452">
        <f t="shared" si="282"/>
        <v>9194</v>
      </c>
      <c r="D2452">
        <f t="shared" si="287"/>
        <v>9194</v>
      </c>
      <c r="H2452">
        <f t="shared" si="283"/>
        <v>3</v>
      </c>
      <c r="I2452" s="5" t="s">
        <v>768</v>
      </c>
      <c r="J2452" s="5" t="s">
        <v>726</v>
      </c>
      <c r="K2452" s="5" t="s">
        <v>768</v>
      </c>
      <c r="L2452" s="7" t="s">
        <v>738</v>
      </c>
      <c r="Q2452" t="s">
        <v>620</v>
      </c>
      <c r="R2452">
        <v>39</v>
      </c>
      <c r="S2452">
        <v>1</v>
      </c>
      <c r="T2452" t="str">
        <f t="shared" si="281"/>
        <v>e</v>
      </c>
      <c r="U2452" t="s">
        <v>262</v>
      </c>
      <c r="AF2452" t="s">
        <v>623</v>
      </c>
      <c r="AM2452" t="str">
        <f t="shared" si="284"/>
        <v>DeadIce</v>
      </c>
      <c r="AN2452" t="str">
        <f t="shared" si="285"/>
        <v/>
      </c>
      <c r="AP2452" t="str">
        <f t="shared" si="286"/>
        <v/>
      </c>
      <c r="BB2452" s="23"/>
      <c r="BD2452" s="21"/>
      <c r="BE2452" s="21"/>
      <c r="BF2452" s="21"/>
      <c r="BG2452" s="21"/>
      <c r="BH2452" s="21"/>
      <c r="BI2452" s="21"/>
    </row>
    <row r="2453" spans="1:61" x14ac:dyDescent="0.2">
      <c r="A2453">
        <v>1267</v>
      </c>
      <c r="B2453" t="s">
        <v>887</v>
      </c>
      <c r="C2453" t="str">
        <f t="shared" si="282"/>
        <v/>
      </c>
      <c r="D2453" t="str">
        <f t="shared" si="287"/>
        <v/>
      </c>
      <c r="H2453">
        <f t="shared" si="283"/>
        <v>3</v>
      </c>
      <c r="I2453" s="5" t="s">
        <v>768</v>
      </c>
      <c r="J2453" s="5" t="s">
        <v>738</v>
      </c>
      <c r="Q2453" t="s">
        <v>620</v>
      </c>
      <c r="R2453">
        <v>42</v>
      </c>
      <c r="S2453">
        <v>1</v>
      </c>
      <c r="T2453" t="str">
        <f t="shared" si="281"/>
        <v>e</v>
      </c>
      <c r="U2453" t="s">
        <v>6</v>
      </c>
      <c r="V2453" t="s">
        <v>255</v>
      </c>
      <c r="AF2453" t="s">
        <v>623</v>
      </c>
      <c r="AM2453" t="str">
        <f t="shared" si="284"/>
        <v>Faceoff</v>
      </c>
      <c r="AN2453" t="str">
        <f t="shared" si="285"/>
        <v>Faceoff_AfterStoppage</v>
      </c>
      <c r="AP2453" t="str">
        <f t="shared" si="286"/>
        <v>Offensive</v>
      </c>
      <c r="BB2453" s="23"/>
      <c r="BD2453" s="21"/>
      <c r="BE2453" s="21"/>
      <c r="BF2453" s="21"/>
      <c r="BG2453" s="21"/>
      <c r="BH2453" s="21"/>
      <c r="BI2453" s="21"/>
    </row>
    <row r="2454" spans="1:61" x14ac:dyDescent="0.2">
      <c r="A2454">
        <v>1267</v>
      </c>
      <c r="B2454" t="s">
        <v>887</v>
      </c>
      <c r="C2454" t="str">
        <f t="shared" si="282"/>
        <v/>
      </c>
      <c r="D2454" t="str">
        <f t="shared" si="287"/>
        <v/>
      </c>
      <c r="H2454">
        <f t="shared" si="283"/>
        <v>3</v>
      </c>
      <c r="R2454">
        <v>77</v>
      </c>
      <c r="T2454" t="str">
        <f t="shared" si="281"/>
        <v>o</v>
      </c>
      <c r="AM2454" t="str">
        <f t="shared" si="284"/>
        <v>Faceoff</v>
      </c>
      <c r="AN2454" t="str">
        <f t="shared" si="285"/>
        <v>Faceoff_AfterStoppage</v>
      </c>
      <c r="AP2454" t="str">
        <f t="shared" si="286"/>
        <v>Defensive</v>
      </c>
      <c r="BB2454" s="23"/>
      <c r="BD2454" s="21"/>
      <c r="BE2454" s="21"/>
      <c r="BF2454" s="21"/>
      <c r="BG2454" s="21"/>
      <c r="BH2454" s="21"/>
      <c r="BI2454" s="21"/>
    </row>
    <row r="2455" spans="1:61" x14ac:dyDescent="0.2">
      <c r="A2455">
        <v>1268</v>
      </c>
      <c r="B2455" t="s">
        <v>887</v>
      </c>
      <c r="C2455" t="str">
        <f t="shared" si="282"/>
        <v/>
      </c>
      <c r="D2455" t="str">
        <f t="shared" si="287"/>
        <v/>
      </c>
      <c r="H2455">
        <f t="shared" si="283"/>
        <v>3</v>
      </c>
      <c r="I2455" s="5" t="s">
        <v>768</v>
      </c>
      <c r="J2455" s="5" t="s">
        <v>740</v>
      </c>
      <c r="K2455" s="5" t="s">
        <v>768</v>
      </c>
      <c r="L2455" s="7" t="s">
        <v>786</v>
      </c>
      <c r="Q2455" t="s">
        <v>620</v>
      </c>
      <c r="R2455">
        <v>84</v>
      </c>
      <c r="S2455">
        <v>1</v>
      </c>
      <c r="T2455" t="str">
        <f t="shared" si="281"/>
        <v>e</v>
      </c>
      <c r="U2455" t="s">
        <v>15</v>
      </c>
      <c r="V2455" t="s">
        <v>698</v>
      </c>
      <c r="X2455" t="s">
        <v>706</v>
      </c>
      <c r="Y2455" t="s">
        <v>907</v>
      </c>
      <c r="AA2455" t="s">
        <v>706</v>
      </c>
      <c r="AF2455" t="s">
        <v>623</v>
      </c>
      <c r="AM2455" t="str">
        <f t="shared" si="284"/>
        <v>Possession</v>
      </c>
      <c r="AN2455" t="str">
        <f t="shared" si="285"/>
        <v>PuckRecovery</v>
      </c>
      <c r="AP2455" t="str">
        <f t="shared" si="286"/>
        <v>Offensive</v>
      </c>
      <c r="BB2455" s="23"/>
      <c r="BD2455" s="21"/>
      <c r="BE2455" s="21"/>
      <c r="BF2455" s="21"/>
      <c r="BG2455" s="21"/>
      <c r="BH2455" s="21"/>
      <c r="BI2455" s="21"/>
    </row>
    <row r="2456" spans="1:61" x14ac:dyDescent="0.2">
      <c r="A2456">
        <v>1269</v>
      </c>
      <c r="B2456" t="s">
        <v>887</v>
      </c>
      <c r="C2456" t="str">
        <f t="shared" si="282"/>
        <v/>
      </c>
      <c r="D2456" t="str">
        <f t="shared" si="287"/>
        <v/>
      </c>
      <c r="H2456">
        <f t="shared" si="283"/>
        <v>3</v>
      </c>
      <c r="I2456" s="5" t="s">
        <v>768</v>
      </c>
      <c r="J2456" s="5" t="s">
        <v>786</v>
      </c>
      <c r="K2456" s="5" t="s">
        <v>768</v>
      </c>
      <c r="L2456" s="7" t="s">
        <v>446</v>
      </c>
      <c r="Q2456" t="s">
        <v>620</v>
      </c>
      <c r="R2456">
        <v>84</v>
      </c>
      <c r="S2456">
        <v>1</v>
      </c>
      <c r="T2456" t="str">
        <f t="shared" si="281"/>
        <v>e</v>
      </c>
      <c r="U2456" t="s">
        <v>257</v>
      </c>
      <c r="V2456" t="s">
        <v>201</v>
      </c>
      <c r="W2456" t="s">
        <v>90</v>
      </c>
      <c r="X2456" t="s">
        <v>705</v>
      </c>
      <c r="AF2456" t="s">
        <v>623</v>
      </c>
      <c r="AM2456" t="str">
        <f t="shared" si="284"/>
        <v>Zone_Entry_Exit</v>
      </c>
      <c r="AN2456" t="str">
        <f t="shared" si="285"/>
        <v>Zone_Exit</v>
      </c>
      <c r="AP2456" t="str">
        <f t="shared" si="286"/>
        <v>Offensive</v>
      </c>
      <c r="BB2456" s="23"/>
      <c r="BD2456" s="21"/>
      <c r="BE2456" s="21"/>
      <c r="BF2456" s="21"/>
      <c r="BG2456" s="21"/>
      <c r="BH2456" s="21"/>
      <c r="BI2456" s="21"/>
    </row>
    <row r="2457" spans="1:61" x14ac:dyDescent="0.2">
      <c r="A2457">
        <v>1270</v>
      </c>
      <c r="B2457" t="s">
        <v>887</v>
      </c>
      <c r="C2457" t="str">
        <f t="shared" si="282"/>
        <v/>
      </c>
      <c r="D2457" t="str">
        <f t="shared" si="287"/>
        <v/>
      </c>
      <c r="H2457">
        <f t="shared" si="283"/>
        <v>3</v>
      </c>
      <c r="I2457" s="5" t="s">
        <v>768</v>
      </c>
      <c r="J2457" s="5" t="s">
        <v>446</v>
      </c>
      <c r="Q2457" t="s">
        <v>619</v>
      </c>
      <c r="R2457">
        <v>44</v>
      </c>
      <c r="S2457">
        <v>1</v>
      </c>
      <c r="T2457" t="str">
        <f t="shared" si="281"/>
        <v>e</v>
      </c>
      <c r="U2457" t="s">
        <v>10</v>
      </c>
      <c r="V2457" t="s">
        <v>200</v>
      </c>
      <c r="W2457" t="s">
        <v>82</v>
      </c>
      <c r="X2457" t="s">
        <v>706</v>
      </c>
      <c r="Y2457" t="s">
        <v>714</v>
      </c>
      <c r="AA2457" t="s">
        <v>706</v>
      </c>
      <c r="AF2457" t="s">
        <v>635</v>
      </c>
      <c r="AJ2457">
        <v>1</v>
      </c>
      <c r="AM2457" t="str">
        <f t="shared" si="284"/>
        <v>Turnover</v>
      </c>
      <c r="AN2457" t="str">
        <f t="shared" si="285"/>
        <v>Turnover_Takeaway</v>
      </c>
      <c r="AP2457" t="str">
        <f t="shared" si="286"/>
        <v>Defensive</v>
      </c>
      <c r="BB2457" s="23"/>
      <c r="BD2457" s="21"/>
      <c r="BE2457" s="21"/>
      <c r="BF2457" s="21"/>
      <c r="BG2457" s="21"/>
      <c r="BH2457" s="21"/>
      <c r="BI2457" s="21"/>
    </row>
    <row r="2458" spans="1:61" x14ac:dyDescent="0.2">
      <c r="A2458">
        <v>1270</v>
      </c>
      <c r="B2458" t="s">
        <v>887</v>
      </c>
      <c r="C2458" t="str">
        <f t="shared" si="282"/>
        <v/>
      </c>
      <c r="D2458" t="str">
        <f t="shared" si="287"/>
        <v/>
      </c>
      <c r="H2458">
        <f t="shared" si="283"/>
        <v>3</v>
      </c>
      <c r="R2458">
        <v>84</v>
      </c>
      <c r="T2458" t="str">
        <f t="shared" si="281"/>
        <v>o</v>
      </c>
      <c r="AJ2458">
        <v>1</v>
      </c>
      <c r="AM2458" t="str">
        <f t="shared" si="284"/>
        <v>Turnover</v>
      </c>
      <c r="AN2458" t="str">
        <f t="shared" si="285"/>
        <v>Turnover_Takeaway</v>
      </c>
      <c r="AP2458" t="str">
        <f t="shared" si="286"/>
        <v>Offensive</v>
      </c>
      <c r="BB2458" s="23"/>
      <c r="BD2458" s="21"/>
      <c r="BE2458" s="21"/>
      <c r="BF2458" s="21"/>
      <c r="BG2458" s="21"/>
      <c r="BH2458" s="21"/>
      <c r="BI2458" s="21"/>
    </row>
    <row r="2459" spans="1:61" x14ac:dyDescent="0.2">
      <c r="A2459">
        <v>1271</v>
      </c>
      <c r="B2459" t="s">
        <v>887</v>
      </c>
      <c r="C2459" t="str">
        <f t="shared" si="282"/>
        <v/>
      </c>
      <c r="D2459" t="str">
        <f t="shared" si="287"/>
        <v/>
      </c>
      <c r="H2459">
        <f t="shared" si="283"/>
        <v>3</v>
      </c>
      <c r="I2459" s="5" t="s">
        <v>733</v>
      </c>
      <c r="J2459" s="5" t="s">
        <v>896</v>
      </c>
      <c r="K2459" s="5" t="s">
        <v>733</v>
      </c>
      <c r="L2459" s="7" t="s">
        <v>762</v>
      </c>
      <c r="Q2459" t="s">
        <v>619</v>
      </c>
      <c r="R2459">
        <v>77</v>
      </c>
      <c r="S2459">
        <v>1</v>
      </c>
      <c r="T2459" t="str">
        <f t="shared" si="281"/>
        <v>e</v>
      </c>
      <c r="U2459" t="s">
        <v>15</v>
      </c>
      <c r="V2459" t="s">
        <v>697</v>
      </c>
      <c r="X2459" t="s">
        <v>706</v>
      </c>
      <c r="Y2459" t="s">
        <v>712</v>
      </c>
      <c r="AA2459" t="s">
        <v>706</v>
      </c>
      <c r="AF2459" t="s">
        <v>635</v>
      </c>
      <c r="AJ2459">
        <v>1</v>
      </c>
      <c r="AM2459" t="str">
        <f t="shared" si="284"/>
        <v>Possession</v>
      </c>
      <c r="AN2459" t="str">
        <f t="shared" si="285"/>
        <v>PuckRetrieval</v>
      </c>
      <c r="AP2459" t="str">
        <f t="shared" si="286"/>
        <v>Offensive</v>
      </c>
      <c r="BB2459" s="23"/>
      <c r="BD2459" s="21"/>
      <c r="BE2459" s="21"/>
      <c r="BF2459" s="21"/>
      <c r="BG2459" s="21"/>
      <c r="BH2459" s="21"/>
      <c r="BI2459" s="21"/>
    </row>
    <row r="2460" spans="1:61" x14ac:dyDescent="0.2">
      <c r="A2460">
        <v>1271</v>
      </c>
      <c r="B2460" t="s">
        <v>887</v>
      </c>
      <c r="C2460" t="str">
        <f t="shared" si="282"/>
        <v/>
      </c>
      <c r="D2460" t="str">
        <f t="shared" si="287"/>
        <v/>
      </c>
      <c r="H2460">
        <f t="shared" si="283"/>
        <v>3</v>
      </c>
      <c r="R2460">
        <v>84</v>
      </c>
      <c r="T2460" t="str">
        <f t="shared" si="281"/>
        <v>o</v>
      </c>
      <c r="Y2460" t="s">
        <v>802</v>
      </c>
      <c r="AJ2460">
        <v>1</v>
      </c>
      <c r="AM2460" t="str">
        <f t="shared" si="284"/>
        <v>Possession</v>
      </c>
      <c r="AN2460" t="str">
        <f t="shared" si="285"/>
        <v>PuckRetrieval</v>
      </c>
      <c r="AP2460" t="str">
        <f t="shared" si="286"/>
        <v>Defensive</v>
      </c>
      <c r="BB2460" s="23"/>
      <c r="BD2460" s="21"/>
      <c r="BE2460" s="21"/>
      <c r="BF2460" s="21"/>
      <c r="BG2460" s="21"/>
      <c r="BH2460" s="21"/>
      <c r="BI2460" s="21"/>
    </row>
    <row r="2461" spans="1:61" x14ac:dyDescent="0.2">
      <c r="A2461">
        <v>1272</v>
      </c>
      <c r="B2461" t="s">
        <v>887</v>
      </c>
      <c r="C2461" t="str">
        <f t="shared" si="282"/>
        <v/>
      </c>
      <c r="D2461" t="str">
        <f t="shared" si="287"/>
        <v/>
      </c>
      <c r="H2461">
        <f t="shared" si="283"/>
        <v>3</v>
      </c>
      <c r="I2461" s="5" t="s">
        <v>733</v>
      </c>
      <c r="J2461" s="5" t="s">
        <v>762</v>
      </c>
      <c r="K2461" s="5" t="s">
        <v>733</v>
      </c>
      <c r="L2461" s="7" t="s">
        <v>773</v>
      </c>
      <c r="Q2461" t="s">
        <v>619</v>
      </c>
      <c r="R2461">
        <v>77</v>
      </c>
      <c r="S2461">
        <v>1</v>
      </c>
      <c r="T2461" t="str">
        <f t="shared" si="281"/>
        <v>e</v>
      </c>
      <c r="U2461" t="s">
        <v>257</v>
      </c>
      <c r="V2461" t="s">
        <v>191</v>
      </c>
      <c r="W2461" t="s">
        <v>87</v>
      </c>
      <c r="X2461" t="s">
        <v>706</v>
      </c>
      <c r="Y2461" t="s">
        <v>728</v>
      </c>
      <c r="AF2461" t="s">
        <v>401</v>
      </c>
      <c r="AJ2461">
        <v>1</v>
      </c>
      <c r="AM2461" t="str">
        <f t="shared" si="284"/>
        <v>Zone_Entry_Exit</v>
      </c>
      <c r="AN2461" t="str">
        <f t="shared" si="285"/>
        <v>Zone_Entry</v>
      </c>
      <c r="AP2461" t="str">
        <f t="shared" si="286"/>
        <v>Offensive</v>
      </c>
      <c r="BB2461" s="23"/>
      <c r="BD2461" s="21"/>
      <c r="BE2461" s="21"/>
      <c r="BF2461" s="21"/>
      <c r="BG2461" s="21"/>
      <c r="BH2461" s="21"/>
      <c r="BI2461" s="21"/>
    </row>
    <row r="2462" spans="1:61" x14ac:dyDescent="0.2">
      <c r="A2462">
        <v>1272</v>
      </c>
      <c r="B2462" t="s">
        <v>887</v>
      </c>
      <c r="C2462" t="str">
        <f t="shared" si="282"/>
        <v/>
      </c>
      <c r="D2462" t="str">
        <f t="shared" si="287"/>
        <v/>
      </c>
      <c r="H2462">
        <f t="shared" si="283"/>
        <v>3</v>
      </c>
      <c r="R2462">
        <v>84</v>
      </c>
      <c r="T2462" t="str">
        <f t="shared" si="281"/>
        <v>o</v>
      </c>
      <c r="AJ2462">
        <v>1</v>
      </c>
      <c r="AM2462" t="str">
        <f t="shared" si="284"/>
        <v>Zone_Entry_Exit</v>
      </c>
      <c r="AN2462" t="str">
        <f t="shared" si="285"/>
        <v>Zone_Entry</v>
      </c>
      <c r="AP2462" t="str">
        <f t="shared" si="286"/>
        <v>Defensive</v>
      </c>
      <c r="BB2462" s="23"/>
      <c r="BD2462" s="21"/>
      <c r="BE2462" s="21"/>
      <c r="BF2462" s="21"/>
      <c r="BG2462" s="21"/>
      <c r="BH2462" s="21"/>
      <c r="BI2462" s="21"/>
    </row>
    <row r="2463" spans="1:61" x14ac:dyDescent="0.2">
      <c r="A2463">
        <v>1272</v>
      </c>
      <c r="B2463" t="s">
        <v>887</v>
      </c>
      <c r="C2463" t="str">
        <f t="shared" si="282"/>
        <v/>
      </c>
      <c r="D2463" t="str">
        <f t="shared" si="287"/>
        <v/>
      </c>
      <c r="H2463">
        <f t="shared" si="283"/>
        <v>3</v>
      </c>
      <c r="R2463">
        <v>55</v>
      </c>
      <c r="T2463" t="str">
        <f t="shared" si="281"/>
        <v>o</v>
      </c>
      <c r="AJ2463">
        <v>1</v>
      </c>
      <c r="AM2463" t="str">
        <f t="shared" si="284"/>
        <v>Zone_Entry_Exit</v>
      </c>
      <c r="AN2463" t="str">
        <f t="shared" si="285"/>
        <v>Zone_Entry</v>
      </c>
      <c r="AP2463" t="str">
        <f t="shared" si="286"/>
        <v>Defensive</v>
      </c>
      <c r="BB2463" s="23"/>
      <c r="BD2463" s="21"/>
      <c r="BE2463" s="21"/>
      <c r="BF2463" s="21"/>
      <c r="BG2463" s="21"/>
      <c r="BH2463" s="21"/>
      <c r="BI2463" s="21"/>
    </row>
    <row r="2464" spans="1:61" x14ac:dyDescent="0.2">
      <c r="A2464">
        <v>1273</v>
      </c>
      <c r="B2464" t="s">
        <v>887</v>
      </c>
      <c r="C2464" t="str">
        <f t="shared" si="282"/>
        <v/>
      </c>
      <c r="D2464" t="str">
        <f t="shared" si="287"/>
        <v/>
      </c>
      <c r="H2464">
        <f t="shared" si="283"/>
        <v>3</v>
      </c>
      <c r="I2464" s="5" t="s">
        <v>733</v>
      </c>
      <c r="J2464" s="5" t="s">
        <v>773</v>
      </c>
      <c r="Q2464" t="s">
        <v>619</v>
      </c>
      <c r="R2464">
        <v>77</v>
      </c>
      <c r="S2464">
        <v>1</v>
      </c>
      <c r="T2464" t="str">
        <f t="shared" si="281"/>
        <v>e</v>
      </c>
      <c r="U2464" t="s">
        <v>8</v>
      </c>
      <c r="V2464" t="s">
        <v>189</v>
      </c>
      <c r="W2464" t="s">
        <v>69</v>
      </c>
      <c r="X2464" t="s">
        <v>706</v>
      </c>
      <c r="AF2464" t="s">
        <v>401</v>
      </c>
      <c r="AJ2464">
        <v>1</v>
      </c>
      <c r="AM2464" t="str">
        <f t="shared" si="284"/>
        <v>Pass</v>
      </c>
      <c r="AN2464" t="str">
        <f t="shared" si="285"/>
        <v>Pass_Completed</v>
      </c>
      <c r="AP2464" t="str">
        <f t="shared" si="286"/>
        <v>Offensive</v>
      </c>
      <c r="BB2464" s="23"/>
      <c r="BD2464" s="21"/>
      <c r="BE2464" s="21"/>
      <c r="BF2464" s="21"/>
      <c r="BG2464" s="21"/>
      <c r="BH2464" s="21"/>
      <c r="BI2464" s="21"/>
    </row>
    <row r="2465" spans="1:61" x14ac:dyDescent="0.2">
      <c r="A2465">
        <v>1273</v>
      </c>
      <c r="B2465" t="s">
        <v>887</v>
      </c>
      <c r="C2465" t="str">
        <f t="shared" si="282"/>
        <v/>
      </c>
      <c r="D2465" t="str">
        <f t="shared" si="287"/>
        <v/>
      </c>
      <c r="H2465">
        <f t="shared" si="283"/>
        <v>3</v>
      </c>
      <c r="R2465">
        <v>89</v>
      </c>
      <c r="S2465">
        <v>1</v>
      </c>
      <c r="T2465" t="str">
        <f t="shared" si="281"/>
        <v>e</v>
      </c>
      <c r="AM2465" t="str">
        <f t="shared" si="284"/>
        <v>Pass</v>
      </c>
      <c r="AN2465" t="str">
        <f t="shared" si="285"/>
        <v>Pass_Completed</v>
      </c>
      <c r="AP2465" t="str">
        <f t="shared" si="286"/>
        <v>Offensive</v>
      </c>
      <c r="BB2465" s="23"/>
      <c r="BD2465" s="21"/>
      <c r="BE2465" s="21"/>
      <c r="BF2465" s="21"/>
      <c r="BG2465" s="21"/>
      <c r="BH2465" s="21"/>
      <c r="BI2465" s="21"/>
    </row>
    <row r="2466" spans="1:61" x14ac:dyDescent="0.2">
      <c r="A2466">
        <v>1273</v>
      </c>
      <c r="B2466" t="s">
        <v>887</v>
      </c>
      <c r="C2466" t="str">
        <f t="shared" si="282"/>
        <v/>
      </c>
      <c r="D2466" t="str">
        <f t="shared" si="287"/>
        <v/>
      </c>
      <c r="H2466">
        <f t="shared" si="283"/>
        <v>3</v>
      </c>
      <c r="R2466">
        <v>55</v>
      </c>
      <c r="T2466" t="str">
        <f t="shared" si="281"/>
        <v>o</v>
      </c>
      <c r="AJ2466">
        <v>1</v>
      </c>
      <c r="AM2466" t="str">
        <f t="shared" si="284"/>
        <v>Pass</v>
      </c>
      <c r="AN2466" t="str">
        <f t="shared" si="285"/>
        <v>Pass_Completed</v>
      </c>
      <c r="AP2466" t="str">
        <f t="shared" si="286"/>
        <v>Defensive</v>
      </c>
      <c r="BB2466" s="23"/>
      <c r="BD2466" s="21"/>
      <c r="BE2466" s="21"/>
      <c r="BF2466" s="21"/>
      <c r="BG2466" s="21"/>
      <c r="BH2466" s="21"/>
      <c r="BI2466" s="21"/>
    </row>
    <row r="2467" spans="1:61" x14ac:dyDescent="0.2">
      <c r="A2467">
        <v>1274</v>
      </c>
      <c r="B2467" t="s">
        <v>887</v>
      </c>
      <c r="C2467" t="str">
        <f t="shared" si="282"/>
        <v/>
      </c>
      <c r="D2467" t="str">
        <f t="shared" si="287"/>
        <v/>
      </c>
      <c r="H2467">
        <f t="shared" si="283"/>
        <v>3</v>
      </c>
      <c r="I2467" s="5" t="s">
        <v>733</v>
      </c>
      <c r="J2467" s="5" t="s">
        <v>639</v>
      </c>
      <c r="Q2467" t="s">
        <v>619</v>
      </c>
      <c r="R2467">
        <v>89</v>
      </c>
      <c r="S2467">
        <v>1</v>
      </c>
      <c r="T2467" t="str">
        <f t="shared" si="281"/>
        <v>e</v>
      </c>
      <c r="U2467" t="s">
        <v>7</v>
      </c>
      <c r="V2467" t="s">
        <v>208</v>
      </c>
      <c r="W2467" t="s">
        <v>53</v>
      </c>
      <c r="X2467" t="s">
        <v>705</v>
      </c>
      <c r="AF2467" t="s">
        <v>401</v>
      </c>
      <c r="AJ2467">
        <v>1</v>
      </c>
      <c r="AM2467" t="str">
        <f t="shared" si="284"/>
        <v>Shot</v>
      </c>
      <c r="AN2467" t="str">
        <f t="shared" si="285"/>
        <v>Shot_Blocked</v>
      </c>
      <c r="AP2467" t="str">
        <f t="shared" si="286"/>
        <v>Offensive</v>
      </c>
      <c r="BB2467" s="23"/>
      <c r="BD2467" s="21"/>
      <c r="BE2467" s="21"/>
      <c r="BF2467" s="21"/>
      <c r="BG2467" s="21"/>
      <c r="BH2467" s="21"/>
      <c r="BI2467" s="21"/>
    </row>
    <row r="2468" spans="1:61" x14ac:dyDescent="0.2">
      <c r="A2468">
        <v>1274</v>
      </c>
      <c r="B2468" t="s">
        <v>887</v>
      </c>
      <c r="C2468" t="str">
        <f t="shared" si="282"/>
        <v/>
      </c>
      <c r="D2468" t="str">
        <f t="shared" si="287"/>
        <v/>
      </c>
      <c r="H2468">
        <f t="shared" si="283"/>
        <v>3</v>
      </c>
      <c r="R2468">
        <v>84</v>
      </c>
      <c r="T2468" t="str">
        <f t="shared" si="281"/>
        <v>o</v>
      </c>
      <c r="Y2468" t="s">
        <v>681</v>
      </c>
      <c r="AA2468" t="s">
        <v>706</v>
      </c>
      <c r="AM2468" t="str">
        <f t="shared" si="284"/>
        <v>Shot</v>
      </c>
      <c r="AN2468" t="str">
        <f t="shared" si="285"/>
        <v>Shot_Blocked</v>
      </c>
      <c r="AP2468" t="str">
        <f t="shared" si="286"/>
        <v>Defensive</v>
      </c>
      <c r="BB2468" s="23"/>
      <c r="BD2468" s="21"/>
      <c r="BE2468" s="21"/>
      <c r="BF2468" s="21"/>
      <c r="BG2468" s="21"/>
      <c r="BH2468" s="21"/>
      <c r="BI2468" s="21"/>
    </row>
    <row r="2469" spans="1:61" x14ac:dyDescent="0.2">
      <c r="A2469">
        <v>1275</v>
      </c>
      <c r="B2469" t="s">
        <v>887</v>
      </c>
      <c r="C2469" t="str">
        <f t="shared" si="282"/>
        <v/>
      </c>
      <c r="D2469" t="str">
        <f t="shared" si="287"/>
        <v/>
      </c>
      <c r="H2469">
        <f t="shared" si="283"/>
        <v>3</v>
      </c>
      <c r="I2469" s="5" t="s">
        <v>733</v>
      </c>
      <c r="J2469" s="5" t="s">
        <v>672</v>
      </c>
      <c r="K2469" s="5" t="s">
        <v>733</v>
      </c>
      <c r="L2469" s="7" t="s">
        <v>810</v>
      </c>
      <c r="Q2469" t="s">
        <v>619</v>
      </c>
      <c r="R2469">
        <v>77</v>
      </c>
      <c r="S2469">
        <v>1</v>
      </c>
      <c r="T2469" t="str">
        <f t="shared" si="281"/>
        <v>e</v>
      </c>
      <c r="U2469" t="s">
        <v>15</v>
      </c>
      <c r="V2469" t="s">
        <v>698</v>
      </c>
      <c r="X2469" t="s">
        <v>705</v>
      </c>
      <c r="Y2469" t="s">
        <v>739</v>
      </c>
      <c r="AA2469" t="s">
        <v>705</v>
      </c>
      <c r="AF2469" t="s">
        <v>401</v>
      </c>
      <c r="AJ2469">
        <v>1</v>
      </c>
      <c r="AM2469" t="str">
        <f t="shared" si="284"/>
        <v>Possession</v>
      </c>
      <c r="AN2469" t="str">
        <f t="shared" si="285"/>
        <v>PuckRecovery</v>
      </c>
      <c r="AP2469" t="str">
        <f t="shared" si="286"/>
        <v>Offensive</v>
      </c>
      <c r="BB2469" s="23"/>
      <c r="BD2469" s="21"/>
      <c r="BE2469" s="21"/>
      <c r="BF2469" s="21"/>
      <c r="BG2469" s="21"/>
      <c r="BH2469" s="21"/>
      <c r="BI2469" s="21"/>
    </row>
    <row r="2470" spans="1:61" x14ac:dyDescent="0.2">
      <c r="A2470">
        <v>1275</v>
      </c>
      <c r="B2470" t="s">
        <v>887</v>
      </c>
      <c r="C2470" t="str">
        <f t="shared" si="282"/>
        <v/>
      </c>
      <c r="D2470" t="str">
        <f t="shared" si="287"/>
        <v/>
      </c>
      <c r="H2470">
        <f t="shared" si="283"/>
        <v>3</v>
      </c>
      <c r="R2470">
        <v>84</v>
      </c>
      <c r="T2470" t="str">
        <f t="shared" si="281"/>
        <v>o</v>
      </c>
      <c r="Y2470" t="s">
        <v>783</v>
      </c>
      <c r="AA2470" t="s">
        <v>705</v>
      </c>
      <c r="AJ2470">
        <v>1</v>
      </c>
      <c r="AM2470" t="str">
        <f t="shared" si="284"/>
        <v>Possession</v>
      </c>
      <c r="AN2470" t="str">
        <f t="shared" si="285"/>
        <v>PuckRecovery</v>
      </c>
      <c r="AP2470" t="str">
        <f t="shared" si="286"/>
        <v>Defensive</v>
      </c>
      <c r="BB2470" s="23"/>
      <c r="BD2470" s="21"/>
      <c r="BE2470" s="21"/>
      <c r="BF2470" s="21"/>
      <c r="BG2470" s="21"/>
      <c r="BH2470" s="21"/>
      <c r="BI2470" s="21"/>
    </row>
    <row r="2471" spans="1:61" x14ac:dyDescent="0.2">
      <c r="A2471">
        <v>1276</v>
      </c>
      <c r="B2471" t="s">
        <v>887</v>
      </c>
      <c r="C2471" t="str">
        <f t="shared" si="282"/>
        <v/>
      </c>
      <c r="D2471" t="str">
        <f t="shared" si="287"/>
        <v/>
      </c>
      <c r="H2471">
        <f t="shared" si="283"/>
        <v>3</v>
      </c>
      <c r="I2471" s="5" t="s">
        <v>733</v>
      </c>
      <c r="J2471" s="5" t="s">
        <v>713</v>
      </c>
      <c r="Q2471" t="s">
        <v>619</v>
      </c>
      <c r="R2471">
        <v>77</v>
      </c>
      <c r="S2471">
        <v>1</v>
      </c>
      <c r="T2471" t="str">
        <f t="shared" si="281"/>
        <v>e</v>
      </c>
      <c r="U2471" t="s">
        <v>7</v>
      </c>
      <c r="V2471" t="s">
        <v>208</v>
      </c>
      <c r="W2471" t="s">
        <v>53</v>
      </c>
      <c r="X2471" t="s">
        <v>705</v>
      </c>
      <c r="AF2471" t="s">
        <v>401</v>
      </c>
      <c r="AJ2471">
        <v>1</v>
      </c>
      <c r="AM2471" t="str">
        <f t="shared" si="284"/>
        <v>Shot</v>
      </c>
      <c r="AN2471" t="str">
        <f t="shared" si="285"/>
        <v>Shot_Blocked</v>
      </c>
      <c r="AP2471" t="str">
        <f t="shared" si="286"/>
        <v>Offensive</v>
      </c>
      <c r="BB2471" s="23"/>
      <c r="BD2471" s="21"/>
      <c r="BE2471" s="21"/>
      <c r="BF2471" s="21"/>
      <c r="BG2471" s="21"/>
      <c r="BH2471" s="21"/>
      <c r="BI2471" s="21"/>
    </row>
    <row r="2472" spans="1:61" x14ac:dyDescent="0.2">
      <c r="A2472">
        <v>1276</v>
      </c>
      <c r="B2472" t="s">
        <v>887</v>
      </c>
      <c r="C2472" t="str">
        <f t="shared" si="282"/>
        <v/>
      </c>
      <c r="D2472" t="str">
        <f t="shared" si="287"/>
        <v/>
      </c>
      <c r="H2472">
        <f t="shared" si="283"/>
        <v>3</v>
      </c>
      <c r="R2472">
        <v>91</v>
      </c>
      <c r="T2472" t="str">
        <f t="shared" si="281"/>
        <v>o</v>
      </c>
      <c r="Y2472" t="s">
        <v>681</v>
      </c>
      <c r="AA2472" t="s">
        <v>706</v>
      </c>
      <c r="AJ2472">
        <v>1</v>
      </c>
      <c r="AM2472" t="str">
        <f t="shared" si="284"/>
        <v>Shot</v>
      </c>
      <c r="AN2472" t="str">
        <f t="shared" si="285"/>
        <v>Shot_Blocked</v>
      </c>
      <c r="AP2472" t="str">
        <f t="shared" si="286"/>
        <v>Defensive</v>
      </c>
      <c r="BB2472" s="23"/>
      <c r="BD2472" s="21"/>
      <c r="BE2472" s="21"/>
      <c r="BF2472" s="21"/>
      <c r="BG2472" s="21"/>
      <c r="BH2472" s="21"/>
      <c r="BI2472" s="21"/>
    </row>
    <row r="2473" spans="1:61" x14ac:dyDescent="0.2">
      <c r="A2473">
        <v>1277</v>
      </c>
      <c r="B2473" t="s">
        <v>887</v>
      </c>
      <c r="C2473" t="str">
        <f t="shared" si="282"/>
        <v/>
      </c>
      <c r="D2473" t="str">
        <f t="shared" si="287"/>
        <v/>
      </c>
      <c r="H2473">
        <f t="shared" si="283"/>
        <v>3</v>
      </c>
      <c r="I2473" s="5" t="s">
        <v>733</v>
      </c>
      <c r="J2473" s="5" t="s">
        <v>778</v>
      </c>
      <c r="K2473" s="5" t="s">
        <v>733</v>
      </c>
      <c r="L2473" s="7" t="s">
        <v>721</v>
      </c>
      <c r="Q2473" t="s">
        <v>619</v>
      </c>
      <c r="R2473">
        <v>77</v>
      </c>
      <c r="S2473">
        <v>1</v>
      </c>
      <c r="T2473" t="str">
        <f t="shared" si="281"/>
        <v>e</v>
      </c>
      <c r="U2473" t="s">
        <v>15</v>
      </c>
      <c r="V2473" t="s">
        <v>698</v>
      </c>
      <c r="X2473" t="s">
        <v>706</v>
      </c>
      <c r="Y2473" t="s">
        <v>739</v>
      </c>
      <c r="AA2473" t="s">
        <v>706</v>
      </c>
      <c r="AF2473" t="s">
        <v>401</v>
      </c>
      <c r="AJ2473">
        <v>1</v>
      </c>
      <c r="AM2473" t="str">
        <f t="shared" si="284"/>
        <v>Possession</v>
      </c>
      <c r="AN2473" t="str">
        <f t="shared" si="285"/>
        <v>PuckRecovery</v>
      </c>
      <c r="AP2473" t="str">
        <f t="shared" si="286"/>
        <v>Offensive</v>
      </c>
      <c r="BB2473" s="23"/>
      <c r="BD2473" s="21"/>
      <c r="BE2473" s="21"/>
      <c r="BF2473" s="21"/>
      <c r="BG2473" s="21"/>
      <c r="BH2473" s="21"/>
      <c r="BI2473" s="21"/>
    </row>
    <row r="2474" spans="1:61" x14ac:dyDescent="0.2">
      <c r="A2474">
        <v>1277</v>
      </c>
      <c r="B2474" t="s">
        <v>887</v>
      </c>
      <c r="C2474" t="str">
        <f t="shared" si="282"/>
        <v/>
      </c>
      <c r="D2474" t="str">
        <f t="shared" si="287"/>
        <v/>
      </c>
      <c r="H2474">
        <f t="shared" si="283"/>
        <v>3</v>
      </c>
      <c r="R2474">
        <v>91</v>
      </c>
      <c r="T2474" t="str">
        <f t="shared" si="281"/>
        <v>o</v>
      </c>
      <c r="Y2474" t="s">
        <v>783</v>
      </c>
      <c r="AA2474" t="s">
        <v>705</v>
      </c>
      <c r="AJ2474">
        <v>1</v>
      </c>
      <c r="AM2474" t="str">
        <f t="shared" si="284"/>
        <v>Possession</v>
      </c>
      <c r="AN2474" t="str">
        <f t="shared" si="285"/>
        <v>PuckRecovery</v>
      </c>
      <c r="AP2474" t="str">
        <f t="shared" si="286"/>
        <v>Defensive</v>
      </c>
      <c r="BB2474" s="23"/>
      <c r="BD2474" s="21"/>
      <c r="BE2474" s="21"/>
      <c r="BF2474" s="21"/>
      <c r="BG2474" s="21"/>
      <c r="BH2474" s="21"/>
      <c r="BI2474" s="21"/>
    </row>
    <row r="2475" spans="1:61" x14ac:dyDescent="0.2">
      <c r="A2475">
        <v>1277</v>
      </c>
      <c r="B2475" t="s">
        <v>887</v>
      </c>
      <c r="C2475" t="str">
        <f t="shared" si="282"/>
        <v/>
      </c>
      <c r="D2475" t="str">
        <f t="shared" si="287"/>
        <v/>
      </c>
      <c r="H2475">
        <f t="shared" si="283"/>
        <v>3</v>
      </c>
      <c r="R2475">
        <v>14</v>
      </c>
      <c r="T2475" t="str">
        <f t="shared" si="281"/>
        <v>o</v>
      </c>
      <c r="Y2475" t="s">
        <v>783</v>
      </c>
      <c r="AA2475" t="s">
        <v>705</v>
      </c>
      <c r="AJ2475">
        <v>1</v>
      </c>
      <c r="AM2475" t="str">
        <f t="shared" si="284"/>
        <v>Possession</v>
      </c>
      <c r="AN2475" t="str">
        <f t="shared" si="285"/>
        <v>PuckRecovery</v>
      </c>
      <c r="AP2475" t="str">
        <f t="shared" si="286"/>
        <v>Defensive</v>
      </c>
      <c r="BB2475" s="23"/>
      <c r="BD2475" s="21"/>
      <c r="BE2475" s="21"/>
      <c r="BF2475" s="21"/>
      <c r="BG2475" s="21"/>
      <c r="BH2475" s="21"/>
      <c r="BI2475" s="21"/>
    </row>
    <row r="2476" spans="1:61" x14ac:dyDescent="0.2">
      <c r="A2476">
        <v>1278</v>
      </c>
      <c r="C2476" t="str">
        <f t="shared" si="282"/>
        <v/>
      </c>
      <c r="D2476">
        <f t="shared" si="287"/>
        <v>0</v>
      </c>
      <c r="H2476">
        <f t="shared" si="283"/>
        <v>3</v>
      </c>
      <c r="I2476" s="5" t="s">
        <v>733</v>
      </c>
      <c r="J2476" s="5" t="s">
        <v>721</v>
      </c>
      <c r="K2476" s="5" t="s">
        <v>733</v>
      </c>
      <c r="L2476" s="7" t="s">
        <v>812</v>
      </c>
      <c r="Q2476" t="s">
        <v>619</v>
      </c>
      <c r="R2476">
        <v>77</v>
      </c>
      <c r="S2476">
        <v>1</v>
      </c>
      <c r="T2476" t="str">
        <f t="shared" si="281"/>
        <v>e</v>
      </c>
      <c r="U2476" t="s">
        <v>15</v>
      </c>
      <c r="Y2476" t="s">
        <v>677</v>
      </c>
      <c r="AJ2476">
        <v>1</v>
      </c>
      <c r="AM2476" t="str">
        <f t="shared" si="284"/>
        <v>Possession</v>
      </c>
      <c r="AN2476" t="str">
        <f t="shared" si="285"/>
        <v/>
      </c>
      <c r="AP2476" t="str">
        <f t="shared" si="286"/>
        <v>Offensive</v>
      </c>
      <c r="BB2476" s="23"/>
      <c r="BD2476" s="21"/>
      <c r="BE2476" s="21"/>
      <c r="BF2476" s="21"/>
      <c r="BG2476" s="21"/>
      <c r="BH2476" s="21"/>
      <c r="BI2476" s="21"/>
    </row>
    <row r="2477" spans="1:61" x14ac:dyDescent="0.2">
      <c r="A2477">
        <v>1278</v>
      </c>
      <c r="B2477" t="s">
        <v>887</v>
      </c>
      <c r="C2477" t="str">
        <f t="shared" si="282"/>
        <v/>
      </c>
      <c r="D2477" t="str">
        <f t="shared" si="287"/>
        <v/>
      </c>
      <c r="H2477">
        <f t="shared" si="283"/>
        <v>3</v>
      </c>
      <c r="R2477">
        <v>14</v>
      </c>
      <c r="T2477" t="str">
        <f t="shared" si="281"/>
        <v>o</v>
      </c>
      <c r="AJ2477">
        <v>1</v>
      </c>
      <c r="AM2477" t="str">
        <f t="shared" si="284"/>
        <v>Possession</v>
      </c>
      <c r="AN2477" t="str">
        <f t="shared" si="285"/>
        <v/>
      </c>
      <c r="AP2477" t="str">
        <f t="shared" si="286"/>
        <v>Defensive</v>
      </c>
      <c r="BB2477" s="23"/>
      <c r="BD2477" s="21"/>
      <c r="BE2477" s="21"/>
      <c r="BF2477" s="21"/>
      <c r="BG2477" s="21"/>
      <c r="BH2477" s="21"/>
      <c r="BI2477" s="21"/>
    </row>
    <row r="2478" spans="1:61" x14ac:dyDescent="0.2">
      <c r="A2478">
        <v>1278</v>
      </c>
      <c r="B2478" t="s">
        <v>887</v>
      </c>
      <c r="C2478" t="str">
        <f t="shared" si="282"/>
        <v/>
      </c>
      <c r="D2478" t="str">
        <f t="shared" si="287"/>
        <v/>
      </c>
      <c r="H2478">
        <f t="shared" si="283"/>
        <v>3</v>
      </c>
      <c r="R2478">
        <v>42</v>
      </c>
      <c r="T2478" t="str">
        <f t="shared" si="281"/>
        <v>o</v>
      </c>
      <c r="AJ2478">
        <v>1</v>
      </c>
      <c r="AM2478" t="str">
        <f t="shared" si="284"/>
        <v>Possession</v>
      </c>
      <c r="AN2478" t="str">
        <f t="shared" si="285"/>
        <v/>
      </c>
      <c r="AP2478" t="str">
        <f t="shared" si="286"/>
        <v>Defensive</v>
      </c>
      <c r="BB2478" s="23"/>
      <c r="BD2478" s="21"/>
      <c r="BE2478" s="21"/>
      <c r="BF2478" s="21"/>
      <c r="BG2478" s="21"/>
      <c r="BH2478" s="21"/>
      <c r="BI2478" s="21"/>
    </row>
    <row r="2479" spans="1:61" x14ac:dyDescent="0.2">
      <c r="A2479">
        <v>1279</v>
      </c>
      <c r="B2479">
        <v>195</v>
      </c>
      <c r="C2479">
        <f t="shared" si="282"/>
        <v>9195</v>
      </c>
      <c r="D2479">
        <f t="shared" si="287"/>
        <v>9195</v>
      </c>
      <c r="H2479">
        <f t="shared" si="283"/>
        <v>3</v>
      </c>
      <c r="I2479" s="5" t="s">
        <v>733</v>
      </c>
      <c r="J2479" s="5" t="s">
        <v>812</v>
      </c>
      <c r="Q2479" t="s">
        <v>619</v>
      </c>
      <c r="R2479">
        <v>77</v>
      </c>
      <c r="S2479">
        <v>1</v>
      </c>
      <c r="T2479" t="str">
        <f t="shared" si="281"/>
        <v>e</v>
      </c>
      <c r="U2479" t="s">
        <v>7</v>
      </c>
      <c r="V2479" t="s">
        <v>222</v>
      </c>
      <c r="W2479" t="s">
        <v>53</v>
      </c>
      <c r="X2479" t="s">
        <v>706</v>
      </c>
      <c r="AF2479" t="s">
        <v>401</v>
      </c>
      <c r="AJ2479">
        <v>1</v>
      </c>
      <c r="AM2479" t="str">
        <f t="shared" si="284"/>
        <v>Shot</v>
      </c>
      <c r="AN2479" t="str">
        <f t="shared" si="285"/>
        <v>Shot_OnNetSaved</v>
      </c>
      <c r="AP2479" t="str">
        <f t="shared" si="286"/>
        <v>Offensive</v>
      </c>
      <c r="BB2479" s="23"/>
      <c r="BD2479" s="21"/>
      <c r="BE2479" s="21"/>
      <c r="BF2479" s="21"/>
      <c r="BG2479" s="21"/>
      <c r="BH2479" s="21"/>
      <c r="BI2479" s="21"/>
    </row>
    <row r="2480" spans="1:61" x14ac:dyDescent="0.2">
      <c r="A2480">
        <v>1279</v>
      </c>
      <c r="B2480">
        <v>195</v>
      </c>
      <c r="C2480">
        <f t="shared" si="282"/>
        <v>9195</v>
      </c>
      <c r="D2480">
        <f t="shared" si="287"/>
        <v>9195</v>
      </c>
      <c r="H2480">
        <f t="shared" si="283"/>
        <v>3</v>
      </c>
      <c r="R2480">
        <v>39</v>
      </c>
      <c r="T2480" t="str">
        <f t="shared" si="281"/>
        <v>o</v>
      </c>
      <c r="AM2480" t="str">
        <f t="shared" si="284"/>
        <v>Shot</v>
      </c>
      <c r="AN2480" t="str">
        <f t="shared" si="285"/>
        <v>Shot_OnNetSaved</v>
      </c>
      <c r="AP2480" t="str">
        <f t="shared" si="286"/>
        <v>Defensive</v>
      </c>
      <c r="BB2480" s="23"/>
      <c r="BD2480" s="21"/>
      <c r="BE2480" s="21"/>
      <c r="BF2480" s="21"/>
      <c r="BG2480" s="21"/>
      <c r="BH2480" s="21"/>
      <c r="BI2480" s="21"/>
    </row>
    <row r="2481" spans="1:61" x14ac:dyDescent="0.2">
      <c r="A2481">
        <v>1279</v>
      </c>
      <c r="B2481">
        <v>195</v>
      </c>
      <c r="C2481">
        <f t="shared" si="282"/>
        <v>9195</v>
      </c>
      <c r="D2481">
        <f t="shared" si="287"/>
        <v>9195</v>
      </c>
      <c r="H2481">
        <f t="shared" si="283"/>
        <v>3</v>
      </c>
      <c r="R2481">
        <v>91</v>
      </c>
      <c r="T2481" t="str">
        <f t="shared" si="281"/>
        <v>o</v>
      </c>
      <c r="Y2481" t="s">
        <v>715</v>
      </c>
      <c r="AJ2481">
        <v>1</v>
      </c>
      <c r="AM2481" t="str">
        <f t="shared" si="284"/>
        <v>Shot</v>
      </c>
      <c r="AN2481" t="str">
        <f t="shared" si="285"/>
        <v>Shot_OnNetSaved</v>
      </c>
      <c r="AP2481" t="str">
        <f t="shared" si="286"/>
        <v>Defensive</v>
      </c>
      <c r="BB2481" s="23"/>
      <c r="BD2481" s="21"/>
      <c r="BE2481" s="21"/>
      <c r="BF2481" s="21"/>
      <c r="BG2481" s="21"/>
      <c r="BH2481" s="21"/>
      <c r="BI2481" s="21"/>
    </row>
    <row r="2482" spans="1:61" x14ac:dyDescent="0.2">
      <c r="A2482">
        <v>1279</v>
      </c>
      <c r="B2482">
        <v>195</v>
      </c>
      <c r="C2482">
        <f t="shared" si="282"/>
        <v>9195</v>
      </c>
      <c r="D2482">
        <f t="shared" si="287"/>
        <v>9195</v>
      </c>
      <c r="H2482">
        <f t="shared" si="283"/>
        <v>3</v>
      </c>
      <c r="R2482">
        <v>14</v>
      </c>
      <c r="T2482" t="str">
        <f t="shared" si="281"/>
        <v>o</v>
      </c>
      <c r="Y2482" t="s">
        <v>715</v>
      </c>
      <c r="AJ2482">
        <v>1</v>
      </c>
      <c r="AM2482" t="str">
        <f t="shared" si="284"/>
        <v>Shot</v>
      </c>
      <c r="AN2482" t="str">
        <f t="shared" si="285"/>
        <v>Shot_OnNetSaved</v>
      </c>
      <c r="AP2482" t="str">
        <f t="shared" si="286"/>
        <v>Defensive</v>
      </c>
      <c r="BB2482" s="23"/>
      <c r="BD2482" s="21"/>
      <c r="BE2482" s="21"/>
      <c r="BF2482" s="21"/>
      <c r="BG2482" s="21"/>
      <c r="BH2482" s="21"/>
      <c r="BI2482" s="21"/>
    </row>
    <row r="2483" spans="1:61" x14ac:dyDescent="0.2">
      <c r="A2483">
        <v>1280</v>
      </c>
      <c r="B2483">
        <v>195</v>
      </c>
      <c r="C2483">
        <f t="shared" si="282"/>
        <v>9195</v>
      </c>
      <c r="D2483">
        <f t="shared" si="287"/>
        <v>9195</v>
      </c>
      <c r="H2483">
        <f t="shared" si="283"/>
        <v>3</v>
      </c>
      <c r="I2483" s="5" t="s">
        <v>733</v>
      </c>
      <c r="J2483" s="5" t="s">
        <v>812</v>
      </c>
      <c r="Q2483" t="s">
        <v>620</v>
      </c>
      <c r="R2483">
        <v>39</v>
      </c>
      <c r="S2483">
        <v>1</v>
      </c>
      <c r="T2483" t="str">
        <f t="shared" si="281"/>
        <v>e</v>
      </c>
      <c r="U2483" t="s">
        <v>17</v>
      </c>
      <c r="V2483" t="s">
        <v>206</v>
      </c>
      <c r="W2483" t="s">
        <v>102</v>
      </c>
      <c r="AF2483" t="s">
        <v>623</v>
      </c>
      <c r="AM2483" t="str">
        <f t="shared" si="284"/>
        <v>Save</v>
      </c>
      <c r="AN2483" t="str">
        <f t="shared" si="285"/>
        <v>Save_Freeze</v>
      </c>
      <c r="AP2483" t="str">
        <f t="shared" si="286"/>
        <v>Defensive</v>
      </c>
      <c r="BB2483" s="23"/>
      <c r="BD2483" s="21"/>
      <c r="BE2483" s="21"/>
      <c r="BF2483" s="21"/>
      <c r="BG2483" s="21"/>
      <c r="BH2483" s="21"/>
      <c r="BI2483" s="21"/>
    </row>
    <row r="2484" spans="1:61" x14ac:dyDescent="0.2">
      <c r="A2484">
        <v>1280</v>
      </c>
      <c r="B2484">
        <v>195</v>
      </c>
      <c r="C2484">
        <f t="shared" si="282"/>
        <v>9195</v>
      </c>
      <c r="D2484">
        <f t="shared" si="287"/>
        <v>9195</v>
      </c>
      <c r="H2484">
        <f t="shared" si="283"/>
        <v>3</v>
      </c>
      <c r="R2484">
        <v>91</v>
      </c>
      <c r="S2484">
        <v>1</v>
      </c>
      <c r="T2484" t="str">
        <f t="shared" si="281"/>
        <v>e</v>
      </c>
      <c r="Y2484" t="s">
        <v>715</v>
      </c>
      <c r="AJ2484">
        <v>1</v>
      </c>
      <c r="AM2484" t="str">
        <f t="shared" si="284"/>
        <v>Save</v>
      </c>
      <c r="AN2484" t="str">
        <f t="shared" si="285"/>
        <v>Save_Freeze</v>
      </c>
      <c r="AP2484" t="str">
        <f t="shared" si="286"/>
        <v>Defensive</v>
      </c>
      <c r="BB2484" s="23"/>
      <c r="BD2484" s="21"/>
      <c r="BE2484" s="21"/>
      <c r="BF2484" s="21"/>
      <c r="BG2484" s="21"/>
      <c r="BH2484" s="21"/>
      <c r="BI2484" s="21"/>
    </row>
    <row r="2485" spans="1:61" x14ac:dyDescent="0.2">
      <c r="A2485">
        <v>1280</v>
      </c>
      <c r="B2485">
        <v>195</v>
      </c>
      <c r="C2485">
        <f t="shared" si="282"/>
        <v>9195</v>
      </c>
      <c r="D2485">
        <f t="shared" si="287"/>
        <v>9195</v>
      </c>
      <c r="H2485">
        <f t="shared" si="283"/>
        <v>3</v>
      </c>
      <c r="R2485">
        <v>14</v>
      </c>
      <c r="S2485">
        <v>1</v>
      </c>
      <c r="T2485" t="str">
        <f t="shared" si="281"/>
        <v>e</v>
      </c>
      <c r="Y2485" t="s">
        <v>715</v>
      </c>
      <c r="AJ2485">
        <v>1</v>
      </c>
      <c r="AM2485" t="str">
        <f t="shared" si="284"/>
        <v>Save</v>
      </c>
      <c r="AN2485" t="str">
        <f t="shared" si="285"/>
        <v>Save_Freeze</v>
      </c>
      <c r="AP2485" t="str">
        <f t="shared" si="286"/>
        <v>Defensive</v>
      </c>
      <c r="BB2485" s="23"/>
      <c r="BD2485" s="21"/>
      <c r="BE2485" s="21"/>
      <c r="BF2485" s="21"/>
      <c r="BG2485" s="21"/>
      <c r="BH2485" s="21"/>
      <c r="BI2485" s="21"/>
    </row>
    <row r="2486" spans="1:61" x14ac:dyDescent="0.2">
      <c r="A2486">
        <v>1280</v>
      </c>
      <c r="B2486">
        <v>195</v>
      </c>
      <c r="C2486">
        <f t="shared" si="282"/>
        <v>9195</v>
      </c>
      <c r="D2486">
        <f t="shared" si="287"/>
        <v>9195</v>
      </c>
      <c r="H2486">
        <f t="shared" si="283"/>
        <v>3</v>
      </c>
      <c r="R2486">
        <v>77</v>
      </c>
      <c r="T2486" t="str">
        <f t="shared" si="281"/>
        <v>o</v>
      </c>
      <c r="AJ2486">
        <v>1</v>
      </c>
      <c r="AM2486" t="str">
        <f t="shared" si="284"/>
        <v>Save</v>
      </c>
      <c r="AN2486" t="str">
        <f t="shared" si="285"/>
        <v>Save_Freeze</v>
      </c>
      <c r="AP2486" t="str">
        <f t="shared" si="286"/>
        <v>Offensive</v>
      </c>
      <c r="BB2486" s="23"/>
      <c r="BD2486" s="21"/>
      <c r="BE2486" s="21"/>
      <c r="BF2486" s="21"/>
      <c r="BG2486" s="21"/>
      <c r="BH2486" s="21"/>
      <c r="BI2486" s="21"/>
    </row>
    <row r="2487" spans="1:61" x14ac:dyDescent="0.2">
      <c r="A2487">
        <v>1281</v>
      </c>
      <c r="B2487">
        <v>195</v>
      </c>
      <c r="C2487">
        <f t="shared" si="282"/>
        <v>9195</v>
      </c>
      <c r="D2487">
        <f t="shared" si="287"/>
        <v>9195</v>
      </c>
      <c r="H2487">
        <f t="shared" si="283"/>
        <v>3</v>
      </c>
      <c r="I2487" s="5" t="s">
        <v>733</v>
      </c>
      <c r="J2487" s="5" t="s">
        <v>780</v>
      </c>
      <c r="Q2487" t="s">
        <v>620</v>
      </c>
      <c r="R2487">
        <v>39</v>
      </c>
      <c r="S2487">
        <v>1</v>
      </c>
      <c r="T2487" t="str">
        <f t="shared" si="281"/>
        <v>e</v>
      </c>
      <c r="U2487" t="s">
        <v>13</v>
      </c>
      <c r="V2487" t="s">
        <v>204</v>
      </c>
      <c r="W2487" t="s">
        <v>110</v>
      </c>
      <c r="AF2487" t="s">
        <v>623</v>
      </c>
      <c r="AM2487" t="str">
        <f t="shared" si="284"/>
        <v>Stoppage</v>
      </c>
      <c r="AN2487" t="str">
        <f t="shared" si="285"/>
        <v>Stoppage_Play</v>
      </c>
      <c r="AP2487" t="str">
        <f t="shared" si="286"/>
        <v/>
      </c>
      <c r="BB2487" s="23"/>
      <c r="BD2487" s="21"/>
      <c r="BE2487" s="21"/>
      <c r="BF2487" s="21"/>
      <c r="BG2487" s="21"/>
      <c r="BH2487" s="21"/>
      <c r="BI2487" s="21"/>
    </row>
    <row r="2488" spans="1:61" x14ac:dyDescent="0.2">
      <c r="A2488">
        <v>1282</v>
      </c>
      <c r="B2488">
        <v>195</v>
      </c>
      <c r="C2488">
        <f t="shared" si="282"/>
        <v>9195</v>
      </c>
      <c r="D2488">
        <f t="shared" si="287"/>
        <v>9195</v>
      </c>
      <c r="H2488">
        <f t="shared" si="283"/>
        <v>3</v>
      </c>
      <c r="I2488" s="5" t="s">
        <v>733</v>
      </c>
      <c r="J2488" s="5" t="s">
        <v>780</v>
      </c>
      <c r="K2488" s="5" t="s">
        <v>733</v>
      </c>
      <c r="L2488" s="7" t="s">
        <v>738</v>
      </c>
      <c r="Q2488" t="s">
        <v>620</v>
      </c>
      <c r="R2488">
        <v>39</v>
      </c>
      <c r="S2488">
        <v>1</v>
      </c>
      <c r="T2488" t="str">
        <f t="shared" si="281"/>
        <v>e</v>
      </c>
      <c r="U2488" t="s">
        <v>262</v>
      </c>
      <c r="AF2488" t="s">
        <v>623</v>
      </c>
      <c r="AM2488" t="str">
        <f t="shared" si="284"/>
        <v>DeadIce</v>
      </c>
      <c r="AN2488" t="str">
        <f t="shared" si="285"/>
        <v/>
      </c>
      <c r="AP2488" t="str">
        <f t="shared" si="286"/>
        <v/>
      </c>
      <c r="BB2488" s="23"/>
      <c r="BD2488" s="21"/>
      <c r="BE2488" s="21"/>
      <c r="BF2488" s="21"/>
      <c r="BG2488" s="21"/>
      <c r="BH2488" s="21"/>
      <c r="BI2488" s="21"/>
    </row>
    <row r="2489" spans="1:61" x14ac:dyDescent="0.2">
      <c r="A2489">
        <v>1283</v>
      </c>
      <c r="B2489" t="s">
        <v>887</v>
      </c>
      <c r="C2489" t="str">
        <f t="shared" si="282"/>
        <v/>
      </c>
      <c r="D2489" t="str">
        <f t="shared" si="287"/>
        <v/>
      </c>
      <c r="H2489">
        <f t="shared" si="283"/>
        <v>3</v>
      </c>
      <c r="I2489" s="5" t="s">
        <v>733</v>
      </c>
      <c r="J2489" s="5" t="s">
        <v>738</v>
      </c>
      <c r="Q2489" t="s">
        <v>620</v>
      </c>
      <c r="R2489">
        <v>42</v>
      </c>
      <c r="S2489">
        <v>1</v>
      </c>
      <c r="T2489" t="str">
        <f t="shared" si="281"/>
        <v>e</v>
      </c>
      <c r="U2489" t="s">
        <v>6</v>
      </c>
      <c r="V2489" t="s">
        <v>255</v>
      </c>
      <c r="AF2489" t="s">
        <v>623</v>
      </c>
      <c r="AM2489" t="str">
        <f t="shared" si="284"/>
        <v>Faceoff</v>
      </c>
      <c r="AN2489" t="str">
        <f t="shared" si="285"/>
        <v>Faceoff_AfterStoppage</v>
      </c>
      <c r="AP2489" t="str">
        <f t="shared" si="286"/>
        <v>Offensive</v>
      </c>
      <c r="BB2489" s="23"/>
      <c r="BD2489" s="21"/>
      <c r="BE2489" s="21"/>
      <c r="BF2489" s="21"/>
      <c r="BG2489" s="21"/>
      <c r="BH2489" s="21"/>
      <c r="BI2489" s="21"/>
    </row>
    <row r="2490" spans="1:61" x14ac:dyDescent="0.2">
      <c r="A2490">
        <v>1283</v>
      </c>
      <c r="B2490" t="s">
        <v>887</v>
      </c>
      <c r="C2490" t="str">
        <f t="shared" si="282"/>
        <v/>
      </c>
      <c r="D2490" t="str">
        <f t="shared" si="287"/>
        <v/>
      </c>
      <c r="H2490">
        <f t="shared" si="283"/>
        <v>3</v>
      </c>
      <c r="R2490">
        <v>14</v>
      </c>
      <c r="S2490">
        <v>1</v>
      </c>
      <c r="T2490" t="str">
        <f t="shared" si="281"/>
        <v>e</v>
      </c>
      <c r="AM2490" t="str">
        <f t="shared" si="284"/>
        <v>Faceoff</v>
      </c>
      <c r="AN2490" t="str">
        <f t="shared" si="285"/>
        <v>Faceoff_AfterStoppage</v>
      </c>
      <c r="AP2490" t="str">
        <f t="shared" si="286"/>
        <v>Offensive</v>
      </c>
      <c r="BB2490" s="23"/>
      <c r="BD2490" s="21"/>
      <c r="BE2490" s="21"/>
      <c r="BF2490" s="21"/>
      <c r="BG2490" s="21"/>
      <c r="BH2490" s="21"/>
      <c r="BI2490" s="21"/>
    </row>
    <row r="2491" spans="1:61" x14ac:dyDescent="0.2">
      <c r="A2491">
        <v>1283</v>
      </c>
      <c r="B2491" t="s">
        <v>887</v>
      </c>
      <c r="C2491" t="str">
        <f t="shared" si="282"/>
        <v/>
      </c>
      <c r="D2491" t="str">
        <f t="shared" si="287"/>
        <v/>
      </c>
      <c r="H2491">
        <f t="shared" si="283"/>
        <v>3</v>
      </c>
      <c r="R2491">
        <v>77</v>
      </c>
      <c r="T2491" t="str">
        <f t="shared" si="281"/>
        <v>o</v>
      </c>
      <c r="AM2491" t="str">
        <f t="shared" si="284"/>
        <v>Faceoff</v>
      </c>
      <c r="AN2491" t="str">
        <f t="shared" si="285"/>
        <v>Faceoff_AfterStoppage</v>
      </c>
      <c r="AP2491" t="str">
        <f t="shared" si="286"/>
        <v>Defensive</v>
      </c>
      <c r="BB2491" s="23"/>
      <c r="BD2491" s="21"/>
      <c r="BE2491" s="21"/>
      <c r="BF2491" s="21"/>
      <c r="BG2491" s="21"/>
      <c r="BH2491" s="21"/>
      <c r="BI2491" s="21"/>
    </row>
    <row r="2492" spans="1:61" x14ac:dyDescent="0.2">
      <c r="A2492">
        <v>1284</v>
      </c>
      <c r="B2492" t="s">
        <v>887</v>
      </c>
      <c r="C2492" t="str">
        <f t="shared" si="282"/>
        <v/>
      </c>
      <c r="D2492" t="str">
        <f t="shared" si="287"/>
        <v/>
      </c>
      <c r="H2492">
        <f t="shared" si="283"/>
        <v>3</v>
      </c>
      <c r="I2492" s="5" t="s">
        <v>733</v>
      </c>
      <c r="J2492" s="5" t="s">
        <v>740</v>
      </c>
      <c r="Q2492" t="s">
        <v>620</v>
      </c>
      <c r="R2492">
        <v>14</v>
      </c>
      <c r="S2492">
        <v>1</v>
      </c>
      <c r="T2492" t="str">
        <f t="shared" si="281"/>
        <v>e</v>
      </c>
      <c r="U2492" t="s">
        <v>10</v>
      </c>
      <c r="V2492" t="s">
        <v>190</v>
      </c>
      <c r="W2492" t="s">
        <v>398</v>
      </c>
      <c r="X2492" t="s">
        <v>705</v>
      </c>
      <c r="Y2492" t="s">
        <v>746</v>
      </c>
      <c r="AA2492" t="s">
        <v>705</v>
      </c>
      <c r="AF2492" t="s">
        <v>623</v>
      </c>
      <c r="AJ2492">
        <v>1</v>
      </c>
      <c r="AM2492" t="str">
        <f t="shared" si="284"/>
        <v>Turnover</v>
      </c>
      <c r="AN2492" t="str">
        <f t="shared" si="285"/>
        <v>Turnover_Giveaway</v>
      </c>
      <c r="AP2492" t="str">
        <f t="shared" si="286"/>
        <v>Offensive</v>
      </c>
      <c r="BB2492" s="23"/>
      <c r="BD2492" s="21"/>
      <c r="BE2492" s="21"/>
      <c r="BF2492" s="21"/>
      <c r="BG2492" s="21"/>
      <c r="BH2492" s="21"/>
      <c r="BI2492" s="21"/>
    </row>
    <row r="2493" spans="1:61" x14ac:dyDescent="0.2">
      <c r="A2493">
        <v>1284</v>
      </c>
      <c r="B2493" t="s">
        <v>887</v>
      </c>
      <c r="C2493" t="str">
        <f t="shared" si="282"/>
        <v/>
      </c>
      <c r="D2493" t="str">
        <f t="shared" si="287"/>
        <v/>
      </c>
      <c r="H2493">
        <f t="shared" si="283"/>
        <v>3</v>
      </c>
      <c r="R2493">
        <v>13</v>
      </c>
      <c r="T2493" t="str">
        <f t="shared" si="281"/>
        <v>o</v>
      </c>
      <c r="AJ2493">
        <v>1</v>
      </c>
      <c r="AM2493" t="str">
        <f t="shared" si="284"/>
        <v>Turnover</v>
      </c>
      <c r="AN2493" t="str">
        <f t="shared" si="285"/>
        <v>Turnover_Giveaway</v>
      </c>
      <c r="AP2493" t="str">
        <f t="shared" si="286"/>
        <v>Defensive</v>
      </c>
      <c r="BB2493" s="23"/>
      <c r="BD2493" s="21"/>
      <c r="BE2493" s="21"/>
      <c r="BF2493" s="21"/>
      <c r="BG2493" s="21"/>
      <c r="BH2493" s="21"/>
      <c r="BI2493" s="21"/>
    </row>
    <row r="2494" spans="1:61" x14ac:dyDescent="0.2">
      <c r="A2494">
        <v>1285</v>
      </c>
      <c r="B2494">
        <v>196</v>
      </c>
      <c r="C2494">
        <f t="shared" si="282"/>
        <v>9196</v>
      </c>
      <c r="D2494">
        <f t="shared" si="287"/>
        <v>9196</v>
      </c>
      <c r="H2494">
        <f t="shared" si="283"/>
        <v>3</v>
      </c>
      <c r="I2494" s="5" t="s">
        <v>733</v>
      </c>
      <c r="J2494" s="5" t="s">
        <v>741</v>
      </c>
      <c r="Q2494" t="s">
        <v>619</v>
      </c>
      <c r="R2494">
        <v>44</v>
      </c>
      <c r="S2494">
        <v>1</v>
      </c>
      <c r="T2494" t="str">
        <f t="shared" si="281"/>
        <v>e</v>
      </c>
      <c r="U2494" t="s">
        <v>257</v>
      </c>
      <c r="V2494" t="s">
        <v>210</v>
      </c>
      <c r="W2494" t="s">
        <v>93</v>
      </c>
      <c r="X2494" t="s">
        <v>706</v>
      </c>
      <c r="AF2494" t="s">
        <v>401</v>
      </c>
      <c r="AM2494" t="str">
        <f t="shared" si="284"/>
        <v>Zone_Entry_Exit</v>
      </c>
      <c r="AN2494" t="str">
        <f t="shared" si="285"/>
        <v>Zone_Keepin</v>
      </c>
      <c r="AP2494" t="str">
        <f t="shared" si="286"/>
        <v>Offensive</v>
      </c>
      <c r="BB2494" s="23"/>
      <c r="BD2494" s="21"/>
      <c r="BE2494" s="21"/>
      <c r="BF2494" s="21"/>
      <c r="BG2494" s="21"/>
      <c r="BH2494" s="21"/>
      <c r="BI2494" s="21"/>
    </row>
    <row r="2495" spans="1:61" x14ac:dyDescent="0.2">
      <c r="A2495">
        <v>1286</v>
      </c>
      <c r="B2495">
        <v>196</v>
      </c>
      <c r="C2495">
        <f t="shared" si="282"/>
        <v>9196</v>
      </c>
      <c r="D2495">
        <f t="shared" si="287"/>
        <v>9196</v>
      </c>
      <c r="H2495">
        <f t="shared" si="283"/>
        <v>3</v>
      </c>
      <c r="I2495" s="5" t="s">
        <v>733</v>
      </c>
      <c r="J2495" s="5" t="s">
        <v>741</v>
      </c>
      <c r="Q2495" t="s">
        <v>619</v>
      </c>
      <c r="R2495">
        <v>44</v>
      </c>
      <c r="S2495">
        <v>1</v>
      </c>
      <c r="T2495" t="str">
        <f t="shared" si="281"/>
        <v>e</v>
      </c>
      <c r="U2495" t="s">
        <v>15</v>
      </c>
      <c r="V2495" t="s">
        <v>697</v>
      </c>
      <c r="X2495" t="s">
        <v>706</v>
      </c>
      <c r="Y2495" t="s">
        <v>712</v>
      </c>
      <c r="AA2495" t="s">
        <v>706</v>
      </c>
      <c r="AF2495" t="s">
        <v>401</v>
      </c>
      <c r="AM2495" t="str">
        <f t="shared" si="284"/>
        <v>Possession</v>
      </c>
      <c r="AN2495" t="str">
        <f t="shared" si="285"/>
        <v>PuckRetrieval</v>
      </c>
      <c r="AP2495" t="str">
        <f t="shared" si="286"/>
        <v>Offensive</v>
      </c>
      <c r="BB2495" s="23"/>
      <c r="BD2495" s="21"/>
      <c r="BE2495" s="21"/>
      <c r="BF2495" s="21"/>
      <c r="BG2495" s="21"/>
      <c r="BH2495" s="21"/>
      <c r="BI2495" s="21"/>
    </row>
    <row r="2496" spans="1:61" x14ac:dyDescent="0.2">
      <c r="A2496">
        <v>1287</v>
      </c>
      <c r="B2496">
        <v>197</v>
      </c>
      <c r="C2496">
        <f t="shared" si="282"/>
        <v>9197</v>
      </c>
      <c r="D2496">
        <f t="shared" si="287"/>
        <v>9197</v>
      </c>
      <c r="H2496">
        <f t="shared" si="283"/>
        <v>3</v>
      </c>
      <c r="I2496" s="5" t="s">
        <v>733</v>
      </c>
      <c r="J2496" s="5" t="s">
        <v>786</v>
      </c>
      <c r="Q2496" t="s">
        <v>619</v>
      </c>
      <c r="R2496">
        <v>44</v>
      </c>
      <c r="S2496">
        <v>1</v>
      </c>
      <c r="T2496" t="str">
        <f t="shared" si="281"/>
        <v>e</v>
      </c>
      <c r="U2496" t="s">
        <v>7</v>
      </c>
      <c r="V2496" t="s">
        <v>222</v>
      </c>
      <c r="W2496" t="s">
        <v>53</v>
      </c>
      <c r="X2496" t="s">
        <v>706</v>
      </c>
      <c r="AF2496" t="s">
        <v>401</v>
      </c>
      <c r="AM2496" t="str">
        <f t="shared" si="284"/>
        <v>Shot</v>
      </c>
      <c r="AN2496" t="str">
        <f t="shared" si="285"/>
        <v>Shot_OnNetSaved</v>
      </c>
      <c r="AP2496" t="str">
        <f t="shared" si="286"/>
        <v>Offensive</v>
      </c>
      <c r="BB2496" s="23"/>
      <c r="BD2496" s="21"/>
      <c r="BE2496" s="21"/>
      <c r="BF2496" s="21"/>
      <c r="BG2496" s="21"/>
      <c r="BH2496" s="21"/>
      <c r="BI2496" s="21"/>
    </row>
    <row r="2497" spans="1:61" x14ac:dyDescent="0.2">
      <c r="A2497">
        <v>1287</v>
      </c>
      <c r="B2497">
        <v>197</v>
      </c>
      <c r="C2497">
        <f t="shared" si="282"/>
        <v>9197</v>
      </c>
      <c r="D2497">
        <f t="shared" si="287"/>
        <v>9197</v>
      </c>
      <c r="H2497">
        <f t="shared" si="283"/>
        <v>3</v>
      </c>
      <c r="R2497">
        <v>39</v>
      </c>
      <c r="T2497" t="str">
        <f t="shared" si="281"/>
        <v>o</v>
      </c>
      <c r="AM2497" t="str">
        <f t="shared" si="284"/>
        <v>Shot</v>
      </c>
      <c r="AN2497" t="str">
        <f t="shared" si="285"/>
        <v>Shot_OnNetSaved</v>
      </c>
      <c r="AP2497" t="str">
        <f t="shared" si="286"/>
        <v>Defensive</v>
      </c>
      <c r="BB2497" s="23"/>
      <c r="BD2497" s="21"/>
      <c r="BE2497" s="21"/>
      <c r="BF2497" s="21"/>
      <c r="BG2497" s="21"/>
      <c r="BH2497" s="21"/>
      <c r="BI2497" s="21"/>
    </row>
    <row r="2498" spans="1:61" x14ac:dyDescent="0.2">
      <c r="A2498">
        <v>1288</v>
      </c>
      <c r="B2498">
        <v>197</v>
      </c>
      <c r="C2498">
        <f t="shared" si="282"/>
        <v>9197</v>
      </c>
      <c r="D2498">
        <f t="shared" si="287"/>
        <v>9197</v>
      </c>
      <c r="H2498">
        <f t="shared" si="283"/>
        <v>3</v>
      </c>
      <c r="I2498" s="5" t="s">
        <v>733</v>
      </c>
      <c r="J2498" s="5" t="s">
        <v>786</v>
      </c>
      <c r="Q2498" t="s">
        <v>620</v>
      </c>
      <c r="R2498">
        <v>39</v>
      </c>
      <c r="S2498">
        <v>1</v>
      </c>
      <c r="T2498" t="str">
        <f t="shared" si="281"/>
        <v>e</v>
      </c>
      <c r="U2498" t="s">
        <v>17</v>
      </c>
      <c r="V2498" t="s">
        <v>206</v>
      </c>
      <c r="W2498" t="s">
        <v>96</v>
      </c>
      <c r="AF2498" t="s">
        <v>623</v>
      </c>
      <c r="AM2498" t="str">
        <f t="shared" si="284"/>
        <v>Save</v>
      </c>
      <c r="AN2498" t="str">
        <f t="shared" si="285"/>
        <v>Save_Freeze</v>
      </c>
      <c r="AP2498" t="str">
        <f t="shared" si="286"/>
        <v>Defensive</v>
      </c>
      <c r="BB2498" s="23"/>
      <c r="BD2498" s="21"/>
      <c r="BE2498" s="21"/>
      <c r="BF2498" s="21"/>
      <c r="BG2498" s="21"/>
      <c r="BH2498" s="21"/>
      <c r="BI2498" s="21"/>
    </row>
    <row r="2499" spans="1:61" x14ac:dyDescent="0.2">
      <c r="A2499">
        <v>1288</v>
      </c>
      <c r="B2499">
        <v>197</v>
      </c>
      <c r="C2499">
        <f t="shared" si="282"/>
        <v>9197</v>
      </c>
      <c r="D2499">
        <f t="shared" si="287"/>
        <v>9197</v>
      </c>
      <c r="H2499">
        <f t="shared" si="283"/>
        <v>3</v>
      </c>
      <c r="R2499">
        <v>44</v>
      </c>
      <c r="T2499" t="str">
        <f t="shared" ref="T2499:T2559" si="288">IF(S2499="x","",IF(S2499=1,"e","o"))</f>
        <v>o</v>
      </c>
      <c r="AM2499" t="str">
        <f t="shared" si="284"/>
        <v>Save</v>
      </c>
      <c r="AN2499" t="str">
        <f t="shared" si="285"/>
        <v>Save_Freeze</v>
      </c>
      <c r="AP2499" t="str">
        <f t="shared" si="286"/>
        <v>Offensive</v>
      </c>
      <c r="BB2499" s="23"/>
      <c r="BD2499" s="21"/>
      <c r="BE2499" s="21"/>
      <c r="BF2499" s="21"/>
      <c r="BG2499" s="21"/>
      <c r="BH2499" s="21"/>
      <c r="BI2499" s="21"/>
    </row>
    <row r="2500" spans="1:61" x14ac:dyDescent="0.2">
      <c r="A2500">
        <v>1289</v>
      </c>
      <c r="B2500">
        <v>197</v>
      </c>
      <c r="C2500">
        <f t="shared" ref="C2500:C2563" si="289">IF(B2500&lt;&gt;"",9000+B2500,"")</f>
        <v>9197</v>
      </c>
      <c r="D2500">
        <f t="shared" si="287"/>
        <v>9197</v>
      </c>
      <c r="H2500">
        <f t="shared" si="283"/>
        <v>3</v>
      </c>
      <c r="I2500" s="5" t="s">
        <v>733</v>
      </c>
      <c r="J2500" s="5" t="s">
        <v>446</v>
      </c>
      <c r="Q2500" t="s">
        <v>620</v>
      </c>
      <c r="R2500">
        <v>39</v>
      </c>
      <c r="S2500">
        <v>1</v>
      </c>
      <c r="T2500" t="str">
        <f t="shared" si="288"/>
        <v>e</v>
      </c>
      <c r="U2500" t="s">
        <v>13</v>
      </c>
      <c r="V2500" t="s">
        <v>204</v>
      </c>
      <c r="W2500" t="s">
        <v>110</v>
      </c>
      <c r="AF2500" t="s">
        <v>623</v>
      </c>
      <c r="AM2500" t="str">
        <f t="shared" si="284"/>
        <v>Stoppage</v>
      </c>
      <c r="AN2500" t="str">
        <f t="shared" si="285"/>
        <v>Stoppage_Play</v>
      </c>
      <c r="AP2500" t="str">
        <f t="shared" si="286"/>
        <v/>
      </c>
      <c r="BB2500" s="23"/>
      <c r="BD2500" s="21"/>
      <c r="BE2500" s="21"/>
      <c r="BF2500" s="21"/>
      <c r="BG2500" s="21"/>
      <c r="BH2500" s="21"/>
      <c r="BI2500" s="21"/>
    </row>
    <row r="2501" spans="1:61" x14ac:dyDescent="0.2">
      <c r="A2501">
        <v>1290</v>
      </c>
      <c r="B2501">
        <v>197</v>
      </c>
      <c r="C2501">
        <f t="shared" si="289"/>
        <v>9197</v>
      </c>
      <c r="D2501">
        <f t="shared" si="287"/>
        <v>9197</v>
      </c>
      <c r="H2501">
        <f t="shared" ref="H2501:H2564" si="290">IF(U2501="Intermission",H2500+1,H2500)</f>
        <v>3</v>
      </c>
      <c r="I2501" s="5" t="s">
        <v>733</v>
      </c>
      <c r="J2501" s="5" t="s">
        <v>446</v>
      </c>
      <c r="K2501" s="5" t="s">
        <v>742</v>
      </c>
      <c r="L2501" s="7" t="s">
        <v>672</v>
      </c>
      <c r="Q2501" t="s">
        <v>620</v>
      </c>
      <c r="R2501">
        <v>39</v>
      </c>
      <c r="S2501">
        <v>1</v>
      </c>
      <c r="T2501" t="str">
        <f t="shared" si="288"/>
        <v>e</v>
      </c>
      <c r="U2501" t="s">
        <v>262</v>
      </c>
      <c r="AF2501" t="s">
        <v>623</v>
      </c>
      <c r="AM2501" t="str">
        <f t="shared" ref="AM2501:AM2564" si="291">IF(U2501&lt;&gt;"",U2501,IF($A2501=$A2500,AM2500,""))</f>
        <v>DeadIce</v>
      </c>
      <c r="AN2501" t="str">
        <f t="shared" ref="AN2501:AN2564" si="292">IF(V2501&lt;&gt;"",V2501,IF($A2501=$A2500,AN2500,""))</f>
        <v/>
      </c>
      <c r="AP2501" t="str">
        <f t="shared" si="286"/>
        <v/>
      </c>
      <c r="BB2501" s="23"/>
      <c r="BD2501" s="21"/>
      <c r="BE2501" s="21"/>
      <c r="BF2501" s="21"/>
      <c r="BG2501" s="21"/>
      <c r="BH2501" s="21"/>
      <c r="BI2501" s="21"/>
    </row>
    <row r="2502" spans="1:61" x14ac:dyDescent="0.2">
      <c r="A2502">
        <v>1291</v>
      </c>
      <c r="B2502" t="s">
        <v>887</v>
      </c>
      <c r="C2502" t="str">
        <f t="shared" si="289"/>
        <v/>
      </c>
      <c r="D2502" t="str">
        <f t="shared" si="287"/>
        <v/>
      </c>
      <c r="H2502">
        <f t="shared" si="290"/>
        <v>3</v>
      </c>
      <c r="I2502" s="5" t="s">
        <v>742</v>
      </c>
      <c r="J2502" s="5" t="s">
        <v>672</v>
      </c>
      <c r="Q2502" t="s">
        <v>620</v>
      </c>
      <c r="R2502">
        <v>77</v>
      </c>
      <c r="S2502">
        <v>1</v>
      </c>
      <c r="T2502" t="str">
        <f t="shared" si="288"/>
        <v>e</v>
      </c>
      <c r="U2502" t="s">
        <v>6</v>
      </c>
      <c r="V2502" t="s">
        <v>255</v>
      </c>
      <c r="AF2502" t="s">
        <v>401</v>
      </c>
      <c r="AM2502" t="str">
        <f t="shared" si="291"/>
        <v>Faceoff</v>
      </c>
      <c r="AN2502" t="str">
        <f t="shared" si="292"/>
        <v>Faceoff_AfterStoppage</v>
      </c>
      <c r="AP2502" t="str">
        <f t="shared" ref="AP2502:AP2565" si="293">IF(AND(T2502="e",OR(AM2502="Save",AN2502="Turnover_Takeaway",AN2502="Play_Defensive")),"Defensive",IF(AND(T2502="o",OR(AM2502="Save",AN2502="Turnover_Takeaway",AN2502="Play_Defensive")),"Offensive",IF(OR(AM2502="Deadice",AM2502="Stoppage",AM2502="Intermission"),"",IF(T2502="e","Offensive",IF(T2502="o","Defensive","")))))</f>
        <v>Offensive</v>
      </c>
      <c r="BB2502" s="23"/>
      <c r="BD2502" s="21"/>
      <c r="BE2502" s="21"/>
      <c r="BF2502" s="21"/>
      <c r="BG2502" s="21"/>
      <c r="BH2502" s="21"/>
      <c r="BI2502" s="21"/>
    </row>
    <row r="2503" spans="1:61" x14ac:dyDescent="0.2">
      <c r="A2503">
        <v>1291</v>
      </c>
      <c r="B2503" t="s">
        <v>887</v>
      </c>
      <c r="C2503" t="str">
        <f t="shared" si="289"/>
        <v/>
      </c>
      <c r="D2503" t="str">
        <f t="shared" si="287"/>
        <v/>
      </c>
      <c r="H2503">
        <f t="shared" si="290"/>
        <v>3</v>
      </c>
      <c r="R2503">
        <v>44</v>
      </c>
      <c r="S2503">
        <v>1</v>
      </c>
      <c r="T2503" t="str">
        <f t="shared" si="288"/>
        <v>e</v>
      </c>
      <c r="AM2503" t="str">
        <f t="shared" si="291"/>
        <v>Faceoff</v>
      </c>
      <c r="AN2503" t="str">
        <f t="shared" si="292"/>
        <v>Faceoff_AfterStoppage</v>
      </c>
      <c r="AP2503" t="str">
        <f t="shared" si="293"/>
        <v>Offensive</v>
      </c>
      <c r="BB2503" s="23"/>
      <c r="BD2503" s="21"/>
      <c r="BE2503" s="21"/>
      <c r="BF2503" s="21"/>
      <c r="BG2503" s="21"/>
      <c r="BH2503" s="21"/>
      <c r="BI2503" s="21"/>
    </row>
    <row r="2504" spans="1:61" x14ac:dyDescent="0.2">
      <c r="A2504">
        <v>1291</v>
      </c>
      <c r="B2504" t="s">
        <v>887</v>
      </c>
      <c r="C2504" t="str">
        <f t="shared" si="289"/>
        <v/>
      </c>
      <c r="D2504" t="str">
        <f t="shared" si="287"/>
        <v/>
      </c>
      <c r="H2504">
        <f t="shared" si="290"/>
        <v>3</v>
      </c>
      <c r="R2504">
        <v>42</v>
      </c>
      <c r="T2504" t="str">
        <f t="shared" si="288"/>
        <v>o</v>
      </c>
      <c r="AM2504" t="str">
        <f t="shared" si="291"/>
        <v>Faceoff</v>
      </c>
      <c r="AN2504" t="str">
        <f t="shared" si="292"/>
        <v>Faceoff_AfterStoppage</v>
      </c>
      <c r="AP2504" t="str">
        <f t="shared" si="293"/>
        <v>Defensive</v>
      </c>
      <c r="BB2504" s="23"/>
      <c r="BD2504" s="21"/>
      <c r="BE2504" s="21"/>
      <c r="BF2504" s="21"/>
      <c r="BG2504" s="21"/>
      <c r="BH2504" s="21"/>
      <c r="BI2504" s="21"/>
    </row>
    <row r="2505" spans="1:61" x14ac:dyDescent="0.2">
      <c r="A2505">
        <v>1292</v>
      </c>
      <c r="B2505">
        <v>198</v>
      </c>
      <c r="C2505">
        <f t="shared" si="289"/>
        <v>9198</v>
      </c>
      <c r="D2505">
        <f t="shared" ref="D2505:D2568" si="294">IF(C2505&lt;&gt;"",C2505,B2505)</f>
        <v>9198</v>
      </c>
      <c r="H2505">
        <f t="shared" si="290"/>
        <v>3</v>
      </c>
      <c r="I2505" s="5" t="s">
        <v>742</v>
      </c>
      <c r="J2505" s="5" t="s">
        <v>810</v>
      </c>
      <c r="Q2505" t="s">
        <v>619</v>
      </c>
      <c r="R2505">
        <v>44</v>
      </c>
      <c r="S2505">
        <v>1</v>
      </c>
      <c r="T2505" t="str">
        <f t="shared" si="288"/>
        <v>e</v>
      </c>
      <c r="U2505" t="s">
        <v>7</v>
      </c>
      <c r="V2505" t="s">
        <v>222</v>
      </c>
      <c r="W2505" t="s">
        <v>53</v>
      </c>
      <c r="X2505" t="s">
        <v>706</v>
      </c>
      <c r="AF2505" t="s">
        <v>401</v>
      </c>
      <c r="AM2505" t="str">
        <f t="shared" si="291"/>
        <v>Shot</v>
      </c>
      <c r="AN2505" t="str">
        <f t="shared" si="292"/>
        <v>Shot_OnNetSaved</v>
      </c>
      <c r="AP2505" t="str">
        <f t="shared" si="293"/>
        <v>Offensive</v>
      </c>
      <c r="BB2505" s="23"/>
      <c r="BD2505" s="21"/>
      <c r="BE2505" s="21"/>
      <c r="BF2505" s="21"/>
      <c r="BG2505" s="21"/>
      <c r="BH2505" s="21"/>
      <c r="BI2505" s="21"/>
    </row>
    <row r="2506" spans="1:61" x14ac:dyDescent="0.2">
      <c r="A2506">
        <v>1292</v>
      </c>
      <c r="B2506">
        <v>198</v>
      </c>
      <c r="C2506">
        <f t="shared" si="289"/>
        <v>9198</v>
      </c>
      <c r="D2506">
        <f t="shared" si="294"/>
        <v>9198</v>
      </c>
      <c r="H2506">
        <f t="shared" si="290"/>
        <v>3</v>
      </c>
      <c r="R2506">
        <v>39</v>
      </c>
      <c r="T2506" t="str">
        <f t="shared" si="288"/>
        <v>o</v>
      </c>
      <c r="AM2506" t="str">
        <f t="shared" si="291"/>
        <v>Shot</v>
      </c>
      <c r="AN2506" t="str">
        <f t="shared" si="292"/>
        <v>Shot_OnNetSaved</v>
      </c>
      <c r="AP2506" t="str">
        <f t="shared" si="293"/>
        <v>Defensive</v>
      </c>
      <c r="BB2506" s="23"/>
      <c r="BD2506" s="21"/>
      <c r="BE2506" s="21"/>
      <c r="BF2506" s="21"/>
      <c r="BG2506" s="21"/>
      <c r="BH2506" s="21"/>
      <c r="BI2506" s="21"/>
    </row>
    <row r="2507" spans="1:61" x14ac:dyDescent="0.2">
      <c r="A2507">
        <v>1292</v>
      </c>
      <c r="B2507">
        <v>198</v>
      </c>
      <c r="C2507">
        <f t="shared" si="289"/>
        <v>9198</v>
      </c>
      <c r="D2507">
        <f t="shared" si="294"/>
        <v>9198</v>
      </c>
      <c r="H2507">
        <f t="shared" si="290"/>
        <v>3</v>
      </c>
      <c r="R2507">
        <v>84</v>
      </c>
      <c r="T2507" t="str">
        <f t="shared" si="288"/>
        <v>o</v>
      </c>
      <c r="Y2507" t="s">
        <v>722</v>
      </c>
      <c r="AM2507" t="str">
        <f t="shared" si="291"/>
        <v>Shot</v>
      </c>
      <c r="AN2507" t="str">
        <f t="shared" si="292"/>
        <v>Shot_OnNetSaved</v>
      </c>
      <c r="AP2507" t="str">
        <f t="shared" si="293"/>
        <v>Defensive</v>
      </c>
      <c r="BB2507" s="23"/>
      <c r="BD2507" s="21"/>
      <c r="BE2507" s="21"/>
      <c r="BF2507" s="21"/>
      <c r="BG2507" s="21"/>
      <c r="BH2507" s="21"/>
      <c r="BI2507" s="21"/>
    </row>
    <row r="2508" spans="1:61" x14ac:dyDescent="0.2">
      <c r="A2508">
        <v>1293</v>
      </c>
      <c r="B2508">
        <v>198</v>
      </c>
      <c r="C2508">
        <f t="shared" si="289"/>
        <v>9198</v>
      </c>
      <c r="D2508">
        <f t="shared" si="294"/>
        <v>9198</v>
      </c>
      <c r="H2508">
        <f t="shared" si="290"/>
        <v>3</v>
      </c>
      <c r="I2508" s="5" t="s">
        <v>742</v>
      </c>
      <c r="J2508" s="5" t="s">
        <v>810</v>
      </c>
      <c r="Q2508" t="s">
        <v>620</v>
      </c>
      <c r="R2508">
        <v>39</v>
      </c>
      <c r="S2508">
        <v>1</v>
      </c>
      <c r="T2508" t="str">
        <f t="shared" si="288"/>
        <v>e</v>
      </c>
      <c r="U2508" t="s">
        <v>17</v>
      </c>
      <c r="V2508" t="s">
        <v>196</v>
      </c>
      <c r="W2508" t="s">
        <v>99</v>
      </c>
      <c r="AF2508" t="s">
        <v>623</v>
      </c>
      <c r="AM2508" t="str">
        <f t="shared" si="291"/>
        <v>Save</v>
      </c>
      <c r="AN2508" t="str">
        <f t="shared" si="292"/>
        <v>Save_Rebound</v>
      </c>
      <c r="AP2508" t="str">
        <f t="shared" si="293"/>
        <v>Defensive</v>
      </c>
      <c r="BB2508" s="23"/>
      <c r="BD2508" s="21"/>
      <c r="BE2508" s="21"/>
      <c r="BF2508" s="21"/>
      <c r="BG2508" s="21"/>
      <c r="BH2508" s="21"/>
      <c r="BI2508" s="21"/>
    </row>
    <row r="2509" spans="1:61" x14ac:dyDescent="0.2">
      <c r="A2509">
        <v>1293</v>
      </c>
      <c r="B2509">
        <v>198</v>
      </c>
      <c r="C2509">
        <f t="shared" si="289"/>
        <v>9198</v>
      </c>
      <c r="D2509">
        <f t="shared" si="294"/>
        <v>9198</v>
      </c>
      <c r="H2509">
        <f t="shared" si="290"/>
        <v>3</v>
      </c>
      <c r="R2509">
        <v>84</v>
      </c>
      <c r="S2509">
        <v>1</v>
      </c>
      <c r="T2509" t="str">
        <f t="shared" si="288"/>
        <v>e</v>
      </c>
      <c r="AM2509" t="str">
        <f t="shared" si="291"/>
        <v>Save</v>
      </c>
      <c r="AN2509" t="str">
        <f t="shared" si="292"/>
        <v>Save_Rebound</v>
      </c>
      <c r="AP2509" t="str">
        <f t="shared" si="293"/>
        <v>Defensive</v>
      </c>
      <c r="BB2509" s="23"/>
      <c r="BD2509" s="21"/>
      <c r="BE2509" s="21"/>
      <c r="BF2509" s="21"/>
      <c r="BG2509" s="21"/>
      <c r="BH2509" s="21"/>
      <c r="BI2509" s="21"/>
    </row>
    <row r="2510" spans="1:61" x14ac:dyDescent="0.2">
      <c r="A2510">
        <v>1293</v>
      </c>
      <c r="B2510">
        <v>198</v>
      </c>
      <c r="C2510">
        <f t="shared" si="289"/>
        <v>9198</v>
      </c>
      <c r="D2510">
        <f t="shared" si="294"/>
        <v>9198</v>
      </c>
      <c r="H2510">
        <f t="shared" si="290"/>
        <v>3</v>
      </c>
      <c r="R2510">
        <v>44</v>
      </c>
      <c r="T2510" t="str">
        <f t="shared" si="288"/>
        <v>o</v>
      </c>
      <c r="AM2510" t="str">
        <f t="shared" si="291"/>
        <v>Save</v>
      </c>
      <c r="AN2510" t="str">
        <f t="shared" si="292"/>
        <v>Save_Rebound</v>
      </c>
      <c r="AP2510" t="str">
        <f t="shared" si="293"/>
        <v>Offensive</v>
      </c>
      <c r="BB2510" s="23"/>
      <c r="BD2510" s="21"/>
      <c r="BE2510" s="21"/>
      <c r="BF2510" s="21"/>
      <c r="BG2510" s="21"/>
      <c r="BH2510" s="21"/>
      <c r="BI2510" s="21"/>
    </row>
    <row r="2511" spans="1:61" x14ac:dyDescent="0.2">
      <c r="A2511">
        <v>1294</v>
      </c>
      <c r="B2511">
        <v>198</v>
      </c>
      <c r="C2511">
        <f t="shared" si="289"/>
        <v>9198</v>
      </c>
      <c r="D2511">
        <f t="shared" si="294"/>
        <v>9198</v>
      </c>
      <c r="H2511">
        <f t="shared" si="290"/>
        <v>3</v>
      </c>
      <c r="I2511" s="5" t="s">
        <v>742</v>
      </c>
      <c r="J2511" s="5" t="s">
        <v>810</v>
      </c>
      <c r="Q2511" t="s">
        <v>620</v>
      </c>
      <c r="R2511">
        <v>39</v>
      </c>
      <c r="S2511">
        <v>1</v>
      </c>
      <c r="T2511" t="str">
        <f t="shared" si="288"/>
        <v>e</v>
      </c>
      <c r="U2511" t="s">
        <v>250</v>
      </c>
      <c r="V2511" t="s">
        <v>251</v>
      </c>
      <c r="AF2511" t="s">
        <v>623</v>
      </c>
      <c r="AM2511" t="str">
        <f t="shared" si="291"/>
        <v>Rebound</v>
      </c>
      <c r="AN2511" t="str">
        <f t="shared" si="292"/>
        <v>Rebound_TeamRecovered</v>
      </c>
      <c r="AP2511" t="str">
        <f t="shared" si="293"/>
        <v>Offensive</v>
      </c>
      <c r="BB2511" s="23"/>
      <c r="BD2511" s="21"/>
      <c r="BE2511" s="21"/>
      <c r="BF2511" s="21"/>
      <c r="BG2511" s="21"/>
      <c r="BH2511" s="21"/>
      <c r="BI2511" s="21"/>
    </row>
    <row r="2512" spans="1:61" x14ac:dyDescent="0.2">
      <c r="A2512">
        <v>1295</v>
      </c>
      <c r="B2512" t="s">
        <v>887</v>
      </c>
      <c r="C2512" t="str">
        <f t="shared" si="289"/>
        <v/>
      </c>
      <c r="D2512" t="str">
        <f t="shared" si="294"/>
        <v/>
      </c>
      <c r="H2512">
        <f t="shared" si="290"/>
        <v>3</v>
      </c>
      <c r="I2512" s="5" t="s">
        <v>742</v>
      </c>
      <c r="J2512" s="5" t="s">
        <v>811</v>
      </c>
      <c r="Q2512" t="s">
        <v>620</v>
      </c>
      <c r="R2512">
        <v>84</v>
      </c>
      <c r="S2512">
        <v>1</v>
      </c>
      <c r="T2512" t="str">
        <f t="shared" si="288"/>
        <v>e</v>
      </c>
      <c r="U2512" t="s">
        <v>15</v>
      </c>
      <c r="V2512" t="s">
        <v>698</v>
      </c>
      <c r="X2512" t="s">
        <v>705</v>
      </c>
      <c r="Y2512" t="s">
        <v>808</v>
      </c>
      <c r="AA2512" t="s">
        <v>705</v>
      </c>
      <c r="AF2512" t="s">
        <v>623</v>
      </c>
      <c r="AM2512" t="str">
        <f t="shared" si="291"/>
        <v>Possession</v>
      </c>
      <c r="AN2512" t="str">
        <f t="shared" si="292"/>
        <v>PuckRecovery</v>
      </c>
      <c r="AP2512" t="str">
        <f t="shared" si="293"/>
        <v>Offensive</v>
      </c>
      <c r="BB2512" s="23"/>
      <c r="BD2512" s="21"/>
      <c r="BE2512" s="21"/>
      <c r="BF2512" s="21"/>
      <c r="BG2512" s="21"/>
      <c r="BH2512" s="21"/>
      <c r="BI2512" s="21"/>
    </row>
    <row r="2513" spans="1:61" x14ac:dyDescent="0.2">
      <c r="A2513">
        <v>1296</v>
      </c>
      <c r="B2513">
        <v>199</v>
      </c>
      <c r="C2513">
        <f t="shared" si="289"/>
        <v>9199</v>
      </c>
      <c r="D2513">
        <f t="shared" si="294"/>
        <v>9199</v>
      </c>
      <c r="H2513">
        <f t="shared" si="290"/>
        <v>3</v>
      </c>
      <c r="I2513" s="5" t="s">
        <v>742</v>
      </c>
      <c r="J2513" s="5" t="s">
        <v>811</v>
      </c>
      <c r="Q2513" t="s">
        <v>620</v>
      </c>
      <c r="R2513">
        <v>84</v>
      </c>
      <c r="S2513">
        <v>1</v>
      </c>
      <c r="T2513" t="str">
        <f t="shared" si="288"/>
        <v>e</v>
      </c>
      <c r="U2513" t="s">
        <v>257</v>
      </c>
      <c r="V2513" t="s">
        <v>201</v>
      </c>
      <c r="W2513" t="s">
        <v>407</v>
      </c>
      <c r="X2513" t="s">
        <v>705</v>
      </c>
      <c r="Y2513" t="s">
        <v>678</v>
      </c>
      <c r="AA2513" t="s">
        <v>705</v>
      </c>
      <c r="AF2513" t="s">
        <v>623</v>
      </c>
      <c r="AM2513" t="str">
        <f t="shared" si="291"/>
        <v>Zone_Entry_Exit</v>
      </c>
      <c r="AN2513" t="str">
        <f t="shared" si="292"/>
        <v>Zone_Exit</v>
      </c>
      <c r="AP2513" t="str">
        <f t="shared" si="293"/>
        <v>Offensive</v>
      </c>
      <c r="BB2513" s="23"/>
      <c r="BD2513" s="21"/>
      <c r="BE2513" s="21"/>
      <c r="BF2513" s="21"/>
      <c r="BG2513" s="21"/>
      <c r="BH2513" s="21"/>
      <c r="BI2513" s="21"/>
    </row>
    <row r="2514" spans="1:61" x14ac:dyDescent="0.2">
      <c r="A2514">
        <v>1297</v>
      </c>
      <c r="B2514">
        <v>199</v>
      </c>
      <c r="C2514">
        <f t="shared" si="289"/>
        <v>9199</v>
      </c>
      <c r="D2514">
        <f t="shared" si="294"/>
        <v>9199</v>
      </c>
      <c r="H2514">
        <f t="shared" si="290"/>
        <v>3</v>
      </c>
      <c r="I2514" s="5" t="s">
        <v>742</v>
      </c>
      <c r="J2514" s="5" t="s">
        <v>811</v>
      </c>
      <c r="Q2514" t="s">
        <v>620</v>
      </c>
      <c r="R2514">
        <v>84</v>
      </c>
      <c r="S2514">
        <v>1</v>
      </c>
      <c r="T2514" t="str">
        <f t="shared" si="288"/>
        <v>e</v>
      </c>
      <c r="U2514" t="s">
        <v>10</v>
      </c>
      <c r="V2514" t="s">
        <v>190</v>
      </c>
      <c r="W2514" t="s">
        <v>398</v>
      </c>
      <c r="X2514" t="s">
        <v>705</v>
      </c>
      <c r="AF2514" t="s">
        <v>623</v>
      </c>
      <c r="AM2514" t="str">
        <f t="shared" si="291"/>
        <v>Turnover</v>
      </c>
      <c r="AN2514" t="str">
        <f t="shared" si="292"/>
        <v>Turnover_Giveaway</v>
      </c>
      <c r="AP2514" t="str">
        <f t="shared" si="293"/>
        <v>Offensive</v>
      </c>
      <c r="BB2514" s="23"/>
      <c r="BD2514" s="21"/>
      <c r="BE2514" s="21"/>
      <c r="BF2514" s="21"/>
      <c r="BG2514" s="21"/>
      <c r="BH2514" s="21"/>
      <c r="BI2514" s="21"/>
    </row>
    <row r="2515" spans="1:61" x14ac:dyDescent="0.2">
      <c r="A2515">
        <v>1298</v>
      </c>
      <c r="B2515">
        <v>199</v>
      </c>
      <c r="C2515">
        <f t="shared" si="289"/>
        <v>9199</v>
      </c>
      <c r="D2515">
        <f t="shared" si="294"/>
        <v>9199</v>
      </c>
      <c r="H2515">
        <f t="shared" si="290"/>
        <v>3</v>
      </c>
      <c r="I2515" s="5" t="s">
        <v>742</v>
      </c>
      <c r="J2515" s="5" t="s">
        <v>811</v>
      </c>
      <c r="Q2515" t="s">
        <v>619</v>
      </c>
      <c r="R2515">
        <v>18</v>
      </c>
      <c r="S2515">
        <v>1</v>
      </c>
      <c r="T2515" t="str">
        <f t="shared" si="288"/>
        <v>e</v>
      </c>
      <c r="U2515" t="s">
        <v>257</v>
      </c>
      <c r="V2515" t="s">
        <v>820</v>
      </c>
      <c r="X2515" t="s">
        <v>705</v>
      </c>
      <c r="AF2515" t="s">
        <v>401</v>
      </c>
      <c r="AM2515" t="str">
        <f t="shared" si="291"/>
        <v>Zone_Entry_Exit</v>
      </c>
      <c r="AN2515" t="str">
        <f t="shared" si="292"/>
        <v>Zone_KeepinFailed</v>
      </c>
      <c r="AP2515" t="str">
        <f t="shared" si="293"/>
        <v>Offensive</v>
      </c>
      <c r="BB2515" s="23"/>
      <c r="BD2515" s="21"/>
      <c r="BE2515" s="21"/>
      <c r="BF2515" s="21"/>
      <c r="BG2515" s="21"/>
      <c r="BH2515" s="21"/>
      <c r="BI2515" s="21"/>
    </row>
    <row r="2516" spans="1:61" x14ac:dyDescent="0.2">
      <c r="A2516">
        <v>1299</v>
      </c>
      <c r="B2516" t="s">
        <v>887</v>
      </c>
      <c r="C2516" t="str">
        <f t="shared" si="289"/>
        <v/>
      </c>
      <c r="D2516" t="str">
        <f t="shared" si="294"/>
        <v/>
      </c>
      <c r="H2516">
        <f t="shared" si="290"/>
        <v>3</v>
      </c>
      <c r="I2516" s="5" t="s">
        <v>742</v>
      </c>
      <c r="J2516" s="5" t="s">
        <v>778</v>
      </c>
      <c r="K2516" s="5" t="s">
        <v>742</v>
      </c>
      <c r="L2516" s="7" t="s">
        <v>779</v>
      </c>
      <c r="Q2516" t="s">
        <v>619</v>
      </c>
      <c r="R2516">
        <v>68</v>
      </c>
      <c r="S2516">
        <v>1</v>
      </c>
      <c r="T2516" t="str">
        <f t="shared" si="288"/>
        <v>e</v>
      </c>
      <c r="U2516" t="s">
        <v>15</v>
      </c>
      <c r="V2516" t="s">
        <v>697</v>
      </c>
      <c r="X2516" t="s">
        <v>706</v>
      </c>
      <c r="Y2516" t="s">
        <v>712</v>
      </c>
      <c r="AA2516" t="s">
        <v>706</v>
      </c>
      <c r="AF2516" t="s">
        <v>635</v>
      </c>
      <c r="AM2516" t="str">
        <f t="shared" si="291"/>
        <v>Possession</v>
      </c>
      <c r="AN2516" t="str">
        <f t="shared" si="292"/>
        <v>PuckRetrieval</v>
      </c>
      <c r="AP2516" t="str">
        <f t="shared" si="293"/>
        <v>Offensive</v>
      </c>
      <c r="BB2516" s="23"/>
      <c r="BD2516" s="21"/>
      <c r="BE2516" s="21"/>
      <c r="BF2516" s="21"/>
      <c r="BG2516" s="21"/>
      <c r="BH2516" s="21"/>
      <c r="BI2516" s="21"/>
    </row>
    <row r="2517" spans="1:61" x14ac:dyDescent="0.2">
      <c r="A2517">
        <v>1300</v>
      </c>
      <c r="B2517">
        <v>200</v>
      </c>
      <c r="C2517">
        <f t="shared" si="289"/>
        <v>9200</v>
      </c>
      <c r="D2517">
        <f t="shared" si="294"/>
        <v>9200</v>
      </c>
      <c r="H2517">
        <f t="shared" si="290"/>
        <v>3</v>
      </c>
      <c r="I2517" s="5" t="s">
        <v>742</v>
      </c>
      <c r="J2517" s="5" t="s">
        <v>779</v>
      </c>
      <c r="Q2517" t="s">
        <v>619</v>
      </c>
      <c r="R2517">
        <v>68</v>
      </c>
      <c r="S2517">
        <v>1</v>
      </c>
      <c r="T2517" t="str">
        <f t="shared" si="288"/>
        <v>e</v>
      </c>
      <c r="U2517" t="s">
        <v>8</v>
      </c>
      <c r="V2517" t="s">
        <v>189</v>
      </c>
      <c r="W2517" t="s">
        <v>69</v>
      </c>
      <c r="X2517" t="s">
        <v>706</v>
      </c>
      <c r="AF2517" t="s">
        <v>635</v>
      </c>
      <c r="AM2517" t="str">
        <f t="shared" si="291"/>
        <v>Pass</v>
      </c>
      <c r="AN2517" t="str">
        <f t="shared" si="292"/>
        <v>Pass_Completed</v>
      </c>
      <c r="AP2517" t="str">
        <f t="shared" si="293"/>
        <v>Offensive</v>
      </c>
      <c r="BB2517" s="23"/>
      <c r="BD2517" s="21"/>
      <c r="BE2517" s="21"/>
      <c r="BF2517" s="21"/>
      <c r="BG2517" s="21"/>
      <c r="BH2517" s="21"/>
      <c r="BI2517" s="21"/>
    </row>
    <row r="2518" spans="1:61" x14ac:dyDescent="0.2">
      <c r="A2518">
        <v>1300</v>
      </c>
      <c r="B2518">
        <v>200</v>
      </c>
      <c r="C2518">
        <f t="shared" si="289"/>
        <v>9200</v>
      </c>
      <c r="D2518">
        <f t="shared" si="294"/>
        <v>9200</v>
      </c>
      <c r="H2518">
        <f t="shared" si="290"/>
        <v>3</v>
      </c>
      <c r="R2518">
        <v>44</v>
      </c>
      <c r="S2518">
        <v>1</v>
      </c>
      <c r="T2518" t="str">
        <f t="shared" si="288"/>
        <v>e</v>
      </c>
      <c r="AM2518" t="str">
        <f t="shared" si="291"/>
        <v>Pass</v>
      </c>
      <c r="AN2518" t="str">
        <f t="shared" si="292"/>
        <v>Pass_Completed</v>
      </c>
      <c r="AP2518" t="str">
        <f t="shared" si="293"/>
        <v>Offensive</v>
      </c>
      <c r="BB2518" s="23"/>
      <c r="BD2518" s="21"/>
      <c r="BE2518" s="21"/>
      <c r="BF2518" s="21"/>
      <c r="BG2518" s="21"/>
      <c r="BH2518" s="21"/>
      <c r="BI2518" s="21"/>
    </row>
    <row r="2519" spans="1:61" x14ac:dyDescent="0.2">
      <c r="A2519">
        <v>1301</v>
      </c>
      <c r="B2519">
        <v>200</v>
      </c>
      <c r="C2519">
        <f t="shared" si="289"/>
        <v>9200</v>
      </c>
      <c r="D2519">
        <f t="shared" si="294"/>
        <v>9200</v>
      </c>
      <c r="H2519">
        <f t="shared" si="290"/>
        <v>3</v>
      </c>
      <c r="I2519" s="5" t="s">
        <v>742</v>
      </c>
      <c r="J2519" s="5" t="s">
        <v>779</v>
      </c>
      <c r="Q2519" t="s">
        <v>620</v>
      </c>
      <c r="S2519">
        <v>1</v>
      </c>
      <c r="T2519" t="str">
        <f t="shared" si="288"/>
        <v>e</v>
      </c>
      <c r="U2519" t="s">
        <v>257</v>
      </c>
      <c r="V2519" t="s">
        <v>191</v>
      </c>
      <c r="W2519" t="s">
        <v>410</v>
      </c>
      <c r="AF2519" t="s">
        <v>635</v>
      </c>
      <c r="AM2519" t="str">
        <f t="shared" si="291"/>
        <v>Zone_Entry_Exit</v>
      </c>
      <c r="AN2519" t="str">
        <f t="shared" si="292"/>
        <v>Zone_Entry</v>
      </c>
      <c r="AP2519" t="str">
        <f t="shared" si="293"/>
        <v>Offensive</v>
      </c>
      <c r="BB2519" s="23"/>
      <c r="BD2519" s="21"/>
      <c r="BE2519" s="21"/>
      <c r="BF2519" s="21"/>
      <c r="BG2519" s="21"/>
      <c r="BH2519" s="21"/>
      <c r="BI2519" s="21"/>
    </row>
    <row r="2520" spans="1:61" x14ac:dyDescent="0.2">
      <c r="A2520">
        <v>1302</v>
      </c>
      <c r="B2520" t="s">
        <v>887</v>
      </c>
      <c r="C2520" t="str">
        <f t="shared" si="289"/>
        <v/>
      </c>
      <c r="D2520" t="str">
        <f t="shared" si="294"/>
        <v/>
      </c>
      <c r="H2520">
        <f t="shared" si="290"/>
        <v>3</v>
      </c>
      <c r="I2520" s="5" t="s">
        <v>742</v>
      </c>
      <c r="J2520" s="5" t="s">
        <v>779</v>
      </c>
      <c r="K2520" s="5" t="s">
        <v>742</v>
      </c>
      <c r="L2520" s="7" t="s">
        <v>780</v>
      </c>
      <c r="Q2520" t="s">
        <v>619</v>
      </c>
      <c r="R2520">
        <v>44</v>
      </c>
      <c r="S2520">
        <v>1</v>
      </c>
      <c r="T2520" t="str">
        <f t="shared" si="288"/>
        <v>e</v>
      </c>
      <c r="U2520" t="s">
        <v>15</v>
      </c>
      <c r="V2520" t="s">
        <v>684</v>
      </c>
      <c r="X2520" t="s">
        <v>705</v>
      </c>
      <c r="AF2520" t="s">
        <v>623</v>
      </c>
      <c r="AM2520" t="str">
        <f t="shared" si="291"/>
        <v>Possession</v>
      </c>
      <c r="AN2520" t="str">
        <f t="shared" si="292"/>
        <v>Regroup</v>
      </c>
      <c r="AP2520" t="str">
        <f t="shared" si="293"/>
        <v>Offensive</v>
      </c>
      <c r="BB2520" s="23"/>
      <c r="BD2520" s="21"/>
      <c r="BE2520" s="21"/>
      <c r="BF2520" s="21"/>
      <c r="BG2520" s="21"/>
      <c r="BH2520" s="21"/>
      <c r="BI2520" s="21"/>
    </row>
    <row r="2521" spans="1:61" x14ac:dyDescent="0.2">
      <c r="A2521">
        <v>1303</v>
      </c>
      <c r="B2521" t="s">
        <v>887</v>
      </c>
      <c r="C2521" t="str">
        <f t="shared" si="289"/>
        <v/>
      </c>
      <c r="D2521" t="str">
        <f t="shared" si="294"/>
        <v/>
      </c>
      <c r="H2521">
        <f t="shared" si="290"/>
        <v>3</v>
      </c>
      <c r="I2521" s="5" t="s">
        <v>742</v>
      </c>
      <c r="J2521" s="5" t="s">
        <v>780</v>
      </c>
      <c r="Q2521" t="s">
        <v>619</v>
      </c>
      <c r="R2521">
        <v>44</v>
      </c>
      <c r="S2521">
        <v>1</v>
      </c>
      <c r="T2521" t="str">
        <f t="shared" si="288"/>
        <v>e</v>
      </c>
      <c r="U2521" t="s">
        <v>8</v>
      </c>
      <c r="V2521" t="s">
        <v>209</v>
      </c>
      <c r="W2521" t="s">
        <v>70</v>
      </c>
      <c r="X2521" t="s">
        <v>705</v>
      </c>
      <c r="AF2521" t="s">
        <v>623</v>
      </c>
      <c r="AM2521" t="str">
        <f t="shared" si="291"/>
        <v>Pass</v>
      </c>
      <c r="AN2521" t="str">
        <f t="shared" si="292"/>
        <v>Pass_Deflected</v>
      </c>
      <c r="AP2521" t="str">
        <f t="shared" si="293"/>
        <v>Offensive</v>
      </c>
      <c r="BB2521" s="23"/>
      <c r="BD2521" s="21"/>
      <c r="BE2521" s="21"/>
      <c r="BF2521" s="21"/>
      <c r="BG2521" s="21"/>
      <c r="BH2521" s="21"/>
      <c r="BI2521" s="21"/>
    </row>
    <row r="2522" spans="1:61" x14ac:dyDescent="0.2">
      <c r="A2522">
        <v>1303</v>
      </c>
      <c r="B2522" t="s">
        <v>887</v>
      </c>
      <c r="C2522" t="str">
        <f t="shared" si="289"/>
        <v/>
      </c>
      <c r="D2522" t="str">
        <f t="shared" si="294"/>
        <v/>
      </c>
      <c r="H2522">
        <f t="shared" si="290"/>
        <v>3</v>
      </c>
      <c r="R2522">
        <v>68</v>
      </c>
      <c r="S2522">
        <v>1</v>
      </c>
      <c r="T2522" t="str">
        <f t="shared" si="288"/>
        <v>e</v>
      </c>
      <c r="AM2522" t="str">
        <f t="shared" si="291"/>
        <v>Pass</v>
      </c>
      <c r="AN2522" t="str">
        <f t="shared" si="292"/>
        <v>Pass_Deflected</v>
      </c>
      <c r="AP2522" t="str">
        <f t="shared" si="293"/>
        <v>Offensive</v>
      </c>
      <c r="BB2522" s="23"/>
      <c r="BD2522" s="21"/>
      <c r="BE2522" s="21"/>
      <c r="BF2522" s="21"/>
      <c r="BG2522" s="21"/>
      <c r="BH2522" s="21"/>
      <c r="BI2522" s="21"/>
    </row>
    <row r="2523" spans="1:61" x14ac:dyDescent="0.2">
      <c r="A2523">
        <v>1303</v>
      </c>
      <c r="B2523" t="s">
        <v>887</v>
      </c>
      <c r="C2523" t="str">
        <f t="shared" si="289"/>
        <v/>
      </c>
      <c r="D2523" t="str">
        <f t="shared" si="294"/>
        <v/>
      </c>
      <c r="H2523">
        <f t="shared" si="290"/>
        <v>3</v>
      </c>
      <c r="R2523">
        <v>14</v>
      </c>
      <c r="T2523" t="str">
        <f t="shared" si="288"/>
        <v>o</v>
      </c>
      <c r="Y2523" t="s">
        <v>722</v>
      </c>
      <c r="AM2523" t="str">
        <f t="shared" si="291"/>
        <v>Pass</v>
      </c>
      <c r="AN2523" t="str">
        <f t="shared" si="292"/>
        <v>Pass_Deflected</v>
      </c>
      <c r="AP2523" t="str">
        <f t="shared" si="293"/>
        <v>Defensive</v>
      </c>
      <c r="BB2523" s="23"/>
      <c r="BD2523" s="21"/>
      <c r="BE2523" s="21"/>
      <c r="BF2523" s="21"/>
      <c r="BG2523" s="21"/>
      <c r="BH2523" s="21"/>
      <c r="BI2523" s="21"/>
    </row>
    <row r="2524" spans="1:61" x14ac:dyDescent="0.2">
      <c r="A2524">
        <v>1304</v>
      </c>
      <c r="B2524" t="s">
        <v>887</v>
      </c>
      <c r="C2524" t="str">
        <f t="shared" si="289"/>
        <v/>
      </c>
      <c r="D2524" t="str">
        <f t="shared" si="294"/>
        <v/>
      </c>
      <c r="H2524">
        <f t="shared" si="290"/>
        <v>3</v>
      </c>
      <c r="I2524" s="5" t="s">
        <v>742</v>
      </c>
      <c r="J2524" s="5" t="s">
        <v>727</v>
      </c>
      <c r="K2524" s="5" t="s">
        <v>742</v>
      </c>
      <c r="L2524" s="7" t="s">
        <v>813</v>
      </c>
      <c r="Q2524" t="s">
        <v>619</v>
      </c>
      <c r="R2524">
        <v>44</v>
      </c>
      <c r="S2524">
        <v>1</v>
      </c>
      <c r="T2524" t="str">
        <f t="shared" si="288"/>
        <v>e</v>
      </c>
      <c r="U2524" t="s">
        <v>15</v>
      </c>
      <c r="V2524" t="s">
        <v>698</v>
      </c>
      <c r="X2524" t="s">
        <v>706</v>
      </c>
      <c r="Y2524" t="s">
        <v>756</v>
      </c>
      <c r="AA2524" t="s">
        <v>706</v>
      </c>
      <c r="AF2524" t="s">
        <v>623</v>
      </c>
      <c r="AM2524" t="str">
        <f t="shared" si="291"/>
        <v>Possession</v>
      </c>
      <c r="AN2524" t="str">
        <f t="shared" si="292"/>
        <v>PuckRecovery</v>
      </c>
      <c r="AP2524" t="str">
        <f t="shared" si="293"/>
        <v>Offensive</v>
      </c>
      <c r="BB2524" s="23"/>
      <c r="BD2524" s="21"/>
      <c r="BE2524" s="21"/>
      <c r="BF2524" s="21"/>
      <c r="BG2524" s="21"/>
      <c r="BH2524" s="21"/>
      <c r="BI2524" s="21"/>
    </row>
    <row r="2525" spans="1:61" x14ac:dyDescent="0.2">
      <c r="A2525">
        <v>1305</v>
      </c>
      <c r="B2525" t="s">
        <v>887</v>
      </c>
      <c r="C2525" t="str">
        <f t="shared" si="289"/>
        <v/>
      </c>
      <c r="D2525" t="str">
        <f t="shared" si="294"/>
        <v/>
      </c>
      <c r="H2525">
        <f t="shared" si="290"/>
        <v>3</v>
      </c>
      <c r="I2525" s="5" t="s">
        <v>742</v>
      </c>
      <c r="J2525" s="5" t="s">
        <v>813</v>
      </c>
      <c r="Q2525" t="s">
        <v>619</v>
      </c>
      <c r="R2525">
        <v>44</v>
      </c>
      <c r="S2525">
        <v>1</v>
      </c>
      <c r="T2525" t="str">
        <f t="shared" si="288"/>
        <v>e</v>
      </c>
      <c r="U2525" t="s">
        <v>8</v>
      </c>
      <c r="V2525" t="s">
        <v>189</v>
      </c>
      <c r="W2525" t="s">
        <v>70</v>
      </c>
      <c r="X2525" t="s">
        <v>706</v>
      </c>
      <c r="AF2525" t="s">
        <v>623</v>
      </c>
      <c r="AM2525" t="str">
        <f t="shared" si="291"/>
        <v>Pass</v>
      </c>
      <c r="AN2525" t="str">
        <f t="shared" si="292"/>
        <v>Pass_Completed</v>
      </c>
      <c r="AP2525" t="str">
        <f t="shared" si="293"/>
        <v>Offensive</v>
      </c>
      <c r="BB2525" s="23"/>
      <c r="BD2525" s="21"/>
      <c r="BE2525" s="21"/>
      <c r="BF2525" s="21"/>
      <c r="BG2525" s="21"/>
      <c r="BH2525" s="21"/>
      <c r="BI2525" s="21"/>
    </row>
    <row r="2526" spans="1:61" x14ac:dyDescent="0.2">
      <c r="A2526">
        <v>1305</v>
      </c>
      <c r="B2526" t="s">
        <v>887</v>
      </c>
      <c r="C2526" t="str">
        <f t="shared" si="289"/>
        <v/>
      </c>
      <c r="D2526" t="str">
        <f t="shared" si="294"/>
        <v/>
      </c>
      <c r="H2526">
        <f t="shared" si="290"/>
        <v>3</v>
      </c>
      <c r="R2526">
        <v>18</v>
      </c>
      <c r="T2526" t="str">
        <f t="shared" si="288"/>
        <v>o</v>
      </c>
      <c r="AM2526" t="str">
        <f t="shared" si="291"/>
        <v>Pass</v>
      </c>
      <c r="AN2526" t="str">
        <f t="shared" si="292"/>
        <v>Pass_Completed</v>
      </c>
      <c r="AP2526" t="str">
        <f t="shared" si="293"/>
        <v>Defensive</v>
      </c>
      <c r="BB2526" s="23"/>
      <c r="BD2526" s="21"/>
      <c r="BE2526" s="21"/>
      <c r="BF2526" s="21"/>
      <c r="BG2526" s="21"/>
      <c r="BH2526" s="21"/>
      <c r="BI2526" s="21"/>
    </row>
    <row r="2527" spans="1:61" x14ac:dyDescent="0.2">
      <c r="A2527">
        <v>1306</v>
      </c>
      <c r="B2527">
        <v>201</v>
      </c>
      <c r="C2527">
        <f t="shared" si="289"/>
        <v>9201</v>
      </c>
      <c r="D2527">
        <f t="shared" si="294"/>
        <v>9201</v>
      </c>
      <c r="H2527">
        <f t="shared" si="290"/>
        <v>3</v>
      </c>
      <c r="I2527" s="5" t="s">
        <v>742</v>
      </c>
      <c r="J2527" s="5" t="s">
        <v>813</v>
      </c>
      <c r="Q2527" t="s">
        <v>619</v>
      </c>
      <c r="R2527">
        <v>18</v>
      </c>
      <c r="S2527">
        <v>1</v>
      </c>
      <c r="T2527" t="str">
        <f t="shared" si="288"/>
        <v>e</v>
      </c>
      <c r="U2527" t="s">
        <v>8</v>
      </c>
      <c r="V2527" t="s">
        <v>199</v>
      </c>
      <c r="W2527" t="s">
        <v>70</v>
      </c>
      <c r="X2527" t="s">
        <v>705</v>
      </c>
      <c r="Y2527" t="s">
        <v>814</v>
      </c>
      <c r="Z2527" t="s">
        <v>678</v>
      </c>
      <c r="AA2527" t="s">
        <v>705</v>
      </c>
      <c r="AF2527" t="s">
        <v>623</v>
      </c>
      <c r="AM2527" t="str">
        <f t="shared" si="291"/>
        <v>Pass</v>
      </c>
      <c r="AN2527" t="str">
        <f t="shared" si="292"/>
        <v>Pass_Missed</v>
      </c>
      <c r="AP2527" t="str">
        <f t="shared" si="293"/>
        <v>Offensive</v>
      </c>
      <c r="BB2527" s="23"/>
      <c r="BD2527" s="21"/>
      <c r="BE2527" s="21"/>
      <c r="BF2527" s="21"/>
      <c r="BG2527" s="21"/>
      <c r="BH2527" s="21"/>
      <c r="BI2527" s="21"/>
    </row>
    <row r="2528" spans="1:61" x14ac:dyDescent="0.2">
      <c r="A2528">
        <v>1306</v>
      </c>
      <c r="B2528">
        <v>201</v>
      </c>
      <c r="C2528">
        <f t="shared" si="289"/>
        <v>9201</v>
      </c>
      <c r="D2528">
        <f t="shared" si="294"/>
        <v>9201</v>
      </c>
      <c r="H2528">
        <f t="shared" si="290"/>
        <v>3</v>
      </c>
      <c r="R2528">
        <v>77</v>
      </c>
      <c r="S2528">
        <v>1</v>
      </c>
      <c r="T2528" t="str">
        <f t="shared" si="288"/>
        <v>e</v>
      </c>
      <c r="AM2528" t="str">
        <f t="shared" si="291"/>
        <v>Pass</v>
      </c>
      <c r="AN2528" t="str">
        <f t="shared" si="292"/>
        <v>Pass_Missed</v>
      </c>
      <c r="AP2528" t="str">
        <f t="shared" si="293"/>
        <v>Offensive</v>
      </c>
      <c r="BB2528" s="23"/>
      <c r="BD2528" s="21"/>
      <c r="BE2528" s="21"/>
      <c r="BF2528" s="21"/>
      <c r="BG2528" s="21"/>
      <c r="BH2528" s="21"/>
      <c r="BI2528" s="21"/>
    </row>
    <row r="2529" spans="1:61" x14ac:dyDescent="0.2">
      <c r="A2529">
        <v>1307</v>
      </c>
      <c r="B2529">
        <v>201</v>
      </c>
      <c r="C2529">
        <f t="shared" si="289"/>
        <v>9201</v>
      </c>
      <c r="D2529">
        <f t="shared" si="294"/>
        <v>9201</v>
      </c>
      <c r="H2529">
        <f t="shared" si="290"/>
        <v>3</v>
      </c>
      <c r="I2529" s="5" t="s">
        <v>742</v>
      </c>
      <c r="J2529" s="5" t="s">
        <v>813</v>
      </c>
      <c r="Q2529" t="s">
        <v>619</v>
      </c>
      <c r="R2529">
        <v>18</v>
      </c>
      <c r="S2529">
        <v>1</v>
      </c>
      <c r="T2529" t="str">
        <f t="shared" si="288"/>
        <v>e</v>
      </c>
      <c r="U2529" t="s">
        <v>257</v>
      </c>
      <c r="V2529" t="s">
        <v>201</v>
      </c>
      <c r="W2529" t="s">
        <v>409</v>
      </c>
      <c r="X2529" t="s">
        <v>705</v>
      </c>
      <c r="Y2529" t="s">
        <v>814</v>
      </c>
      <c r="Z2529" t="s">
        <v>678</v>
      </c>
      <c r="AA2529" t="s">
        <v>705</v>
      </c>
      <c r="AF2529" t="s">
        <v>623</v>
      </c>
      <c r="AM2529" t="str">
        <f t="shared" si="291"/>
        <v>Zone_Entry_Exit</v>
      </c>
      <c r="AN2529" t="str">
        <f t="shared" si="292"/>
        <v>Zone_Exit</v>
      </c>
      <c r="AP2529" t="str">
        <f t="shared" si="293"/>
        <v>Offensive</v>
      </c>
      <c r="BB2529" s="23"/>
      <c r="BD2529" s="21"/>
      <c r="BE2529" s="21"/>
      <c r="BF2529" s="21"/>
      <c r="BG2529" s="21"/>
      <c r="BH2529" s="21"/>
      <c r="BI2529" s="21"/>
    </row>
    <row r="2530" spans="1:61" x14ac:dyDescent="0.2">
      <c r="A2530">
        <v>1307</v>
      </c>
      <c r="B2530">
        <v>201</v>
      </c>
      <c r="C2530">
        <f t="shared" si="289"/>
        <v>9201</v>
      </c>
      <c r="D2530">
        <f t="shared" si="294"/>
        <v>9201</v>
      </c>
      <c r="H2530">
        <f t="shared" si="290"/>
        <v>3</v>
      </c>
      <c r="R2530">
        <v>77</v>
      </c>
      <c r="S2530">
        <v>1</v>
      </c>
      <c r="T2530" t="str">
        <f t="shared" si="288"/>
        <v>e</v>
      </c>
      <c r="AM2530" t="str">
        <f t="shared" si="291"/>
        <v>Zone_Entry_Exit</v>
      </c>
      <c r="AN2530" t="str">
        <f t="shared" si="292"/>
        <v>Zone_Exit</v>
      </c>
      <c r="AP2530" t="str">
        <f t="shared" si="293"/>
        <v>Offensive</v>
      </c>
      <c r="BB2530" s="23"/>
      <c r="BD2530" s="21"/>
      <c r="BE2530" s="21"/>
      <c r="BF2530" s="21"/>
      <c r="BG2530" s="21"/>
      <c r="BH2530" s="21"/>
      <c r="BI2530" s="21"/>
    </row>
    <row r="2531" spans="1:61" x14ac:dyDescent="0.2">
      <c r="A2531">
        <v>1308</v>
      </c>
      <c r="B2531">
        <v>201</v>
      </c>
      <c r="C2531">
        <f t="shared" si="289"/>
        <v>9201</v>
      </c>
      <c r="D2531">
        <f t="shared" si="294"/>
        <v>9201</v>
      </c>
      <c r="H2531">
        <f t="shared" si="290"/>
        <v>3</v>
      </c>
      <c r="I2531" s="5" t="s">
        <v>742</v>
      </c>
      <c r="J2531" s="5" t="s">
        <v>813</v>
      </c>
      <c r="Q2531" t="s">
        <v>619</v>
      </c>
      <c r="R2531">
        <v>18</v>
      </c>
      <c r="S2531">
        <v>1</v>
      </c>
      <c r="T2531" t="str">
        <f t="shared" si="288"/>
        <v>e</v>
      </c>
      <c r="U2531" t="s">
        <v>257</v>
      </c>
      <c r="V2531" t="s">
        <v>191</v>
      </c>
      <c r="W2531" t="s">
        <v>408</v>
      </c>
      <c r="X2531" t="s">
        <v>705</v>
      </c>
      <c r="Y2531" t="s">
        <v>814</v>
      </c>
      <c r="Z2531" t="s">
        <v>678</v>
      </c>
      <c r="AA2531" t="s">
        <v>705</v>
      </c>
      <c r="AF2531" t="s">
        <v>623</v>
      </c>
      <c r="AM2531" t="str">
        <f t="shared" si="291"/>
        <v>Zone_Entry_Exit</v>
      </c>
      <c r="AN2531" t="str">
        <f t="shared" si="292"/>
        <v>Zone_Entry</v>
      </c>
      <c r="AP2531" t="str">
        <f t="shared" si="293"/>
        <v>Offensive</v>
      </c>
      <c r="BB2531" s="23"/>
      <c r="BD2531" s="21"/>
      <c r="BE2531" s="21"/>
      <c r="BF2531" s="21"/>
      <c r="BG2531" s="21"/>
      <c r="BH2531" s="21"/>
      <c r="BI2531" s="21"/>
    </row>
    <row r="2532" spans="1:61" x14ac:dyDescent="0.2">
      <c r="A2532">
        <v>1308</v>
      </c>
      <c r="B2532">
        <v>201</v>
      </c>
      <c r="C2532">
        <f t="shared" si="289"/>
        <v>9201</v>
      </c>
      <c r="D2532">
        <f t="shared" si="294"/>
        <v>9201</v>
      </c>
      <c r="H2532">
        <f t="shared" si="290"/>
        <v>3</v>
      </c>
      <c r="R2532">
        <v>77</v>
      </c>
      <c r="S2532">
        <v>1</v>
      </c>
      <c r="T2532" t="str">
        <f t="shared" si="288"/>
        <v>e</v>
      </c>
      <c r="AM2532" t="str">
        <f t="shared" si="291"/>
        <v>Zone_Entry_Exit</v>
      </c>
      <c r="AN2532" t="str">
        <f t="shared" si="292"/>
        <v>Zone_Entry</v>
      </c>
      <c r="AP2532" t="str">
        <f t="shared" si="293"/>
        <v>Offensive</v>
      </c>
      <c r="BB2532" s="23"/>
      <c r="BD2532" s="21"/>
      <c r="BE2532" s="21"/>
      <c r="BF2532" s="21"/>
      <c r="BG2532" s="21"/>
      <c r="BH2532" s="21"/>
      <c r="BI2532" s="21"/>
    </row>
    <row r="2533" spans="1:61" x14ac:dyDescent="0.2">
      <c r="A2533">
        <v>1309</v>
      </c>
      <c r="B2533">
        <v>201</v>
      </c>
      <c r="C2533">
        <f t="shared" si="289"/>
        <v>9201</v>
      </c>
      <c r="D2533">
        <f t="shared" si="294"/>
        <v>9201</v>
      </c>
      <c r="H2533">
        <f t="shared" si="290"/>
        <v>3</v>
      </c>
      <c r="I2533" s="5" t="s">
        <v>742</v>
      </c>
      <c r="J2533" s="5" t="s">
        <v>813</v>
      </c>
      <c r="Q2533" t="s">
        <v>619</v>
      </c>
      <c r="R2533">
        <v>18</v>
      </c>
      <c r="S2533">
        <v>1</v>
      </c>
      <c r="T2533" t="str">
        <f t="shared" si="288"/>
        <v>e</v>
      </c>
      <c r="U2533" t="s">
        <v>10</v>
      </c>
      <c r="V2533" t="s">
        <v>190</v>
      </c>
      <c r="W2533" t="s">
        <v>76</v>
      </c>
      <c r="X2533" t="s">
        <v>705</v>
      </c>
      <c r="Y2533" t="s">
        <v>814</v>
      </c>
      <c r="Z2533" t="s">
        <v>678</v>
      </c>
      <c r="AA2533" t="s">
        <v>705</v>
      </c>
      <c r="AF2533" t="s">
        <v>623</v>
      </c>
      <c r="AM2533" t="str">
        <f t="shared" si="291"/>
        <v>Turnover</v>
      </c>
      <c r="AN2533" t="str">
        <f t="shared" si="292"/>
        <v>Turnover_Giveaway</v>
      </c>
      <c r="AP2533" t="str">
        <f t="shared" si="293"/>
        <v>Offensive</v>
      </c>
      <c r="BB2533" s="23"/>
      <c r="BD2533" s="21"/>
      <c r="BE2533" s="21"/>
      <c r="BF2533" s="21"/>
      <c r="BG2533" s="21"/>
      <c r="BH2533" s="21"/>
      <c r="BI2533" s="21"/>
    </row>
    <row r="2534" spans="1:61" x14ac:dyDescent="0.2">
      <c r="A2534">
        <v>1309</v>
      </c>
      <c r="B2534">
        <v>201</v>
      </c>
      <c r="C2534">
        <f t="shared" si="289"/>
        <v>9201</v>
      </c>
      <c r="D2534">
        <f t="shared" si="294"/>
        <v>9201</v>
      </c>
      <c r="H2534">
        <f t="shared" si="290"/>
        <v>3</v>
      </c>
      <c r="R2534">
        <v>77</v>
      </c>
      <c r="S2534">
        <v>1</v>
      </c>
      <c r="T2534" t="str">
        <f t="shared" si="288"/>
        <v>e</v>
      </c>
      <c r="AM2534" t="str">
        <f t="shared" si="291"/>
        <v>Turnover</v>
      </c>
      <c r="AN2534" t="str">
        <f t="shared" si="292"/>
        <v>Turnover_Giveaway</v>
      </c>
      <c r="AP2534" t="str">
        <f t="shared" si="293"/>
        <v>Offensive</v>
      </c>
      <c r="BB2534" s="23"/>
      <c r="BD2534" s="21"/>
      <c r="BE2534" s="21"/>
      <c r="BF2534" s="21"/>
      <c r="BG2534" s="21"/>
      <c r="BH2534" s="21"/>
      <c r="BI2534" s="21"/>
    </row>
    <row r="2535" spans="1:61" x14ac:dyDescent="0.2">
      <c r="A2535">
        <v>1310</v>
      </c>
      <c r="B2535" t="s">
        <v>887</v>
      </c>
      <c r="C2535" t="str">
        <f t="shared" si="289"/>
        <v/>
      </c>
      <c r="D2535" t="str">
        <f t="shared" si="294"/>
        <v/>
      </c>
      <c r="H2535">
        <f t="shared" si="290"/>
        <v>3</v>
      </c>
      <c r="I2535" s="5" t="s">
        <v>742</v>
      </c>
      <c r="J2535" s="5" t="s">
        <v>732</v>
      </c>
      <c r="Q2535" t="s">
        <v>620</v>
      </c>
      <c r="R2535">
        <v>9</v>
      </c>
      <c r="S2535">
        <v>1</v>
      </c>
      <c r="T2535" t="str">
        <f t="shared" si="288"/>
        <v>e</v>
      </c>
      <c r="U2535" t="s">
        <v>15</v>
      </c>
      <c r="V2535" t="s">
        <v>697</v>
      </c>
      <c r="X2535" t="s">
        <v>705</v>
      </c>
      <c r="Y2535" t="s">
        <v>712</v>
      </c>
      <c r="AA2535" t="s">
        <v>705</v>
      </c>
      <c r="AF2535" t="s">
        <v>623</v>
      </c>
      <c r="AM2535" t="str">
        <f t="shared" si="291"/>
        <v>Possession</v>
      </c>
      <c r="AN2535" t="str">
        <f t="shared" si="292"/>
        <v>PuckRetrieval</v>
      </c>
      <c r="AP2535" t="str">
        <f t="shared" si="293"/>
        <v>Offensive</v>
      </c>
      <c r="BB2535" s="23"/>
      <c r="BD2535" s="21"/>
      <c r="BE2535" s="21"/>
      <c r="BF2535" s="21"/>
      <c r="BG2535" s="21"/>
      <c r="BH2535" s="21"/>
      <c r="BI2535" s="21"/>
    </row>
    <row r="2536" spans="1:61" x14ac:dyDescent="0.2">
      <c r="A2536">
        <v>1311</v>
      </c>
      <c r="B2536" t="s">
        <v>887</v>
      </c>
      <c r="C2536" t="str">
        <f t="shared" si="289"/>
        <v/>
      </c>
      <c r="D2536" t="str">
        <f t="shared" si="294"/>
        <v/>
      </c>
      <c r="H2536">
        <f t="shared" si="290"/>
        <v>3</v>
      </c>
      <c r="I2536" s="5" t="s">
        <v>742</v>
      </c>
      <c r="J2536" s="5" t="s">
        <v>732</v>
      </c>
      <c r="Q2536" t="s">
        <v>620</v>
      </c>
      <c r="R2536">
        <v>9</v>
      </c>
      <c r="S2536">
        <v>1</v>
      </c>
      <c r="T2536" t="str">
        <f t="shared" si="288"/>
        <v>e</v>
      </c>
      <c r="U2536" t="s">
        <v>10</v>
      </c>
      <c r="V2536" t="s">
        <v>190</v>
      </c>
      <c r="W2536" t="s">
        <v>398</v>
      </c>
      <c r="X2536" t="s">
        <v>705</v>
      </c>
      <c r="Y2536" t="s">
        <v>746</v>
      </c>
      <c r="Z2536" t="s">
        <v>814</v>
      </c>
      <c r="AA2536" t="s">
        <v>705</v>
      </c>
      <c r="AF2536" t="s">
        <v>623</v>
      </c>
      <c r="AJ2536">
        <v>1</v>
      </c>
      <c r="AM2536" t="str">
        <f t="shared" si="291"/>
        <v>Turnover</v>
      </c>
      <c r="AN2536" t="str">
        <f t="shared" si="292"/>
        <v>Turnover_Giveaway</v>
      </c>
      <c r="AP2536" t="str">
        <f t="shared" si="293"/>
        <v>Offensive</v>
      </c>
      <c r="BB2536" s="23"/>
      <c r="BD2536" s="21"/>
      <c r="BE2536" s="21"/>
      <c r="BF2536" s="21"/>
      <c r="BG2536" s="21"/>
      <c r="BH2536" s="21"/>
      <c r="BI2536" s="21"/>
    </row>
    <row r="2537" spans="1:61" x14ac:dyDescent="0.2">
      <c r="A2537">
        <v>1311</v>
      </c>
      <c r="B2537" t="s">
        <v>887</v>
      </c>
      <c r="C2537" t="str">
        <f t="shared" si="289"/>
        <v/>
      </c>
      <c r="D2537" t="str">
        <f t="shared" si="294"/>
        <v/>
      </c>
      <c r="H2537">
        <f t="shared" si="290"/>
        <v>3</v>
      </c>
      <c r="R2537">
        <v>77</v>
      </c>
      <c r="T2537" t="str">
        <f t="shared" si="288"/>
        <v>o</v>
      </c>
      <c r="AJ2537">
        <v>1</v>
      </c>
      <c r="AM2537" t="str">
        <f t="shared" si="291"/>
        <v>Turnover</v>
      </c>
      <c r="AN2537" t="str">
        <f t="shared" si="292"/>
        <v>Turnover_Giveaway</v>
      </c>
      <c r="AP2537" t="str">
        <f t="shared" si="293"/>
        <v>Defensive</v>
      </c>
      <c r="BB2537" s="23"/>
      <c r="BD2537" s="21"/>
      <c r="BE2537" s="21"/>
      <c r="BF2537" s="21"/>
      <c r="BG2537" s="21"/>
      <c r="BH2537" s="21"/>
      <c r="BI2537" s="21"/>
    </row>
    <row r="2538" spans="1:61" x14ac:dyDescent="0.2">
      <c r="A2538">
        <v>1312</v>
      </c>
      <c r="B2538" t="s">
        <v>887</v>
      </c>
      <c r="C2538" t="str">
        <f t="shared" si="289"/>
        <v/>
      </c>
      <c r="D2538" t="str">
        <f t="shared" si="294"/>
        <v/>
      </c>
      <c r="H2538">
        <f t="shared" si="290"/>
        <v>3</v>
      </c>
      <c r="I2538" s="5" t="s">
        <v>742</v>
      </c>
      <c r="J2538" s="5" t="s">
        <v>768</v>
      </c>
      <c r="K2538" s="5" t="s">
        <v>742</v>
      </c>
      <c r="L2538" s="7" t="s">
        <v>742</v>
      </c>
      <c r="Q2538" t="s">
        <v>619</v>
      </c>
      <c r="R2538">
        <v>13</v>
      </c>
      <c r="S2538">
        <v>1</v>
      </c>
      <c r="T2538" t="str">
        <f t="shared" si="288"/>
        <v>e</v>
      </c>
      <c r="U2538" t="s">
        <v>15</v>
      </c>
      <c r="V2538" t="s">
        <v>697</v>
      </c>
      <c r="X2538" t="s">
        <v>706</v>
      </c>
      <c r="Y2538" t="s">
        <v>712</v>
      </c>
      <c r="AA2538" t="s">
        <v>706</v>
      </c>
      <c r="AF2538" t="s">
        <v>401</v>
      </c>
      <c r="AM2538" t="str">
        <f t="shared" si="291"/>
        <v>Possession</v>
      </c>
      <c r="AN2538" t="str">
        <f t="shared" si="292"/>
        <v>PuckRetrieval</v>
      </c>
      <c r="AP2538" t="str">
        <f t="shared" si="293"/>
        <v>Offensive</v>
      </c>
      <c r="BB2538" s="23"/>
      <c r="BD2538" s="21"/>
      <c r="BE2538" s="21"/>
      <c r="BF2538" s="21"/>
      <c r="BG2538" s="21"/>
      <c r="BH2538" s="21"/>
      <c r="BI2538" s="21"/>
    </row>
    <row r="2539" spans="1:61" x14ac:dyDescent="0.2">
      <c r="A2539">
        <v>1313</v>
      </c>
      <c r="B2539" t="s">
        <v>887</v>
      </c>
      <c r="C2539" t="str">
        <f t="shared" si="289"/>
        <v/>
      </c>
      <c r="D2539" t="str">
        <f t="shared" si="294"/>
        <v/>
      </c>
      <c r="H2539">
        <f t="shared" si="290"/>
        <v>3</v>
      </c>
      <c r="I2539" s="5" t="s">
        <v>742</v>
      </c>
      <c r="J2539" s="5" t="s">
        <v>742</v>
      </c>
      <c r="Q2539" t="s">
        <v>619</v>
      </c>
      <c r="R2539">
        <v>13</v>
      </c>
      <c r="S2539">
        <v>1</v>
      </c>
      <c r="T2539" t="str">
        <f t="shared" si="288"/>
        <v>e</v>
      </c>
      <c r="U2539" t="s">
        <v>8</v>
      </c>
      <c r="V2539" t="s">
        <v>209</v>
      </c>
      <c r="W2539" t="s">
        <v>70</v>
      </c>
      <c r="X2539" t="s">
        <v>705</v>
      </c>
      <c r="AF2539" t="s">
        <v>401</v>
      </c>
      <c r="AM2539" t="str">
        <f t="shared" si="291"/>
        <v>Pass</v>
      </c>
      <c r="AN2539" t="str">
        <f t="shared" si="292"/>
        <v>Pass_Deflected</v>
      </c>
      <c r="AP2539" t="str">
        <f t="shared" si="293"/>
        <v>Offensive</v>
      </c>
      <c r="BB2539" s="23"/>
      <c r="BD2539" s="21"/>
      <c r="BE2539" s="21"/>
      <c r="BF2539" s="21"/>
      <c r="BG2539" s="21"/>
      <c r="BH2539" s="21"/>
      <c r="BI2539" s="21"/>
    </row>
    <row r="2540" spans="1:61" x14ac:dyDescent="0.2">
      <c r="A2540">
        <v>1313</v>
      </c>
      <c r="B2540" t="s">
        <v>887</v>
      </c>
      <c r="C2540" t="str">
        <f t="shared" si="289"/>
        <v/>
      </c>
      <c r="D2540" t="str">
        <f t="shared" si="294"/>
        <v/>
      </c>
      <c r="H2540">
        <f t="shared" si="290"/>
        <v>3</v>
      </c>
      <c r="R2540">
        <v>77</v>
      </c>
      <c r="S2540">
        <v>1</v>
      </c>
      <c r="T2540" t="str">
        <f t="shared" si="288"/>
        <v>e</v>
      </c>
      <c r="AJ2540">
        <v>1</v>
      </c>
      <c r="AM2540" t="str">
        <f t="shared" si="291"/>
        <v>Pass</v>
      </c>
      <c r="AN2540" t="str">
        <f t="shared" si="292"/>
        <v>Pass_Deflected</v>
      </c>
      <c r="AP2540" t="str">
        <f t="shared" si="293"/>
        <v>Offensive</v>
      </c>
      <c r="BB2540" s="23"/>
      <c r="BD2540" s="21"/>
      <c r="BE2540" s="21"/>
      <c r="BF2540" s="21"/>
      <c r="BG2540" s="21"/>
      <c r="BH2540" s="21"/>
      <c r="BI2540" s="21"/>
    </row>
    <row r="2541" spans="1:61" x14ac:dyDescent="0.2">
      <c r="A2541">
        <v>1313</v>
      </c>
      <c r="B2541" t="s">
        <v>887</v>
      </c>
      <c r="C2541" t="str">
        <f t="shared" si="289"/>
        <v/>
      </c>
      <c r="D2541" t="str">
        <f t="shared" si="294"/>
        <v/>
      </c>
      <c r="H2541">
        <f t="shared" si="290"/>
        <v>3</v>
      </c>
      <c r="R2541">
        <v>91</v>
      </c>
      <c r="T2541" t="str">
        <f t="shared" si="288"/>
        <v>o</v>
      </c>
      <c r="Y2541" t="s">
        <v>722</v>
      </c>
      <c r="AA2541" t="s">
        <v>706</v>
      </c>
      <c r="AJ2541">
        <v>1</v>
      </c>
      <c r="AM2541" t="str">
        <f t="shared" si="291"/>
        <v>Pass</v>
      </c>
      <c r="AN2541" t="str">
        <f t="shared" si="292"/>
        <v>Pass_Deflected</v>
      </c>
      <c r="AP2541" t="str">
        <f t="shared" si="293"/>
        <v>Defensive</v>
      </c>
      <c r="BB2541" s="23"/>
      <c r="BD2541" s="21"/>
      <c r="BE2541" s="21"/>
      <c r="BF2541" s="21"/>
      <c r="BG2541" s="21"/>
      <c r="BH2541" s="21"/>
      <c r="BI2541" s="21"/>
    </row>
    <row r="2542" spans="1:61" x14ac:dyDescent="0.2">
      <c r="A2542">
        <v>1314</v>
      </c>
      <c r="B2542" t="s">
        <v>887</v>
      </c>
      <c r="C2542" t="str">
        <f t="shared" si="289"/>
        <v/>
      </c>
      <c r="D2542" t="str">
        <f t="shared" si="294"/>
        <v/>
      </c>
      <c r="H2542">
        <f t="shared" si="290"/>
        <v>3</v>
      </c>
      <c r="I2542" s="5" t="s">
        <v>742</v>
      </c>
      <c r="J2542" s="5" t="s">
        <v>738</v>
      </c>
      <c r="Q2542" t="s">
        <v>619</v>
      </c>
      <c r="R2542">
        <v>18</v>
      </c>
      <c r="S2542">
        <v>1</v>
      </c>
      <c r="T2542" t="str">
        <f t="shared" si="288"/>
        <v>e</v>
      </c>
      <c r="U2542" t="s">
        <v>15</v>
      </c>
      <c r="V2542" t="s">
        <v>698</v>
      </c>
      <c r="X2542" t="s">
        <v>705</v>
      </c>
      <c r="Y2542" t="s">
        <v>756</v>
      </c>
      <c r="AA2542" t="s">
        <v>705</v>
      </c>
      <c r="AF2542" t="s">
        <v>401</v>
      </c>
      <c r="AM2542" t="str">
        <f t="shared" si="291"/>
        <v>Possession</v>
      </c>
      <c r="AN2542" t="str">
        <f t="shared" si="292"/>
        <v>PuckRecovery</v>
      </c>
      <c r="AP2542" t="str">
        <f t="shared" si="293"/>
        <v>Offensive</v>
      </c>
      <c r="BB2542" s="23"/>
      <c r="BD2542" s="21"/>
      <c r="BE2542" s="21"/>
      <c r="BF2542" s="21"/>
      <c r="BG2542" s="21"/>
      <c r="BH2542" s="21"/>
      <c r="BI2542" s="21"/>
    </row>
    <row r="2543" spans="1:61" x14ac:dyDescent="0.2">
      <c r="A2543">
        <v>1315</v>
      </c>
      <c r="B2543" t="s">
        <v>887</v>
      </c>
      <c r="C2543" t="str">
        <f t="shared" si="289"/>
        <v/>
      </c>
      <c r="D2543" t="str">
        <f t="shared" si="294"/>
        <v/>
      </c>
      <c r="H2543">
        <f t="shared" si="290"/>
        <v>3</v>
      </c>
      <c r="I2543" s="5" t="s">
        <v>742</v>
      </c>
      <c r="J2543" s="5" t="s">
        <v>738</v>
      </c>
      <c r="Q2543" t="s">
        <v>619</v>
      </c>
      <c r="R2543">
        <v>18</v>
      </c>
      <c r="S2543">
        <v>1</v>
      </c>
      <c r="T2543" t="str">
        <f t="shared" si="288"/>
        <v>e</v>
      </c>
      <c r="U2543" t="s">
        <v>10</v>
      </c>
      <c r="V2543" t="s">
        <v>190</v>
      </c>
      <c r="W2543" t="s">
        <v>424</v>
      </c>
      <c r="X2543" t="s">
        <v>705</v>
      </c>
      <c r="Y2543" t="s">
        <v>680</v>
      </c>
      <c r="Z2543" t="s">
        <v>814</v>
      </c>
      <c r="AA2543" t="s">
        <v>705</v>
      </c>
      <c r="AF2543" t="s">
        <v>401</v>
      </c>
      <c r="AM2543" t="str">
        <f t="shared" si="291"/>
        <v>Turnover</v>
      </c>
      <c r="AN2543" t="str">
        <f t="shared" si="292"/>
        <v>Turnover_Giveaway</v>
      </c>
      <c r="AP2543" t="str">
        <f t="shared" si="293"/>
        <v>Offensive</v>
      </c>
      <c r="BB2543" s="23"/>
      <c r="BD2543" s="21"/>
      <c r="BE2543" s="21"/>
      <c r="BF2543" s="21"/>
      <c r="BG2543" s="21"/>
      <c r="BH2543" s="21"/>
      <c r="BI2543" s="21"/>
    </row>
    <row r="2544" spans="1:61" x14ac:dyDescent="0.2">
      <c r="A2544">
        <v>1316</v>
      </c>
      <c r="B2544" t="s">
        <v>887</v>
      </c>
      <c r="C2544" t="str">
        <f t="shared" si="289"/>
        <v/>
      </c>
      <c r="D2544" t="str">
        <f t="shared" si="294"/>
        <v/>
      </c>
      <c r="H2544">
        <f t="shared" si="290"/>
        <v>3</v>
      </c>
      <c r="I2544" s="5" t="s">
        <v>742</v>
      </c>
      <c r="J2544" s="5" t="s">
        <v>785</v>
      </c>
      <c r="K2544" s="5" t="s">
        <v>742</v>
      </c>
      <c r="L2544" s="7" t="s">
        <v>741</v>
      </c>
      <c r="Q2544" t="s">
        <v>620</v>
      </c>
      <c r="R2544">
        <v>42</v>
      </c>
      <c r="S2544">
        <v>1</v>
      </c>
      <c r="T2544" t="str">
        <f t="shared" si="288"/>
        <v>e</v>
      </c>
      <c r="U2544" t="s">
        <v>15</v>
      </c>
      <c r="V2544" t="s">
        <v>697</v>
      </c>
      <c r="X2544" t="s">
        <v>706</v>
      </c>
      <c r="Y2544" t="s">
        <v>712</v>
      </c>
      <c r="AA2544" t="s">
        <v>706</v>
      </c>
      <c r="AF2544" t="s">
        <v>623</v>
      </c>
      <c r="AM2544" t="str">
        <f t="shared" si="291"/>
        <v>Possession</v>
      </c>
      <c r="AN2544" t="str">
        <f t="shared" si="292"/>
        <v>PuckRetrieval</v>
      </c>
      <c r="AP2544" t="str">
        <f t="shared" si="293"/>
        <v>Offensive</v>
      </c>
      <c r="BB2544" s="23"/>
      <c r="BD2544" s="21"/>
      <c r="BE2544" s="21"/>
      <c r="BF2544" s="21"/>
      <c r="BG2544" s="21"/>
      <c r="BH2544" s="21"/>
      <c r="BI2544" s="21"/>
    </row>
    <row r="2545" spans="1:61" x14ac:dyDescent="0.2">
      <c r="A2545">
        <v>1317</v>
      </c>
      <c r="B2545" t="s">
        <v>887</v>
      </c>
      <c r="C2545" t="str">
        <f t="shared" si="289"/>
        <v/>
      </c>
      <c r="D2545" t="str">
        <f t="shared" si="294"/>
        <v/>
      </c>
      <c r="H2545">
        <f t="shared" si="290"/>
        <v>3</v>
      </c>
      <c r="I2545" s="5" t="s">
        <v>742</v>
      </c>
      <c r="J2545" s="5" t="s">
        <v>741</v>
      </c>
      <c r="K2545" s="5" t="s">
        <v>742</v>
      </c>
      <c r="L2545" s="7" t="s">
        <v>786</v>
      </c>
      <c r="Q2545" t="s">
        <v>620</v>
      </c>
      <c r="R2545">
        <v>42</v>
      </c>
      <c r="S2545">
        <v>1</v>
      </c>
      <c r="T2545" t="str">
        <f t="shared" si="288"/>
        <v>e</v>
      </c>
      <c r="U2545" t="s">
        <v>15</v>
      </c>
      <c r="Y2545" t="s">
        <v>767</v>
      </c>
      <c r="AA2545" t="s">
        <v>706</v>
      </c>
      <c r="AF2545" t="s">
        <v>623</v>
      </c>
      <c r="AJ2545">
        <v>1</v>
      </c>
      <c r="AM2545" t="str">
        <f t="shared" si="291"/>
        <v>Possession</v>
      </c>
      <c r="AN2545" t="str">
        <f t="shared" si="292"/>
        <v/>
      </c>
      <c r="AP2545" t="str">
        <f t="shared" si="293"/>
        <v>Offensive</v>
      </c>
      <c r="BB2545" s="23"/>
      <c r="BD2545" s="21"/>
      <c r="BE2545" s="21"/>
      <c r="BF2545" s="21"/>
      <c r="BG2545" s="21"/>
      <c r="BH2545" s="21"/>
      <c r="BI2545" s="21"/>
    </row>
    <row r="2546" spans="1:61" x14ac:dyDescent="0.2">
      <c r="A2546">
        <v>1317</v>
      </c>
      <c r="B2546" t="s">
        <v>887</v>
      </c>
      <c r="C2546" t="str">
        <f t="shared" si="289"/>
        <v/>
      </c>
      <c r="D2546" t="str">
        <f t="shared" si="294"/>
        <v/>
      </c>
      <c r="H2546">
        <f t="shared" si="290"/>
        <v>3</v>
      </c>
      <c r="R2546">
        <v>13</v>
      </c>
      <c r="T2546" t="str">
        <f t="shared" si="288"/>
        <v>o</v>
      </c>
      <c r="Y2546" t="s">
        <v>764</v>
      </c>
      <c r="AJ2546">
        <v>1</v>
      </c>
      <c r="AM2546" t="str">
        <f t="shared" si="291"/>
        <v>Possession</v>
      </c>
      <c r="AN2546" t="str">
        <f t="shared" si="292"/>
        <v/>
      </c>
      <c r="AP2546" t="str">
        <f t="shared" si="293"/>
        <v>Defensive</v>
      </c>
      <c r="BB2546" s="23"/>
      <c r="BD2546" s="21"/>
      <c r="BE2546" s="21"/>
      <c r="BF2546" s="21"/>
      <c r="BG2546" s="21"/>
      <c r="BH2546" s="21"/>
      <c r="BI2546" s="21"/>
    </row>
    <row r="2547" spans="1:61" x14ac:dyDescent="0.2">
      <c r="A2547">
        <v>1318</v>
      </c>
      <c r="B2547" t="s">
        <v>887</v>
      </c>
      <c r="C2547" t="str">
        <f t="shared" si="289"/>
        <v/>
      </c>
      <c r="D2547" t="str">
        <f t="shared" si="294"/>
        <v/>
      </c>
      <c r="H2547">
        <f t="shared" si="290"/>
        <v>3</v>
      </c>
      <c r="I2547" s="5" t="s">
        <v>742</v>
      </c>
      <c r="J2547" s="5" t="s">
        <v>786</v>
      </c>
      <c r="K2547" s="5" t="s">
        <v>742</v>
      </c>
      <c r="L2547" s="7" t="s">
        <v>446</v>
      </c>
      <c r="Q2547" t="s">
        <v>620</v>
      </c>
      <c r="R2547">
        <v>42</v>
      </c>
      <c r="S2547">
        <v>1</v>
      </c>
      <c r="T2547" t="str">
        <f t="shared" si="288"/>
        <v>e</v>
      </c>
      <c r="U2547" t="s">
        <v>257</v>
      </c>
      <c r="V2547" t="s">
        <v>201</v>
      </c>
      <c r="W2547" t="s">
        <v>90</v>
      </c>
      <c r="X2547" t="s">
        <v>706</v>
      </c>
      <c r="Y2547" t="s">
        <v>678</v>
      </c>
      <c r="AA2547" t="s">
        <v>706</v>
      </c>
      <c r="AF2547" t="s">
        <v>623</v>
      </c>
      <c r="AM2547" t="str">
        <f t="shared" si="291"/>
        <v>Zone_Entry_Exit</v>
      </c>
      <c r="AN2547" t="str">
        <f t="shared" si="292"/>
        <v>Zone_Exit</v>
      </c>
      <c r="AP2547" t="str">
        <f t="shared" si="293"/>
        <v>Offensive</v>
      </c>
      <c r="BB2547" s="23"/>
      <c r="BD2547" s="21"/>
      <c r="BE2547" s="21"/>
      <c r="BF2547" s="21"/>
      <c r="BG2547" s="21"/>
      <c r="BH2547" s="21"/>
      <c r="BI2547" s="21"/>
    </row>
    <row r="2548" spans="1:61" x14ac:dyDescent="0.2">
      <c r="A2548">
        <v>1319</v>
      </c>
      <c r="B2548" t="s">
        <v>887</v>
      </c>
      <c r="C2548" t="str">
        <f t="shared" si="289"/>
        <v/>
      </c>
      <c r="D2548" t="str">
        <f t="shared" si="294"/>
        <v/>
      </c>
      <c r="H2548">
        <f t="shared" si="290"/>
        <v>3</v>
      </c>
      <c r="I2548" s="5" t="s">
        <v>742</v>
      </c>
      <c r="J2548" s="5" t="s">
        <v>446</v>
      </c>
      <c r="K2548" s="5" t="s">
        <v>734</v>
      </c>
      <c r="L2548" s="7" t="s">
        <v>638</v>
      </c>
      <c r="Q2548" t="s">
        <v>620</v>
      </c>
      <c r="R2548">
        <v>42</v>
      </c>
      <c r="S2548">
        <v>1</v>
      </c>
      <c r="T2548" t="str">
        <f t="shared" si="288"/>
        <v>e</v>
      </c>
      <c r="U2548" t="s">
        <v>15</v>
      </c>
      <c r="AF2548" t="s">
        <v>635</v>
      </c>
      <c r="AM2548" t="str">
        <f t="shared" si="291"/>
        <v>Possession</v>
      </c>
      <c r="AN2548" t="str">
        <f t="shared" si="292"/>
        <v/>
      </c>
      <c r="AP2548" t="str">
        <f t="shared" si="293"/>
        <v>Offensive</v>
      </c>
      <c r="BB2548" s="23"/>
      <c r="BD2548" s="21"/>
      <c r="BE2548" s="21"/>
      <c r="BF2548" s="21"/>
      <c r="BG2548" s="21"/>
      <c r="BH2548" s="21"/>
      <c r="BI2548" s="21"/>
    </row>
    <row r="2549" spans="1:61" x14ac:dyDescent="0.2">
      <c r="A2549">
        <v>1320</v>
      </c>
      <c r="B2549" t="s">
        <v>887</v>
      </c>
      <c r="C2549" t="str">
        <f t="shared" si="289"/>
        <v/>
      </c>
      <c r="D2549" t="str">
        <f t="shared" si="294"/>
        <v/>
      </c>
      <c r="H2549">
        <f t="shared" si="290"/>
        <v>3</v>
      </c>
      <c r="I2549" s="5" t="s">
        <v>734</v>
      </c>
      <c r="J2549" s="5" t="s">
        <v>638</v>
      </c>
      <c r="K2549" s="5" t="s">
        <v>734</v>
      </c>
      <c r="L2549" s="7" t="s">
        <v>637</v>
      </c>
      <c r="Q2549" t="s">
        <v>620</v>
      </c>
      <c r="R2549">
        <v>42</v>
      </c>
      <c r="S2549">
        <v>1</v>
      </c>
      <c r="T2549" t="str">
        <f t="shared" si="288"/>
        <v>e</v>
      </c>
      <c r="U2549" t="s">
        <v>257</v>
      </c>
      <c r="V2549" t="s">
        <v>191</v>
      </c>
      <c r="W2549" t="s">
        <v>87</v>
      </c>
      <c r="X2549" t="s">
        <v>706</v>
      </c>
      <c r="Y2549" t="s">
        <v>728</v>
      </c>
      <c r="AA2549" t="s">
        <v>706</v>
      </c>
      <c r="AF2549" t="s">
        <v>401</v>
      </c>
      <c r="AJ2549">
        <v>1</v>
      </c>
      <c r="AM2549" t="str">
        <f t="shared" si="291"/>
        <v>Zone_Entry_Exit</v>
      </c>
      <c r="AN2549" t="str">
        <f t="shared" si="292"/>
        <v>Zone_Entry</v>
      </c>
      <c r="AP2549" t="str">
        <f t="shared" si="293"/>
        <v>Offensive</v>
      </c>
      <c r="BB2549" s="23"/>
      <c r="BD2549" s="21"/>
      <c r="BE2549" s="21"/>
      <c r="BF2549" s="21"/>
      <c r="BG2549" s="21"/>
      <c r="BH2549" s="21"/>
      <c r="BI2549" s="21"/>
    </row>
    <row r="2550" spans="1:61" x14ac:dyDescent="0.2">
      <c r="A2550">
        <v>1320</v>
      </c>
      <c r="B2550" t="s">
        <v>887</v>
      </c>
      <c r="C2550" t="str">
        <f t="shared" si="289"/>
        <v/>
      </c>
      <c r="D2550" t="str">
        <f t="shared" si="294"/>
        <v/>
      </c>
      <c r="H2550">
        <f t="shared" si="290"/>
        <v>3</v>
      </c>
      <c r="R2550">
        <v>55</v>
      </c>
      <c r="S2550">
        <v>1</v>
      </c>
      <c r="T2550" t="str">
        <f t="shared" si="288"/>
        <v>e</v>
      </c>
      <c r="AM2550" t="str">
        <f t="shared" si="291"/>
        <v>Zone_Entry_Exit</v>
      </c>
      <c r="AN2550" t="str">
        <f t="shared" si="292"/>
        <v>Zone_Entry</v>
      </c>
      <c r="AP2550" t="str">
        <f t="shared" si="293"/>
        <v>Offensive</v>
      </c>
      <c r="BB2550" s="23"/>
      <c r="BD2550" s="21"/>
      <c r="BE2550" s="21"/>
      <c r="BF2550" s="21"/>
      <c r="BG2550" s="21"/>
      <c r="BH2550" s="21"/>
      <c r="BI2550" s="21"/>
    </row>
    <row r="2551" spans="1:61" x14ac:dyDescent="0.2">
      <c r="A2551">
        <v>1320</v>
      </c>
      <c r="B2551" t="s">
        <v>887</v>
      </c>
      <c r="C2551" t="str">
        <f t="shared" si="289"/>
        <v/>
      </c>
      <c r="D2551" t="str">
        <f t="shared" si="294"/>
        <v/>
      </c>
      <c r="H2551">
        <f t="shared" si="290"/>
        <v>3</v>
      </c>
      <c r="R2551">
        <v>14</v>
      </c>
      <c r="S2551">
        <v>1</v>
      </c>
      <c r="T2551" t="str">
        <f t="shared" si="288"/>
        <v>e</v>
      </c>
      <c r="AM2551" t="str">
        <f t="shared" si="291"/>
        <v>Zone_Entry_Exit</v>
      </c>
      <c r="AN2551" t="str">
        <f t="shared" si="292"/>
        <v>Zone_Entry</v>
      </c>
      <c r="AP2551" t="str">
        <f t="shared" si="293"/>
        <v>Offensive</v>
      </c>
      <c r="BB2551" s="23"/>
      <c r="BD2551" s="21"/>
      <c r="BE2551" s="21"/>
      <c r="BF2551" s="21"/>
      <c r="BG2551" s="21"/>
      <c r="BH2551" s="21"/>
      <c r="BI2551" s="21"/>
    </row>
    <row r="2552" spans="1:61" x14ac:dyDescent="0.2">
      <c r="A2552">
        <v>1320</v>
      </c>
      <c r="B2552" t="s">
        <v>887</v>
      </c>
      <c r="C2552" t="str">
        <f t="shared" si="289"/>
        <v/>
      </c>
      <c r="D2552" t="str">
        <f t="shared" si="294"/>
        <v/>
      </c>
      <c r="H2552">
        <f t="shared" si="290"/>
        <v>3</v>
      </c>
      <c r="R2552">
        <v>18</v>
      </c>
      <c r="T2552" t="str">
        <f t="shared" si="288"/>
        <v>o</v>
      </c>
      <c r="AJ2552">
        <v>1</v>
      </c>
      <c r="AM2552" t="str">
        <f t="shared" si="291"/>
        <v>Zone_Entry_Exit</v>
      </c>
      <c r="AN2552" t="str">
        <f t="shared" si="292"/>
        <v>Zone_Entry</v>
      </c>
      <c r="AP2552" t="str">
        <f t="shared" si="293"/>
        <v>Defensive</v>
      </c>
      <c r="BB2552" s="23"/>
      <c r="BD2552" s="21"/>
      <c r="BE2552" s="21"/>
      <c r="BF2552" s="21"/>
      <c r="BG2552" s="21"/>
      <c r="BH2552" s="21"/>
      <c r="BI2552" s="21"/>
    </row>
    <row r="2553" spans="1:61" x14ac:dyDescent="0.2">
      <c r="A2553">
        <v>1320</v>
      </c>
      <c r="B2553" t="s">
        <v>887</v>
      </c>
      <c r="C2553" t="str">
        <f t="shared" si="289"/>
        <v/>
      </c>
      <c r="D2553" t="str">
        <f t="shared" si="294"/>
        <v/>
      </c>
      <c r="H2553">
        <f t="shared" si="290"/>
        <v>3</v>
      </c>
      <c r="R2553">
        <v>68</v>
      </c>
      <c r="T2553" t="str">
        <f t="shared" si="288"/>
        <v>o</v>
      </c>
      <c r="AM2553" t="str">
        <f t="shared" si="291"/>
        <v>Zone_Entry_Exit</v>
      </c>
      <c r="AN2553" t="str">
        <f t="shared" si="292"/>
        <v>Zone_Entry</v>
      </c>
      <c r="AP2553" t="str">
        <f t="shared" si="293"/>
        <v>Defensive</v>
      </c>
      <c r="BB2553" s="23"/>
      <c r="BD2553" s="21"/>
      <c r="BE2553" s="21"/>
      <c r="BF2553" s="21"/>
      <c r="BG2553" s="21"/>
      <c r="BH2553" s="21"/>
      <c r="BI2553" s="21"/>
    </row>
    <row r="2554" spans="1:61" x14ac:dyDescent="0.2">
      <c r="A2554">
        <v>1320</v>
      </c>
      <c r="B2554" t="s">
        <v>887</v>
      </c>
      <c r="C2554" t="str">
        <f t="shared" si="289"/>
        <v/>
      </c>
      <c r="D2554" t="str">
        <f t="shared" si="294"/>
        <v/>
      </c>
      <c r="H2554">
        <f t="shared" si="290"/>
        <v>3</v>
      </c>
      <c r="R2554">
        <v>44</v>
      </c>
      <c r="T2554" t="str">
        <f t="shared" si="288"/>
        <v>o</v>
      </c>
      <c r="AM2554" t="str">
        <f t="shared" si="291"/>
        <v>Zone_Entry_Exit</v>
      </c>
      <c r="AN2554" t="str">
        <f t="shared" si="292"/>
        <v>Zone_Entry</v>
      </c>
      <c r="AP2554" t="str">
        <f t="shared" si="293"/>
        <v>Defensive</v>
      </c>
      <c r="BB2554" s="23"/>
      <c r="BD2554" s="21"/>
      <c r="BE2554" s="21"/>
      <c r="BF2554" s="21"/>
      <c r="BG2554" s="21"/>
      <c r="BH2554" s="21"/>
      <c r="BI2554" s="21"/>
    </row>
    <row r="2555" spans="1:61" x14ac:dyDescent="0.2">
      <c r="A2555">
        <v>1321</v>
      </c>
      <c r="B2555" t="s">
        <v>887</v>
      </c>
      <c r="C2555" t="str">
        <f t="shared" si="289"/>
        <v/>
      </c>
      <c r="D2555" t="str">
        <f t="shared" si="294"/>
        <v/>
      </c>
      <c r="H2555">
        <f t="shared" si="290"/>
        <v>3</v>
      </c>
      <c r="I2555" s="5" t="s">
        <v>734</v>
      </c>
      <c r="J2555" s="5" t="s">
        <v>762</v>
      </c>
      <c r="Q2555" t="s">
        <v>620</v>
      </c>
      <c r="R2555">
        <v>42</v>
      </c>
      <c r="S2555">
        <v>1</v>
      </c>
      <c r="T2555" t="str">
        <f t="shared" si="288"/>
        <v>e</v>
      </c>
      <c r="U2555" t="s">
        <v>8</v>
      </c>
      <c r="V2555" t="s">
        <v>209</v>
      </c>
      <c r="W2555" t="s">
        <v>70</v>
      </c>
      <c r="X2555" t="s">
        <v>705</v>
      </c>
      <c r="AF2555" t="s">
        <v>401</v>
      </c>
      <c r="AM2555" t="str">
        <f t="shared" si="291"/>
        <v>Pass</v>
      </c>
      <c r="AN2555" t="str">
        <f t="shared" si="292"/>
        <v>Pass_Deflected</v>
      </c>
      <c r="AP2555" t="str">
        <f t="shared" si="293"/>
        <v>Offensive</v>
      </c>
      <c r="BB2555" s="23"/>
      <c r="BD2555" s="21"/>
      <c r="BE2555" s="21"/>
      <c r="BF2555" s="21"/>
      <c r="BG2555" s="21"/>
      <c r="BH2555" s="21"/>
      <c r="BI2555" s="21"/>
    </row>
    <row r="2556" spans="1:61" x14ac:dyDescent="0.2">
      <c r="A2556">
        <v>1321</v>
      </c>
      <c r="B2556" t="s">
        <v>887</v>
      </c>
      <c r="C2556" t="str">
        <f t="shared" si="289"/>
        <v/>
      </c>
      <c r="D2556" t="str">
        <f t="shared" si="294"/>
        <v/>
      </c>
      <c r="H2556">
        <f t="shared" si="290"/>
        <v>3</v>
      </c>
      <c r="R2556">
        <v>55</v>
      </c>
      <c r="S2556">
        <v>1</v>
      </c>
      <c r="T2556" t="str">
        <f t="shared" si="288"/>
        <v>e</v>
      </c>
      <c r="AJ2556">
        <v>1</v>
      </c>
      <c r="AM2556" t="str">
        <f t="shared" si="291"/>
        <v>Pass</v>
      </c>
      <c r="AN2556" t="str">
        <f t="shared" si="292"/>
        <v>Pass_Deflected</v>
      </c>
      <c r="AP2556" t="str">
        <f t="shared" si="293"/>
        <v>Offensive</v>
      </c>
      <c r="BB2556" s="23"/>
      <c r="BD2556" s="21"/>
      <c r="BE2556" s="21"/>
      <c r="BF2556" s="21"/>
      <c r="BG2556" s="21"/>
      <c r="BH2556" s="21"/>
      <c r="BI2556" s="21"/>
    </row>
    <row r="2557" spans="1:61" x14ac:dyDescent="0.2">
      <c r="A2557">
        <v>1321</v>
      </c>
      <c r="B2557" t="s">
        <v>887</v>
      </c>
      <c r="C2557" t="str">
        <f t="shared" si="289"/>
        <v/>
      </c>
      <c r="D2557" t="str">
        <f t="shared" si="294"/>
        <v/>
      </c>
      <c r="H2557">
        <f t="shared" si="290"/>
        <v>3</v>
      </c>
      <c r="R2557">
        <v>77</v>
      </c>
      <c r="T2557" t="str">
        <f t="shared" si="288"/>
        <v>o</v>
      </c>
      <c r="Y2557" t="s">
        <v>722</v>
      </c>
      <c r="Z2557" t="s">
        <v>715</v>
      </c>
      <c r="AA2557" t="s">
        <v>706</v>
      </c>
      <c r="AJ2557">
        <v>1</v>
      </c>
      <c r="AM2557" t="str">
        <f t="shared" si="291"/>
        <v>Pass</v>
      </c>
      <c r="AN2557" t="str">
        <f t="shared" si="292"/>
        <v>Pass_Deflected</v>
      </c>
      <c r="AP2557" t="str">
        <f t="shared" si="293"/>
        <v>Defensive</v>
      </c>
      <c r="BB2557" s="23"/>
      <c r="BD2557" s="21"/>
      <c r="BE2557" s="21"/>
      <c r="BF2557" s="21"/>
      <c r="BG2557" s="21"/>
      <c r="BH2557" s="21"/>
      <c r="BI2557" s="21"/>
    </row>
    <row r="2558" spans="1:61" x14ac:dyDescent="0.2">
      <c r="A2558">
        <v>1322</v>
      </c>
      <c r="B2558">
        <v>202</v>
      </c>
      <c r="C2558">
        <f t="shared" si="289"/>
        <v>9202</v>
      </c>
      <c r="D2558">
        <f t="shared" si="294"/>
        <v>9202</v>
      </c>
      <c r="H2558">
        <f t="shared" si="290"/>
        <v>3</v>
      </c>
      <c r="I2558" s="5" t="s">
        <v>734</v>
      </c>
      <c r="J2558" s="5" t="s">
        <v>639</v>
      </c>
      <c r="Q2558" t="s">
        <v>619</v>
      </c>
      <c r="R2558">
        <v>77</v>
      </c>
      <c r="S2558">
        <v>1</v>
      </c>
      <c r="T2558" t="str">
        <f t="shared" si="288"/>
        <v>e</v>
      </c>
      <c r="U2558" t="s">
        <v>15</v>
      </c>
      <c r="V2558" t="s">
        <v>697</v>
      </c>
      <c r="X2558" t="s">
        <v>705</v>
      </c>
      <c r="Y2558" t="s">
        <v>725</v>
      </c>
      <c r="AA2558" t="s">
        <v>705</v>
      </c>
      <c r="AF2558" t="s">
        <v>623</v>
      </c>
      <c r="AJ2558">
        <v>1</v>
      </c>
      <c r="AM2558" t="str">
        <f t="shared" si="291"/>
        <v>Possession</v>
      </c>
      <c r="AN2558" t="str">
        <f t="shared" si="292"/>
        <v>PuckRetrieval</v>
      </c>
      <c r="AP2558" t="str">
        <f t="shared" si="293"/>
        <v>Offensive</v>
      </c>
      <c r="BB2558" s="23"/>
      <c r="BD2558" s="21"/>
      <c r="BE2558" s="21"/>
      <c r="BF2558" s="21"/>
      <c r="BG2558" s="21"/>
      <c r="BH2558" s="21"/>
      <c r="BI2558" s="21"/>
    </row>
    <row r="2559" spans="1:61" x14ac:dyDescent="0.2">
      <c r="A2559">
        <v>1322</v>
      </c>
      <c r="B2559">
        <v>202</v>
      </c>
      <c r="C2559">
        <f t="shared" si="289"/>
        <v>9202</v>
      </c>
      <c r="D2559">
        <f t="shared" si="294"/>
        <v>9202</v>
      </c>
      <c r="H2559">
        <f t="shared" si="290"/>
        <v>3</v>
      </c>
      <c r="R2559">
        <v>55</v>
      </c>
      <c r="T2559" t="str">
        <f t="shared" si="288"/>
        <v>o</v>
      </c>
      <c r="Y2559" t="s">
        <v>853</v>
      </c>
      <c r="AA2559" t="s">
        <v>705</v>
      </c>
      <c r="AJ2559">
        <v>1</v>
      </c>
      <c r="AM2559" t="str">
        <f t="shared" si="291"/>
        <v>Possession</v>
      </c>
      <c r="AN2559" t="str">
        <f t="shared" si="292"/>
        <v>PuckRetrieval</v>
      </c>
      <c r="AP2559" t="str">
        <f t="shared" si="293"/>
        <v>Defensive</v>
      </c>
      <c r="BB2559" s="23"/>
      <c r="BD2559" s="21"/>
      <c r="BE2559" s="21"/>
      <c r="BF2559" s="21"/>
      <c r="BG2559" s="21"/>
      <c r="BH2559" s="21"/>
      <c r="BI2559" s="21"/>
    </row>
    <row r="2560" spans="1:61" x14ac:dyDescent="0.2">
      <c r="A2560">
        <v>1323</v>
      </c>
      <c r="B2560">
        <v>202</v>
      </c>
      <c r="C2560">
        <f t="shared" si="289"/>
        <v>9202</v>
      </c>
      <c r="D2560">
        <f t="shared" si="294"/>
        <v>9202</v>
      </c>
      <c r="H2560">
        <f t="shared" si="290"/>
        <v>3</v>
      </c>
      <c r="I2560" s="5" t="s">
        <v>734</v>
      </c>
      <c r="J2560" s="5" t="s">
        <v>753</v>
      </c>
      <c r="Q2560" t="s">
        <v>620</v>
      </c>
      <c r="R2560">
        <v>55</v>
      </c>
      <c r="S2560">
        <v>1</v>
      </c>
      <c r="U2560" t="s">
        <v>12</v>
      </c>
      <c r="V2560" t="s">
        <v>192</v>
      </c>
      <c r="W2560" t="s">
        <v>141</v>
      </c>
      <c r="AF2560" t="s">
        <v>401</v>
      </c>
      <c r="AJ2560">
        <v>1</v>
      </c>
      <c r="AM2560" t="str">
        <f t="shared" si="291"/>
        <v>Penalty</v>
      </c>
      <c r="AN2560" t="str">
        <f t="shared" si="292"/>
        <v>Penalty_Minor</v>
      </c>
      <c r="AP2560" t="str">
        <f t="shared" si="293"/>
        <v/>
      </c>
      <c r="BB2560" s="23"/>
      <c r="BD2560" s="21"/>
      <c r="BE2560" s="21"/>
      <c r="BF2560" s="21"/>
      <c r="BG2560" s="21"/>
      <c r="BH2560" s="21"/>
      <c r="BI2560" s="21"/>
    </row>
    <row r="2561" spans="1:61" x14ac:dyDescent="0.2">
      <c r="A2561">
        <v>1323</v>
      </c>
      <c r="B2561">
        <v>202</v>
      </c>
      <c r="C2561">
        <f t="shared" si="289"/>
        <v>9202</v>
      </c>
      <c r="D2561">
        <f t="shared" si="294"/>
        <v>9202</v>
      </c>
      <c r="H2561">
        <f t="shared" si="290"/>
        <v>3</v>
      </c>
      <c r="R2561">
        <v>77</v>
      </c>
      <c r="AJ2561">
        <v>1</v>
      </c>
      <c r="AM2561" t="str">
        <f t="shared" si="291"/>
        <v>Penalty</v>
      </c>
      <c r="AN2561" t="str">
        <f t="shared" si="292"/>
        <v>Penalty_Minor</v>
      </c>
      <c r="AP2561" t="str">
        <f t="shared" si="293"/>
        <v/>
      </c>
      <c r="BB2561" s="23"/>
      <c r="BD2561" s="21"/>
      <c r="BE2561" s="21"/>
      <c r="BF2561" s="21"/>
      <c r="BG2561" s="21"/>
      <c r="BH2561" s="21"/>
      <c r="BI2561" s="21"/>
    </row>
    <row r="2562" spans="1:61" x14ac:dyDescent="0.2">
      <c r="A2562">
        <v>1324</v>
      </c>
      <c r="B2562">
        <v>202</v>
      </c>
      <c r="C2562">
        <f t="shared" si="289"/>
        <v>9202</v>
      </c>
      <c r="D2562">
        <f t="shared" si="294"/>
        <v>9202</v>
      </c>
      <c r="H2562">
        <f t="shared" si="290"/>
        <v>3</v>
      </c>
      <c r="I2562" s="5" t="s">
        <v>734</v>
      </c>
      <c r="J2562" s="5" t="s">
        <v>753</v>
      </c>
      <c r="Q2562" t="s">
        <v>620</v>
      </c>
      <c r="R2562">
        <v>55</v>
      </c>
      <c r="S2562">
        <v>1</v>
      </c>
      <c r="U2562" t="s">
        <v>13</v>
      </c>
      <c r="V2562" t="s">
        <v>204</v>
      </c>
      <c r="W2562" t="s">
        <v>43</v>
      </c>
      <c r="AF2562" t="s">
        <v>401</v>
      </c>
      <c r="AM2562" t="str">
        <f t="shared" si="291"/>
        <v>Stoppage</v>
      </c>
      <c r="AN2562" t="str">
        <f t="shared" si="292"/>
        <v>Stoppage_Play</v>
      </c>
      <c r="AP2562" t="str">
        <f t="shared" si="293"/>
        <v/>
      </c>
      <c r="BB2562" s="23"/>
      <c r="BD2562" s="21"/>
      <c r="BE2562" s="21"/>
      <c r="BF2562" s="21"/>
      <c r="BG2562" s="21"/>
      <c r="BH2562" s="21"/>
      <c r="BI2562" s="21"/>
    </row>
    <row r="2563" spans="1:61" x14ac:dyDescent="0.2">
      <c r="A2563">
        <v>1324</v>
      </c>
      <c r="B2563">
        <v>202</v>
      </c>
      <c r="C2563">
        <f t="shared" si="289"/>
        <v>9202</v>
      </c>
      <c r="D2563">
        <f t="shared" si="294"/>
        <v>9202</v>
      </c>
      <c r="H2563">
        <f t="shared" si="290"/>
        <v>3</v>
      </c>
      <c r="I2563" s="5" t="s">
        <v>734</v>
      </c>
      <c r="J2563" s="5" t="s">
        <v>753</v>
      </c>
      <c r="K2563" s="5" t="s">
        <v>734</v>
      </c>
      <c r="L2563" s="7" t="s">
        <v>734</v>
      </c>
      <c r="Q2563" t="s">
        <v>620</v>
      </c>
      <c r="R2563">
        <v>55</v>
      </c>
      <c r="S2563">
        <v>1</v>
      </c>
      <c r="U2563" t="s">
        <v>262</v>
      </c>
      <c r="AF2563" t="s">
        <v>401</v>
      </c>
      <c r="AM2563" t="str">
        <f t="shared" si="291"/>
        <v>DeadIce</v>
      </c>
      <c r="AN2563" t="str">
        <f t="shared" si="292"/>
        <v>Stoppage_Play</v>
      </c>
      <c r="AP2563" t="str">
        <f t="shared" si="293"/>
        <v/>
      </c>
      <c r="BB2563" s="23"/>
      <c r="BD2563" s="21"/>
      <c r="BE2563" s="21"/>
      <c r="BF2563" s="21"/>
      <c r="BG2563" s="21"/>
      <c r="BH2563" s="21"/>
      <c r="BI2563" s="21"/>
    </row>
    <row r="2564" spans="1:61" x14ac:dyDescent="0.2">
      <c r="A2564">
        <v>1325</v>
      </c>
      <c r="C2564" t="str">
        <f t="shared" ref="C2564:C2627" si="295">IF(B2564&lt;&gt;"",9000+B2564,"")</f>
        <v/>
      </c>
      <c r="D2564">
        <f t="shared" si="294"/>
        <v>0</v>
      </c>
      <c r="H2564">
        <f t="shared" si="290"/>
        <v>3</v>
      </c>
      <c r="I2564" s="5" t="s">
        <v>734</v>
      </c>
      <c r="J2564" s="5" t="s">
        <v>734</v>
      </c>
      <c r="Q2564" t="s">
        <v>620</v>
      </c>
      <c r="R2564">
        <v>70</v>
      </c>
      <c r="S2564">
        <v>1</v>
      </c>
      <c r="U2564" t="s">
        <v>6</v>
      </c>
      <c r="V2564" t="s">
        <v>197</v>
      </c>
      <c r="AF2564" t="s">
        <v>623</v>
      </c>
      <c r="AM2564" t="str">
        <f t="shared" si="291"/>
        <v>Faceoff</v>
      </c>
      <c r="AN2564" t="str">
        <f t="shared" si="292"/>
        <v>Faceoff_AfterPenalty</v>
      </c>
      <c r="AP2564" t="str">
        <f t="shared" si="293"/>
        <v/>
      </c>
      <c r="BB2564" s="23"/>
      <c r="BD2564" s="21"/>
      <c r="BE2564" s="21"/>
      <c r="BF2564" s="21"/>
      <c r="BG2564" s="21"/>
      <c r="BH2564" s="21"/>
      <c r="BI2564" s="21"/>
    </row>
    <row r="2565" spans="1:61" x14ac:dyDescent="0.2">
      <c r="A2565">
        <v>1325</v>
      </c>
      <c r="C2565" t="str">
        <f t="shared" si="295"/>
        <v/>
      </c>
      <c r="D2565">
        <f t="shared" si="294"/>
        <v>0</v>
      </c>
      <c r="H2565">
        <f t="shared" ref="H2565:H2628" si="296">IF(U2565="Intermission",H2564+1,H2564)</f>
        <v>3</v>
      </c>
      <c r="R2565">
        <v>22</v>
      </c>
      <c r="S2565">
        <v>1</v>
      </c>
      <c r="AM2565" t="str">
        <f t="shared" ref="AM2565:AM2604" si="297">IF(U2565&lt;&gt;"",U2565,IF($A2565=$A2564,AM2564,""))</f>
        <v>Faceoff</v>
      </c>
      <c r="AN2565" t="str">
        <f t="shared" ref="AN2565:AN2604" si="298">IF(V2565&lt;&gt;"",V2565,IF($A2565=$A2564,AN2564,""))</f>
        <v>Faceoff_AfterPenalty</v>
      </c>
      <c r="AP2565" t="str">
        <f t="shared" si="293"/>
        <v/>
      </c>
      <c r="BB2565" s="23"/>
      <c r="BD2565" s="21"/>
      <c r="BE2565" s="21"/>
      <c r="BF2565" s="21"/>
      <c r="BG2565" s="21"/>
      <c r="BH2565" s="21"/>
      <c r="BI2565" s="21"/>
    </row>
    <row r="2566" spans="1:61" x14ac:dyDescent="0.2">
      <c r="A2566">
        <v>1325</v>
      </c>
      <c r="C2566" t="str">
        <f t="shared" si="295"/>
        <v/>
      </c>
      <c r="D2566">
        <f t="shared" si="294"/>
        <v>0</v>
      </c>
      <c r="H2566">
        <f t="shared" si="296"/>
        <v>3</v>
      </c>
      <c r="R2566">
        <v>3</v>
      </c>
      <c r="T2566" t="str">
        <f t="shared" ref="T2566:T2626" si="299">IF(S2566="x","",IF(S2566=1,"e","o"))</f>
        <v>o</v>
      </c>
      <c r="AM2566" t="str">
        <f t="shared" si="297"/>
        <v>Faceoff</v>
      </c>
      <c r="AN2566" t="str">
        <f t="shared" si="298"/>
        <v>Faceoff_AfterPenalty</v>
      </c>
      <c r="AP2566" t="str">
        <f t="shared" ref="AP2566:AP2629" si="300">IF(AND(T2566="e",OR(AM2566="Save",AN2566="Turnover_Takeaway",AN2566="Play_Defensive")),"Defensive",IF(AND(T2566="o",OR(AM2566="Save",AN2566="Turnover_Takeaway",AN2566="Play_Defensive")),"Offensive",IF(OR(AM2566="Deadice",AM2566="Stoppage",AM2566="Intermission"),"",IF(T2566="e","Offensive",IF(T2566="o","Defensive","")))))</f>
        <v>Defensive</v>
      </c>
      <c r="BB2566" s="23"/>
      <c r="BD2566" s="21"/>
      <c r="BE2566" s="21"/>
      <c r="BF2566" s="21"/>
      <c r="BG2566" s="21"/>
      <c r="BH2566" s="21"/>
      <c r="BI2566" s="21"/>
    </row>
    <row r="2567" spans="1:61" x14ac:dyDescent="0.2">
      <c r="A2567">
        <v>1326</v>
      </c>
      <c r="B2567" t="s">
        <v>887</v>
      </c>
      <c r="C2567" t="str">
        <f t="shared" si="295"/>
        <v/>
      </c>
      <c r="D2567" t="str">
        <f t="shared" si="294"/>
        <v/>
      </c>
      <c r="H2567">
        <f t="shared" si="296"/>
        <v>3</v>
      </c>
      <c r="I2567" s="5" t="s">
        <v>734</v>
      </c>
      <c r="J2567" s="5" t="s">
        <v>738</v>
      </c>
      <c r="Q2567" t="s">
        <v>620</v>
      </c>
      <c r="R2567">
        <v>22</v>
      </c>
      <c r="S2567">
        <v>1</v>
      </c>
      <c r="T2567" t="str">
        <f t="shared" si="299"/>
        <v>e</v>
      </c>
      <c r="U2567" t="s">
        <v>10</v>
      </c>
      <c r="V2567" t="s">
        <v>190</v>
      </c>
      <c r="W2567" t="s">
        <v>398</v>
      </c>
      <c r="X2567" t="s">
        <v>705</v>
      </c>
      <c r="Y2567" t="s">
        <v>746</v>
      </c>
      <c r="AA2567" t="s">
        <v>705</v>
      </c>
      <c r="AF2567" t="s">
        <v>623</v>
      </c>
      <c r="AM2567" t="str">
        <f t="shared" si="297"/>
        <v>Turnover</v>
      </c>
      <c r="AN2567" t="str">
        <f t="shared" si="298"/>
        <v>Turnover_Giveaway</v>
      </c>
      <c r="AP2567" t="str">
        <f t="shared" si="300"/>
        <v>Offensive</v>
      </c>
      <c r="BB2567" s="23"/>
      <c r="BD2567" s="21"/>
      <c r="BE2567" s="21"/>
      <c r="BF2567" s="21"/>
      <c r="BG2567" s="21"/>
      <c r="BH2567" s="21"/>
      <c r="BI2567" s="21"/>
    </row>
    <row r="2568" spans="1:61" x14ac:dyDescent="0.2">
      <c r="A2568">
        <v>1327</v>
      </c>
      <c r="B2568">
        <v>203</v>
      </c>
      <c r="C2568">
        <f t="shared" si="295"/>
        <v>9203</v>
      </c>
      <c r="D2568">
        <f t="shared" si="294"/>
        <v>9203</v>
      </c>
      <c r="H2568">
        <f t="shared" si="296"/>
        <v>3</v>
      </c>
      <c r="I2568" s="5" t="s">
        <v>734</v>
      </c>
      <c r="J2568" s="5" t="s">
        <v>738</v>
      </c>
      <c r="Q2568" t="s">
        <v>619</v>
      </c>
      <c r="R2568">
        <v>4</v>
      </c>
      <c r="S2568">
        <v>1</v>
      </c>
      <c r="T2568" t="str">
        <f t="shared" si="299"/>
        <v>e</v>
      </c>
      <c r="U2568" t="s">
        <v>15</v>
      </c>
      <c r="V2568" t="s">
        <v>697</v>
      </c>
      <c r="X2568" t="s">
        <v>706</v>
      </c>
      <c r="Y2568" t="s">
        <v>712</v>
      </c>
      <c r="AA2568" t="s">
        <v>706</v>
      </c>
      <c r="AF2568" t="s">
        <v>401</v>
      </c>
      <c r="AM2568" t="str">
        <f t="shared" si="297"/>
        <v>Possession</v>
      </c>
      <c r="AN2568" t="str">
        <f t="shared" si="298"/>
        <v>PuckRetrieval</v>
      </c>
      <c r="AP2568" t="str">
        <f t="shared" si="300"/>
        <v>Offensive</v>
      </c>
      <c r="BB2568" s="23"/>
      <c r="BD2568" s="21"/>
      <c r="BE2568" s="21"/>
      <c r="BF2568" s="21"/>
      <c r="BG2568" s="21"/>
      <c r="BH2568" s="21"/>
      <c r="BI2568" s="21"/>
    </row>
    <row r="2569" spans="1:61" x14ac:dyDescent="0.2">
      <c r="A2569">
        <v>1328</v>
      </c>
      <c r="B2569">
        <v>203</v>
      </c>
      <c r="C2569">
        <f t="shared" si="295"/>
        <v>9203</v>
      </c>
      <c r="D2569">
        <f t="shared" ref="D2569:D2632" si="301">IF(C2569&lt;&gt;"",C2569,B2569)</f>
        <v>9203</v>
      </c>
      <c r="H2569">
        <f t="shared" si="296"/>
        <v>3</v>
      </c>
      <c r="I2569" s="5" t="s">
        <v>734</v>
      </c>
      <c r="J2569" s="5" t="s">
        <v>738</v>
      </c>
      <c r="Q2569" t="s">
        <v>619</v>
      </c>
      <c r="R2569">
        <v>4</v>
      </c>
      <c r="S2569">
        <v>1</v>
      </c>
      <c r="T2569" t="str">
        <f t="shared" si="299"/>
        <v>e</v>
      </c>
      <c r="U2569" t="s">
        <v>257</v>
      </c>
      <c r="V2569" t="s">
        <v>210</v>
      </c>
      <c r="W2569" t="s">
        <v>93</v>
      </c>
      <c r="X2569" t="s">
        <v>706</v>
      </c>
      <c r="AF2569" t="s">
        <v>401</v>
      </c>
      <c r="AM2569" t="str">
        <f t="shared" si="297"/>
        <v>Zone_Entry_Exit</v>
      </c>
      <c r="AN2569" t="str">
        <f t="shared" si="298"/>
        <v>Zone_Keepin</v>
      </c>
      <c r="AP2569" t="str">
        <f t="shared" si="300"/>
        <v>Offensive</v>
      </c>
      <c r="BB2569" s="23"/>
      <c r="BD2569" s="21"/>
      <c r="BE2569" s="21"/>
      <c r="BF2569" s="21"/>
      <c r="BG2569" s="21"/>
      <c r="BH2569" s="21"/>
      <c r="BI2569" s="21"/>
    </row>
    <row r="2570" spans="1:61" x14ac:dyDescent="0.2">
      <c r="A2570">
        <v>1329</v>
      </c>
      <c r="B2570" t="s">
        <v>887</v>
      </c>
      <c r="C2570" t="str">
        <f t="shared" si="295"/>
        <v/>
      </c>
      <c r="D2570" t="str">
        <f t="shared" si="301"/>
        <v/>
      </c>
      <c r="H2570">
        <f t="shared" si="296"/>
        <v>3</v>
      </c>
      <c r="I2570" s="5" t="s">
        <v>734</v>
      </c>
      <c r="J2570" s="5" t="s">
        <v>738</v>
      </c>
      <c r="K2570" s="5" t="s">
        <v>734</v>
      </c>
      <c r="L2570" s="7" t="s">
        <v>741</v>
      </c>
      <c r="Q2570" t="s">
        <v>619</v>
      </c>
      <c r="R2570">
        <v>4</v>
      </c>
      <c r="S2570">
        <v>1</v>
      </c>
      <c r="T2570" t="str">
        <f t="shared" si="299"/>
        <v>e</v>
      </c>
      <c r="U2570" t="s">
        <v>15</v>
      </c>
      <c r="AF2570" t="s">
        <v>401</v>
      </c>
      <c r="AM2570" t="str">
        <f t="shared" si="297"/>
        <v>Possession</v>
      </c>
      <c r="AN2570" t="str">
        <f t="shared" si="298"/>
        <v/>
      </c>
      <c r="AP2570" t="str">
        <f t="shared" si="300"/>
        <v>Offensive</v>
      </c>
      <c r="BB2570" s="23"/>
      <c r="BD2570" s="21"/>
      <c r="BE2570" s="21"/>
      <c r="BF2570" s="21"/>
      <c r="BG2570" s="21"/>
      <c r="BH2570" s="21"/>
      <c r="BI2570" s="21"/>
    </row>
    <row r="2571" spans="1:61" x14ac:dyDescent="0.2">
      <c r="A2571">
        <v>1330</v>
      </c>
      <c r="B2571" t="s">
        <v>887</v>
      </c>
      <c r="C2571" t="str">
        <f t="shared" si="295"/>
        <v/>
      </c>
      <c r="D2571" t="str">
        <f t="shared" si="301"/>
        <v/>
      </c>
      <c r="H2571">
        <f t="shared" si="296"/>
        <v>3</v>
      </c>
      <c r="I2571" s="5" t="s">
        <v>734</v>
      </c>
      <c r="J2571" s="5" t="s">
        <v>741</v>
      </c>
      <c r="Q2571" t="s">
        <v>619</v>
      </c>
      <c r="R2571">
        <v>4</v>
      </c>
      <c r="S2571">
        <v>1</v>
      </c>
      <c r="T2571" t="str">
        <f t="shared" si="299"/>
        <v>e</v>
      </c>
      <c r="U2571" t="s">
        <v>8</v>
      </c>
      <c r="V2571" t="s">
        <v>189</v>
      </c>
      <c r="W2571" t="s">
        <v>70</v>
      </c>
      <c r="X2571" t="s">
        <v>706</v>
      </c>
      <c r="AF2571" t="s">
        <v>401</v>
      </c>
      <c r="AM2571" t="str">
        <f t="shared" si="297"/>
        <v>Pass</v>
      </c>
      <c r="AN2571" t="str">
        <f t="shared" si="298"/>
        <v>Pass_Completed</v>
      </c>
      <c r="AP2571" t="str">
        <f t="shared" si="300"/>
        <v>Offensive</v>
      </c>
      <c r="BB2571" s="23"/>
      <c r="BD2571" s="21"/>
      <c r="BE2571" s="21"/>
      <c r="BF2571" s="21"/>
      <c r="BG2571" s="21"/>
      <c r="BH2571" s="21"/>
      <c r="BI2571" s="21"/>
    </row>
    <row r="2572" spans="1:61" x14ac:dyDescent="0.2">
      <c r="A2572">
        <v>1330</v>
      </c>
      <c r="B2572" t="s">
        <v>887</v>
      </c>
      <c r="C2572" t="str">
        <f t="shared" si="295"/>
        <v/>
      </c>
      <c r="D2572" t="str">
        <f t="shared" si="301"/>
        <v/>
      </c>
      <c r="H2572">
        <f t="shared" si="296"/>
        <v>3</v>
      </c>
      <c r="R2572">
        <v>12</v>
      </c>
      <c r="S2572">
        <v>1</v>
      </c>
      <c r="T2572" t="str">
        <f t="shared" si="299"/>
        <v>e</v>
      </c>
      <c r="AM2572" t="str">
        <f t="shared" si="297"/>
        <v>Pass</v>
      </c>
      <c r="AN2572" t="str">
        <f t="shared" si="298"/>
        <v>Pass_Completed</v>
      </c>
      <c r="AP2572" t="str">
        <f t="shared" si="300"/>
        <v>Offensive</v>
      </c>
      <c r="BB2572" s="23"/>
      <c r="BD2572" s="21"/>
      <c r="BE2572" s="21"/>
      <c r="BF2572" s="21"/>
      <c r="BG2572" s="21"/>
      <c r="BH2572" s="21"/>
      <c r="BI2572" s="21"/>
    </row>
    <row r="2573" spans="1:61" x14ac:dyDescent="0.2">
      <c r="A2573">
        <v>1331</v>
      </c>
      <c r="B2573" t="s">
        <v>887</v>
      </c>
      <c r="C2573" t="str">
        <f t="shared" si="295"/>
        <v/>
      </c>
      <c r="D2573" t="str">
        <f t="shared" si="301"/>
        <v/>
      </c>
      <c r="H2573">
        <f t="shared" si="296"/>
        <v>3</v>
      </c>
      <c r="I2573" s="5" t="s">
        <v>734</v>
      </c>
      <c r="J2573" s="5" t="s">
        <v>446</v>
      </c>
      <c r="K2573" s="5" t="s">
        <v>815</v>
      </c>
      <c r="L2573" s="7" t="s">
        <v>622</v>
      </c>
      <c r="Q2573" t="s">
        <v>619</v>
      </c>
      <c r="R2573">
        <v>12</v>
      </c>
      <c r="S2573">
        <v>1</v>
      </c>
      <c r="T2573" t="str">
        <f t="shared" si="299"/>
        <v>e</v>
      </c>
      <c r="U2573" t="s">
        <v>15</v>
      </c>
      <c r="AF2573" t="s">
        <v>401</v>
      </c>
      <c r="AM2573" t="str">
        <f t="shared" si="297"/>
        <v>Possession</v>
      </c>
      <c r="AN2573" t="str">
        <f t="shared" si="298"/>
        <v/>
      </c>
      <c r="AP2573" t="str">
        <f t="shared" si="300"/>
        <v>Offensive</v>
      </c>
      <c r="BB2573" s="23"/>
      <c r="BD2573" s="21"/>
      <c r="BE2573" s="21"/>
      <c r="BF2573" s="21"/>
      <c r="BG2573" s="21"/>
      <c r="BH2573" s="21"/>
      <c r="BI2573" s="21"/>
    </row>
    <row r="2574" spans="1:61" x14ac:dyDescent="0.2">
      <c r="A2574">
        <v>1332</v>
      </c>
      <c r="B2574" t="s">
        <v>887</v>
      </c>
      <c r="C2574" t="str">
        <f t="shared" si="295"/>
        <v/>
      </c>
      <c r="D2574" t="str">
        <f t="shared" si="301"/>
        <v/>
      </c>
      <c r="H2574">
        <f t="shared" si="296"/>
        <v>3</v>
      </c>
      <c r="I2574" s="5" t="s">
        <v>815</v>
      </c>
      <c r="J2574" s="5" t="s">
        <v>622</v>
      </c>
      <c r="Q2574" t="s">
        <v>619</v>
      </c>
      <c r="R2574">
        <v>12</v>
      </c>
      <c r="S2574">
        <v>1</v>
      </c>
      <c r="T2574" t="str">
        <f t="shared" si="299"/>
        <v>e</v>
      </c>
      <c r="U2574" t="s">
        <v>8</v>
      </c>
      <c r="V2574" t="s">
        <v>189</v>
      </c>
      <c r="W2574" t="s">
        <v>70</v>
      </c>
      <c r="X2574" t="s">
        <v>706</v>
      </c>
      <c r="AF2574" t="s">
        <v>401</v>
      </c>
      <c r="AM2574" t="str">
        <f t="shared" si="297"/>
        <v>Pass</v>
      </c>
      <c r="AN2574" t="str">
        <f t="shared" si="298"/>
        <v>Pass_Completed</v>
      </c>
      <c r="AP2574" t="str">
        <f t="shared" si="300"/>
        <v>Offensive</v>
      </c>
      <c r="BB2574" s="23"/>
      <c r="BD2574" s="21"/>
      <c r="BE2574" s="21"/>
      <c r="BF2574" s="21"/>
      <c r="BG2574" s="21"/>
      <c r="BH2574" s="21"/>
      <c r="BI2574" s="21"/>
    </row>
    <row r="2575" spans="1:61" x14ac:dyDescent="0.2">
      <c r="A2575">
        <v>1332</v>
      </c>
      <c r="B2575" t="s">
        <v>887</v>
      </c>
      <c r="C2575" t="str">
        <f t="shared" si="295"/>
        <v/>
      </c>
      <c r="D2575" t="str">
        <f t="shared" si="301"/>
        <v/>
      </c>
      <c r="H2575">
        <f t="shared" si="296"/>
        <v>3</v>
      </c>
      <c r="R2575">
        <v>3</v>
      </c>
      <c r="S2575">
        <v>1</v>
      </c>
      <c r="T2575" t="str">
        <f t="shared" si="299"/>
        <v>e</v>
      </c>
      <c r="AM2575" t="str">
        <f t="shared" si="297"/>
        <v>Pass</v>
      </c>
      <c r="AN2575" t="str">
        <f t="shared" si="298"/>
        <v>Pass_Completed</v>
      </c>
      <c r="AP2575" t="str">
        <f t="shared" si="300"/>
        <v>Offensive</v>
      </c>
      <c r="BB2575" s="23"/>
      <c r="BD2575" s="21"/>
      <c r="BE2575" s="21"/>
      <c r="BF2575" s="21"/>
      <c r="BG2575" s="21"/>
      <c r="BH2575" s="21"/>
      <c r="BI2575" s="21"/>
    </row>
    <row r="2576" spans="1:61" x14ac:dyDescent="0.2">
      <c r="A2576">
        <v>1333</v>
      </c>
      <c r="B2576">
        <v>204</v>
      </c>
      <c r="C2576">
        <f t="shared" si="295"/>
        <v>9204</v>
      </c>
      <c r="D2576">
        <f t="shared" si="301"/>
        <v>9204</v>
      </c>
      <c r="H2576">
        <f t="shared" si="296"/>
        <v>3</v>
      </c>
      <c r="I2576" s="5" t="s">
        <v>815</v>
      </c>
      <c r="J2576" s="5" t="s">
        <v>896</v>
      </c>
      <c r="Q2576" t="s">
        <v>619</v>
      </c>
      <c r="R2576">
        <v>3</v>
      </c>
      <c r="S2576">
        <v>1</v>
      </c>
      <c r="T2576" t="str">
        <f t="shared" si="299"/>
        <v>e</v>
      </c>
      <c r="U2576" t="s">
        <v>7</v>
      </c>
      <c r="V2576" t="s">
        <v>222</v>
      </c>
      <c r="W2576" t="s">
        <v>65</v>
      </c>
      <c r="X2576" t="s">
        <v>706</v>
      </c>
      <c r="AF2576" t="s">
        <v>401</v>
      </c>
      <c r="AM2576" t="str">
        <f t="shared" si="297"/>
        <v>Shot</v>
      </c>
      <c r="AN2576" t="str">
        <f t="shared" si="298"/>
        <v>Shot_OnNetSaved</v>
      </c>
      <c r="AP2576" t="str">
        <f t="shared" si="300"/>
        <v>Offensive</v>
      </c>
      <c r="BB2576" s="23"/>
      <c r="BD2576" s="21"/>
      <c r="BE2576" s="21"/>
      <c r="BF2576" s="21"/>
      <c r="BG2576" s="21"/>
      <c r="BH2576" s="21"/>
      <c r="BI2576" s="21"/>
    </row>
    <row r="2577" spans="1:61" x14ac:dyDescent="0.2">
      <c r="A2577">
        <v>1333</v>
      </c>
      <c r="B2577">
        <v>204</v>
      </c>
      <c r="C2577">
        <f t="shared" si="295"/>
        <v>9204</v>
      </c>
      <c r="D2577">
        <f t="shared" si="301"/>
        <v>9204</v>
      </c>
      <c r="H2577">
        <f t="shared" si="296"/>
        <v>3</v>
      </c>
      <c r="R2577">
        <v>39</v>
      </c>
      <c r="T2577" t="str">
        <f t="shared" si="299"/>
        <v>o</v>
      </c>
      <c r="AM2577" t="str">
        <f t="shared" si="297"/>
        <v>Shot</v>
      </c>
      <c r="AN2577" t="str">
        <f t="shared" si="298"/>
        <v>Shot_OnNetSaved</v>
      </c>
      <c r="AP2577" t="str">
        <f t="shared" si="300"/>
        <v>Defensive</v>
      </c>
      <c r="BB2577" s="23"/>
      <c r="BD2577" s="21"/>
      <c r="BE2577" s="21"/>
      <c r="BF2577" s="21"/>
      <c r="BG2577" s="21"/>
      <c r="BH2577" s="21"/>
      <c r="BI2577" s="21"/>
    </row>
    <row r="2578" spans="1:61" x14ac:dyDescent="0.2">
      <c r="A2578">
        <v>1334</v>
      </c>
      <c r="B2578">
        <v>204</v>
      </c>
      <c r="C2578">
        <f t="shared" si="295"/>
        <v>9204</v>
      </c>
      <c r="D2578">
        <f t="shared" si="301"/>
        <v>9204</v>
      </c>
      <c r="H2578">
        <f t="shared" si="296"/>
        <v>3</v>
      </c>
      <c r="I2578" s="5" t="s">
        <v>815</v>
      </c>
      <c r="J2578" s="5" t="s">
        <v>896</v>
      </c>
      <c r="Q2578" t="s">
        <v>620</v>
      </c>
      <c r="R2578">
        <v>39</v>
      </c>
      <c r="S2578">
        <v>1</v>
      </c>
      <c r="T2578" t="str">
        <f t="shared" si="299"/>
        <v>e</v>
      </c>
      <c r="U2578" t="s">
        <v>17</v>
      </c>
      <c r="V2578" t="s">
        <v>196</v>
      </c>
      <c r="W2578" t="s">
        <v>99</v>
      </c>
      <c r="AF2578" t="s">
        <v>623</v>
      </c>
      <c r="AM2578" t="str">
        <f t="shared" si="297"/>
        <v>Save</v>
      </c>
      <c r="AN2578" t="str">
        <f t="shared" si="298"/>
        <v>Save_Rebound</v>
      </c>
      <c r="AP2578" t="str">
        <f t="shared" si="300"/>
        <v>Defensive</v>
      </c>
      <c r="BB2578" s="23"/>
      <c r="BD2578" s="21"/>
      <c r="BE2578" s="21"/>
      <c r="BF2578" s="21"/>
      <c r="BG2578" s="21"/>
      <c r="BH2578" s="21"/>
      <c r="BI2578" s="21"/>
    </row>
    <row r="2579" spans="1:61" x14ac:dyDescent="0.2">
      <c r="A2579">
        <v>1334</v>
      </c>
      <c r="B2579">
        <v>204</v>
      </c>
      <c r="C2579">
        <f t="shared" si="295"/>
        <v>9204</v>
      </c>
      <c r="D2579">
        <f t="shared" si="301"/>
        <v>9204</v>
      </c>
      <c r="H2579">
        <f t="shared" si="296"/>
        <v>3</v>
      </c>
      <c r="R2579">
        <v>3</v>
      </c>
      <c r="T2579" t="str">
        <f t="shared" si="299"/>
        <v>o</v>
      </c>
      <c r="AM2579" t="str">
        <f t="shared" si="297"/>
        <v>Save</v>
      </c>
      <c r="AN2579" t="str">
        <f t="shared" si="298"/>
        <v>Save_Rebound</v>
      </c>
      <c r="AP2579" t="str">
        <f t="shared" si="300"/>
        <v>Offensive</v>
      </c>
      <c r="BB2579" s="23"/>
      <c r="BD2579" s="21"/>
      <c r="BE2579" s="21"/>
      <c r="BF2579" s="21"/>
      <c r="BG2579" s="21"/>
      <c r="BH2579" s="21"/>
      <c r="BI2579" s="21"/>
    </row>
    <row r="2580" spans="1:61" x14ac:dyDescent="0.2">
      <c r="A2580">
        <v>1335</v>
      </c>
      <c r="B2580">
        <v>204</v>
      </c>
      <c r="C2580">
        <f t="shared" si="295"/>
        <v>9204</v>
      </c>
      <c r="D2580">
        <f t="shared" si="301"/>
        <v>9204</v>
      </c>
      <c r="H2580">
        <f t="shared" si="296"/>
        <v>3</v>
      </c>
      <c r="I2580" s="5" t="s">
        <v>815</v>
      </c>
      <c r="J2580" s="5" t="s">
        <v>896</v>
      </c>
      <c r="Q2580" t="s">
        <v>620</v>
      </c>
      <c r="R2580">
        <v>39</v>
      </c>
      <c r="S2580">
        <v>1</v>
      </c>
      <c r="T2580" t="str">
        <f t="shared" si="299"/>
        <v>e</v>
      </c>
      <c r="U2580" t="s">
        <v>250</v>
      </c>
      <c r="V2580" t="s">
        <v>252</v>
      </c>
      <c r="AF2580" t="s">
        <v>623</v>
      </c>
      <c r="AM2580" t="str">
        <f t="shared" si="297"/>
        <v>Rebound</v>
      </c>
      <c r="AN2580" t="str">
        <f t="shared" si="298"/>
        <v>Rebound_OppTeamRecovered</v>
      </c>
      <c r="AP2580" t="str">
        <f t="shared" si="300"/>
        <v>Offensive</v>
      </c>
      <c r="BB2580" s="23"/>
      <c r="BD2580" s="21"/>
      <c r="BE2580" s="21"/>
      <c r="BF2580" s="21"/>
      <c r="BG2580" s="21"/>
      <c r="BH2580" s="21"/>
      <c r="BI2580" s="21"/>
    </row>
    <row r="2581" spans="1:61" x14ac:dyDescent="0.2">
      <c r="A2581">
        <v>1336</v>
      </c>
      <c r="B2581" t="s">
        <v>887</v>
      </c>
      <c r="C2581" t="str">
        <f t="shared" si="295"/>
        <v/>
      </c>
      <c r="D2581" t="str">
        <f t="shared" si="301"/>
        <v/>
      </c>
      <c r="H2581">
        <f t="shared" si="296"/>
        <v>3</v>
      </c>
      <c r="I2581" s="5" t="s">
        <v>815</v>
      </c>
      <c r="J2581" s="5" t="s">
        <v>762</v>
      </c>
      <c r="Q2581" t="s">
        <v>619</v>
      </c>
      <c r="R2581">
        <v>25</v>
      </c>
      <c r="S2581">
        <v>1</v>
      </c>
      <c r="T2581" t="str">
        <f t="shared" si="299"/>
        <v>e</v>
      </c>
      <c r="U2581" t="s">
        <v>15</v>
      </c>
      <c r="V2581" t="s">
        <v>698</v>
      </c>
      <c r="X2581" t="s">
        <v>706</v>
      </c>
      <c r="Y2581" t="s">
        <v>739</v>
      </c>
      <c r="Z2581" t="s">
        <v>737</v>
      </c>
      <c r="AA2581" t="s">
        <v>706</v>
      </c>
      <c r="AF2581" t="s">
        <v>401</v>
      </c>
      <c r="AJ2581">
        <v>1</v>
      </c>
      <c r="AM2581" t="str">
        <f t="shared" si="297"/>
        <v>Possession</v>
      </c>
      <c r="AN2581" t="str">
        <f t="shared" si="298"/>
        <v>PuckRecovery</v>
      </c>
      <c r="AP2581" t="str">
        <f t="shared" si="300"/>
        <v>Offensive</v>
      </c>
      <c r="BB2581" s="23"/>
      <c r="BD2581" s="21"/>
      <c r="BE2581" s="21"/>
      <c r="BF2581" s="21"/>
      <c r="BG2581" s="21"/>
      <c r="BH2581" s="21"/>
      <c r="BI2581" s="21"/>
    </row>
    <row r="2582" spans="1:61" x14ac:dyDescent="0.2">
      <c r="A2582">
        <v>1336</v>
      </c>
      <c r="B2582" t="s">
        <v>887</v>
      </c>
      <c r="C2582" t="str">
        <f t="shared" si="295"/>
        <v/>
      </c>
      <c r="D2582" t="str">
        <f t="shared" si="301"/>
        <v/>
      </c>
      <c r="H2582">
        <f t="shared" si="296"/>
        <v>3</v>
      </c>
      <c r="R2582">
        <v>75</v>
      </c>
      <c r="T2582" t="str">
        <f t="shared" si="299"/>
        <v>o</v>
      </c>
      <c r="AJ2582">
        <v>1</v>
      </c>
      <c r="AM2582" t="str">
        <f t="shared" si="297"/>
        <v>Possession</v>
      </c>
      <c r="AN2582" t="str">
        <f t="shared" si="298"/>
        <v>PuckRecovery</v>
      </c>
      <c r="AP2582" t="str">
        <f t="shared" si="300"/>
        <v>Defensive</v>
      </c>
      <c r="BB2582" s="23"/>
      <c r="BD2582" s="21"/>
      <c r="BE2582" s="21"/>
      <c r="BF2582" s="21"/>
      <c r="BG2582" s="21"/>
      <c r="BH2582" s="21"/>
      <c r="BI2582" s="21"/>
    </row>
    <row r="2583" spans="1:61" x14ac:dyDescent="0.2">
      <c r="A2583">
        <v>1337</v>
      </c>
      <c r="B2583" t="s">
        <v>887</v>
      </c>
      <c r="C2583" t="str">
        <f t="shared" si="295"/>
        <v/>
      </c>
      <c r="D2583" t="str">
        <f t="shared" si="301"/>
        <v/>
      </c>
      <c r="H2583">
        <f t="shared" si="296"/>
        <v>3</v>
      </c>
      <c r="I2583" s="5" t="s">
        <v>815</v>
      </c>
      <c r="J2583" s="5" t="s">
        <v>751</v>
      </c>
      <c r="Q2583" t="s">
        <v>619</v>
      </c>
      <c r="R2583">
        <v>25</v>
      </c>
      <c r="S2583">
        <v>1</v>
      </c>
      <c r="T2583" t="str">
        <f t="shared" si="299"/>
        <v>e</v>
      </c>
      <c r="U2583" t="s">
        <v>8</v>
      </c>
      <c r="V2583" t="s">
        <v>189</v>
      </c>
      <c r="W2583" t="s">
        <v>68</v>
      </c>
      <c r="X2583" t="s">
        <v>706</v>
      </c>
      <c r="Y2583" t="s">
        <v>814</v>
      </c>
      <c r="Z2583" t="s">
        <v>852</v>
      </c>
      <c r="AA2583" t="s">
        <v>706</v>
      </c>
      <c r="AF2583" t="s">
        <v>401</v>
      </c>
      <c r="AM2583" t="str">
        <f t="shared" si="297"/>
        <v>Pass</v>
      </c>
      <c r="AN2583" t="str">
        <f t="shared" si="298"/>
        <v>Pass_Completed</v>
      </c>
      <c r="AP2583" t="str">
        <f t="shared" si="300"/>
        <v>Offensive</v>
      </c>
      <c r="BB2583" s="23"/>
      <c r="BD2583" s="21"/>
      <c r="BE2583" s="21"/>
      <c r="BF2583" s="21"/>
      <c r="BG2583" s="21"/>
      <c r="BH2583" s="21"/>
      <c r="BI2583" s="21"/>
    </row>
    <row r="2584" spans="1:61" x14ac:dyDescent="0.2">
      <c r="A2584">
        <v>1337</v>
      </c>
      <c r="B2584" t="s">
        <v>887</v>
      </c>
      <c r="C2584" t="str">
        <f t="shared" si="295"/>
        <v/>
      </c>
      <c r="D2584" t="str">
        <f t="shared" si="301"/>
        <v/>
      </c>
      <c r="H2584">
        <f t="shared" si="296"/>
        <v>3</v>
      </c>
      <c r="R2584">
        <v>12</v>
      </c>
      <c r="T2584" t="str">
        <f t="shared" si="299"/>
        <v>o</v>
      </c>
      <c r="AM2584" t="str">
        <f t="shared" si="297"/>
        <v>Pass</v>
      </c>
      <c r="AN2584" t="str">
        <f t="shared" si="298"/>
        <v>Pass_Completed</v>
      </c>
      <c r="AP2584" t="str">
        <f t="shared" si="300"/>
        <v>Defensive</v>
      </c>
      <c r="BB2584" s="23"/>
      <c r="BD2584" s="21"/>
      <c r="BE2584" s="21"/>
      <c r="BF2584" s="21"/>
      <c r="BG2584" s="21"/>
      <c r="BH2584" s="21"/>
      <c r="BI2584" s="21"/>
    </row>
    <row r="2585" spans="1:61" x14ac:dyDescent="0.2">
      <c r="A2585">
        <v>1338</v>
      </c>
      <c r="B2585" t="s">
        <v>887</v>
      </c>
      <c r="C2585" t="str">
        <f t="shared" si="295"/>
        <v/>
      </c>
      <c r="D2585" t="str">
        <f t="shared" si="301"/>
        <v/>
      </c>
      <c r="H2585">
        <f t="shared" si="296"/>
        <v>3</v>
      </c>
      <c r="I2585" s="5" t="s">
        <v>815</v>
      </c>
      <c r="J2585" s="5" t="s">
        <v>788</v>
      </c>
      <c r="K2585" s="5" t="s">
        <v>815</v>
      </c>
      <c r="L2585" s="7" t="s">
        <v>753</v>
      </c>
      <c r="Q2585" t="s">
        <v>619</v>
      </c>
      <c r="R2585">
        <v>12</v>
      </c>
      <c r="S2585">
        <v>1</v>
      </c>
      <c r="T2585" t="str">
        <f t="shared" si="299"/>
        <v>e</v>
      </c>
      <c r="U2585" t="s">
        <v>15</v>
      </c>
      <c r="AF2585" t="s">
        <v>401</v>
      </c>
      <c r="AJ2585">
        <v>1</v>
      </c>
      <c r="AM2585" t="str">
        <f t="shared" si="297"/>
        <v>Possession</v>
      </c>
      <c r="AN2585" t="str">
        <f t="shared" si="298"/>
        <v/>
      </c>
      <c r="AP2585" t="str">
        <f t="shared" si="300"/>
        <v>Offensive</v>
      </c>
      <c r="BB2585" s="23"/>
      <c r="BD2585" s="21"/>
      <c r="BE2585" s="21"/>
      <c r="BF2585" s="21"/>
      <c r="BG2585" s="21"/>
      <c r="BH2585" s="21"/>
      <c r="BI2585" s="21"/>
    </row>
    <row r="2586" spans="1:61" x14ac:dyDescent="0.2">
      <c r="A2586">
        <v>1338</v>
      </c>
      <c r="B2586" t="s">
        <v>887</v>
      </c>
      <c r="C2586" t="str">
        <f t="shared" si="295"/>
        <v/>
      </c>
      <c r="D2586" t="str">
        <f t="shared" si="301"/>
        <v/>
      </c>
      <c r="H2586">
        <f t="shared" si="296"/>
        <v>3</v>
      </c>
      <c r="R2586">
        <v>9</v>
      </c>
      <c r="T2586" t="str">
        <f t="shared" si="299"/>
        <v>o</v>
      </c>
      <c r="Y2586" t="s">
        <v>715</v>
      </c>
      <c r="AJ2586">
        <v>1</v>
      </c>
      <c r="AM2586" t="str">
        <f t="shared" si="297"/>
        <v>Possession</v>
      </c>
      <c r="AN2586" t="str">
        <f t="shared" si="298"/>
        <v/>
      </c>
      <c r="AP2586" t="str">
        <f t="shared" si="300"/>
        <v>Defensive</v>
      </c>
      <c r="BB2586" s="23"/>
      <c r="BD2586" s="21"/>
      <c r="BE2586" s="21"/>
      <c r="BF2586" s="21"/>
      <c r="BG2586" s="21"/>
      <c r="BH2586" s="21"/>
      <c r="BI2586" s="21"/>
    </row>
    <row r="2587" spans="1:61" x14ac:dyDescent="0.2">
      <c r="A2587">
        <v>1339</v>
      </c>
      <c r="B2587" t="s">
        <v>887</v>
      </c>
      <c r="C2587" t="str">
        <f t="shared" si="295"/>
        <v/>
      </c>
      <c r="D2587" t="str">
        <f t="shared" si="301"/>
        <v/>
      </c>
      <c r="H2587">
        <f t="shared" si="296"/>
        <v>3</v>
      </c>
      <c r="I2587" s="5" t="s">
        <v>815</v>
      </c>
      <c r="J2587" s="5" t="s">
        <v>753</v>
      </c>
      <c r="Q2587" t="s">
        <v>619</v>
      </c>
      <c r="R2587">
        <v>12</v>
      </c>
      <c r="S2587">
        <v>1</v>
      </c>
      <c r="T2587" t="str">
        <f t="shared" si="299"/>
        <v>e</v>
      </c>
      <c r="U2587" t="s">
        <v>8</v>
      </c>
      <c r="V2587" t="s">
        <v>189</v>
      </c>
      <c r="W2587" t="s">
        <v>70</v>
      </c>
      <c r="X2587" t="s">
        <v>706</v>
      </c>
      <c r="AF2587" t="s">
        <v>401</v>
      </c>
      <c r="AM2587" t="str">
        <f t="shared" si="297"/>
        <v>Pass</v>
      </c>
      <c r="AN2587" t="str">
        <f t="shared" si="298"/>
        <v>Pass_Completed</v>
      </c>
      <c r="AP2587" t="str">
        <f t="shared" si="300"/>
        <v>Offensive</v>
      </c>
      <c r="BB2587" s="23"/>
      <c r="BD2587" s="21"/>
      <c r="BE2587" s="21"/>
      <c r="BF2587" s="21"/>
      <c r="BG2587" s="21"/>
      <c r="BH2587" s="21"/>
      <c r="BI2587" s="21"/>
    </row>
    <row r="2588" spans="1:61" x14ac:dyDescent="0.2">
      <c r="A2588">
        <v>1339</v>
      </c>
      <c r="B2588" t="s">
        <v>887</v>
      </c>
      <c r="C2588" t="str">
        <f t="shared" si="295"/>
        <v/>
      </c>
      <c r="D2588" t="str">
        <f t="shared" si="301"/>
        <v/>
      </c>
      <c r="H2588">
        <f t="shared" si="296"/>
        <v>3</v>
      </c>
      <c r="R2588">
        <v>3</v>
      </c>
      <c r="T2588" t="str">
        <f t="shared" si="299"/>
        <v>o</v>
      </c>
      <c r="AM2588" t="str">
        <f t="shared" si="297"/>
        <v>Pass</v>
      </c>
      <c r="AN2588" t="str">
        <f t="shared" si="298"/>
        <v>Pass_Completed</v>
      </c>
      <c r="AP2588" t="str">
        <f t="shared" si="300"/>
        <v>Defensive</v>
      </c>
      <c r="BB2588" s="23"/>
      <c r="BD2588" s="21"/>
      <c r="BE2588" s="21"/>
      <c r="BF2588" s="21"/>
      <c r="BG2588" s="21"/>
      <c r="BH2588" s="21"/>
      <c r="BI2588" s="21"/>
    </row>
    <row r="2589" spans="1:61" x14ac:dyDescent="0.2">
      <c r="A2589">
        <v>1340</v>
      </c>
      <c r="B2589" t="s">
        <v>887</v>
      </c>
      <c r="C2589" t="str">
        <f t="shared" si="295"/>
        <v/>
      </c>
      <c r="D2589" t="str">
        <f t="shared" si="301"/>
        <v/>
      </c>
      <c r="H2589">
        <f t="shared" si="296"/>
        <v>3</v>
      </c>
      <c r="I2589" s="5" t="s">
        <v>815</v>
      </c>
      <c r="J2589" s="5" t="s">
        <v>789</v>
      </c>
      <c r="Q2589" t="s">
        <v>619</v>
      </c>
      <c r="R2589">
        <v>3</v>
      </c>
      <c r="S2589">
        <v>1</v>
      </c>
      <c r="T2589" t="str">
        <f t="shared" si="299"/>
        <v>e</v>
      </c>
      <c r="U2589" t="s">
        <v>8</v>
      </c>
      <c r="V2589" t="s">
        <v>189</v>
      </c>
      <c r="W2589" t="s">
        <v>70</v>
      </c>
      <c r="X2589" t="s">
        <v>706</v>
      </c>
      <c r="Y2589" t="s">
        <v>814</v>
      </c>
      <c r="Z2589" t="s">
        <v>784</v>
      </c>
      <c r="AA2589" t="s">
        <v>706</v>
      </c>
      <c r="AF2589" t="s">
        <v>401</v>
      </c>
      <c r="AM2589" t="str">
        <f t="shared" si="297"/>
        <v>Pass</v>
      </c>
      <c r="AN2589" t="str">
        <f t="shared" si="298"/>
        <v>Pass_Completed</v>
      </c>
      <c r="AP2589" t="str">
        <f t="shared" si="300"/>
        <v>Offensive</v>
      </c>
      <c r="BB2589" s="23"/>
      <c r="BD2589" s="21"/>
      <c r="BE2589" s="21"/>
      <c r="BF2589" s="21"/>
      <c r="BG2589" s="21"/>
      <c r="BH2589" s="21"/>
      <c r="BI2589" s="21"/>
    </row>
    <row r="2590" spans="1:61" x14ac:dyDescent="0.2">
      <c r="A2590">
        <v>1340</v>
      </c>
      <c r="B2590" t="s">
        <v>887</v>
      </c>
      <c r="C2590" t="str">
        <f t="shared" si="295"/>
        <v/>
      </c>
      <c r="D2590" t="str">
        <f t="shared" si="301"/>
        <v/>
      </c>
      <c r="H2590">
        <f t="shared" si="296"/>
        <v>3</v>
      </c>
      <c r="R2590">
        <v>12</v>
      </c>
      <c r="T2590" t="str">
        <f t="shared" si="299"/>
        <v>o</v>
      </c>
      <c r="AM2590" t="str">
        <f t="shared" si="297"/>
        <v>Pass</v>
      </c>
      <c r="AN2590" t="str">
        <f t="shared" si="298"/>
        <v>Pass_Completed</v>
      </c>
      <c r="AP2590" t="str">
        <f t="shared" si="300"/>
        <v>Defensive</v>
      </c>
      <c r="BB2590" s="23"/>
      <c r="BD2590" s="21"/>
      <c r="BE2590" s="21"/>
      <c r="BF2590" s="21"/>
      <c r="BG2590" s="21"/>
      <c r="BH2590" s="21"/>
      <c r="BI2590" s="21"/>
    </row>
    <row r="2591" spans="1:61" x14ac:dyDescent="0.2">
      <c r="A2591">
        <v>1341</v>
      </c>
      <c r="B2591" t="s">
        <v>887</v>
      </c>
      <c r="C2591" t="str">
        <f t="shared" si="295"/>
        <v/>
      </c>
      <c r="D2591" t="str">
        <f t="shared" si="301"/>
        <v/>
      </c>
      <c r="H2591">
        <f t="shared" si="296"/>
        <v>3</v>
      </c>
      <c r="I2591" s="5" t="s">
        <v>815</v>
      </c>
      <c r="J2591" s="5" t="s">
        <v>672</v>
      </c>
      <c r="Q2591" t="s">
        <v>619</v>
      </c>
      <c r="R2591">
        <v>12</v>
      </c>
      <c r="S2591">
        <v>1</v>
      </c>
      <c r="T2591" t="str">
        <f t="shared" si="299"/>
        <v>e</v>
      </c>
      <c r="U2591" t="s">
        <v>8</v>
      </c>
      <c r="V2591" t="s">
        <v>189</v>
      </c>
      <c r="W2591" t="s">
        <v>68</v>
      </c>
      <c r="X2591" t="s">
        <v>706</v>
      </c>
      <c r="Y2591" t="s">
        <v>814</v>
      </c>
      <c r="Z2591" t="s">
        <v>852</v>
      </c>
      <c r="AA2591" t="s">
        <v>706</v>
      </c>
      <c r="AF2591" t="s">
        <v>401</v>
      </c>
      <c r="AM2591" t="str">
        <f t="shared" si="297"/>
        <v>Pass</v>
      </c>
      <c r="AN2591" t="str">
        <f t="shared" si="298"/>
        <v>Pass_Completed</v>
      </c>
      <c r="AP2591" t="str">
        <f t="shared" si="300"/>
        <v>Offensive</v>
      </c>
      <c r="BB2591" s="23"/>
      <c r="BD2591" s="21"/>
      <c r="BE2591" s="21"/>
      <c r="BF2591" s="21"/>
      <c r="BG2591" s="21"/>
      <c r="BH2591" s="21"/>
      <c r="BI2591" s="21"/>
    </row>
    <row r="2592" spans="1:61" x14ac:dyDescent="0.2">
      <c r="A2592">
        <v>1341</v>
      </c>
      <c r="B2592" t="s">
        <v>887</v>
      </c>
      <c r="C2592" t="str">
        <f t="shared" si="295"/>
        <v/>
      </c>
      <c r="D2592" t="str">
        <f t="shared" si="301"/>
        <v/>
      </c>
      <c r="H2592">
        <f t="shared" si="296"/>
        <v>3</v>
      </c>
      <c r="R2592">
        <v>4</v>
      </c>
      <c r="T2592" t="str">
        <f t="shared" si="299"/>
        <v>o</v>
      </c>
      <c r="AM2592" t="str">
        <f t="shared" si="297"/>
        <v>Pass</v>
      </c>
      <c r="AN2592" t="str">
        <f t="shared" si="298"/>
        <v>Pass_Completed</v>
      </c>
      <c r="AP2592" t="str">
        <f t="shared" si="300"/>
        <v>Defensive</v>
      </c>
      <c r="BB2592" s="23"/>
      <c r="BD2592" s="21"/>
      <c r="BE2592" s="21"/>
      <c r="BF2592" s="21"/>
      <c r="BG2592" s="21"/>
      <c r="BH2592" s="21"/>
      <c r="BI2592" s="21"/>
    </row>
    <row r="2593" spans="1:61" x14ac:dyDescent="0.2">
      <c r="A2593">
        <v>1342</v>
      </c>
      <c r="B2593" t="s">
        <v>887</v>
      </c>
      <c r="C2593" t="str">
        <f t="shared" si="295"/>
        <v/>
      </c>
      <c r="D2593" t="str">
        <f t="shared" si="301"/>
        <v/>
      </c>
      <c r="H2593">
        <f t="shared" si="296"/>
        <v>3</v>
      </c>
      <c r="I2593" s="5" t="s">
        <v>815</v>
      </c>
      <c r="J2593" s="5" t="s">
        <v>810</v>
      </c>
      <c r="K2593" s="5" t="s">
        <v>815</v>
      </c>
      <c r="L2593" s="7" t="s">
        <v>716</v>
      </c>
      <c r="Q2593" t="s">
        <v>619</v>
      </c>
      <c r="R2593">
        <v>4</v>
      </c>
      <c r="S2593">
        <v>1</v>
      </c>
      <c r="T2593" t="str">
        <f t="shared" si="299"/>
        <v>e</v>
      </c>
      <c r="U2593" t="s">
        <v>15</v>
      </c>
      <c r="AF2593" t="s">
        <v>401</v>
      </c>
      <c r="AJ2593">
        <v>1</v>
      </c>
      <c r="AM2593" t="str">
        <f t="shared" si="297"/>
        <v>Possession</v>
      </c>
      <c r="AN2593" t="str">
        <f t="shared" si="298"/>
        <v/>
      </c>
      <c r="AP2593" t="str">
        <f t="shared" si="300"/>
        <v>Offensive</v>
      </c>
      <c r="BB2593" s="23"/>
      <c r="BD2593" s="21"/>
      <c r="BE2593" s="21"/>
      <c r="BF2593" s="21"/>
      <c r="BG2593" s="21"/>
      <c r="BH2593" s="21"/>
      <c r="BI2593" s="21"/>
    </row>
    <row r="2594" spans="1:61" x14ac:dyDescent="0.2">
      <c r="A2594">
        <v>1342</v>
      </c>
      <c r="B2594" t="s">
        <v>887</v>
      </c>
      <c r="C2594" t="str">
        <f t="shared" si="295"/>
        <v/>
      </c>
      <c r="D2594" t="str">
        <f t="shared" si="301"/>
        <v/>
      </c>
      <c r="H2594">
        <f t="shared" si="296"/>
        <v>3</v>
      </c>
      <c r="R2594">
        <v>70</v>
      </c>
      <c r="T2594" t="str">
        <f t="shared" si="299"/>
        <v>o</v>
      </c>
      <c r="AJ2594">
        <v>1</v>
      </c>
      <c r="AM2594" t="str">
        <f t="shared" si="297"/>
        <v>Possession</v>
      </c>
      <c r="AN2594" t="str">
        <f t="shared" si="298"/>
        <v/>
      </c>
      <c r="AP2594" t="str">
        <f t="shared" si="300"/>
        <v>Defensive</v>
      </c>
      <c r="BB2594" s="23"/>
      <c r="BD2594" s="21"/>
      <c r="BE2594" s="21"/>
      <c r="BF2594" s="21"/>
      <c r="BG2594" s="21"/>
      <c r="BH2594" s="21"/>
      <c r="BI2594" s="21"/>
    </row>
    <row r="2595" spans="1:61" x14ac:dyDescent="0.2">
      <c r="A2595">
        <v>1343</v>
      </c>
      <c r="B2595" t="s">
        <v>887</v>
      </c>
      <c r="C2595" t="str">
        <f t="shared" si="295"/>
        <v/>
      </c>
      <c r="D2595" t="str">
        <f t="shared" si="301"/>
        <v/>
      </c>
      <c r="H2595">
        <f t="shared" si="296"/>
        <v>3</v>
      </c>
      <c r="I2595" s="5" t="s">
        <v>815</v>
      </c>
      <c r="J2595" s="5" t="s">
        <v>716</v>
      </c>
      <c r="Q2595" t="s">
        <v>619</v>
      </c>
      <c r="R2595">
        <v>4</v>
      </c>
      <c r="S2595">
        <v>1</v>
      </c>
      <c r="T2595" t="str">
        <f t="shared" si="299"/>
        <v>e</v>
      </c>
      <c r="U2595" t="s">
        <v>8</v>
      </c>
      <c r="V2595" t="s">
        <v>189</v>
      </c>
      <c r="W2595" t="s">
        <v>70</v>
      </c>
      <c r="Y2595" t="s">
        <v>852</v>
      </c>
      <c r="AA2595" t="s">
        <v>706</v>
      </c>
      <c r="AF2595" t="s">
        <v>401</v>
      </c>
      <c r="AJ2595">
        <v>1</v>
      </c>
      <c r="AM2595" t="str">
        <f t="shared" si="297"/>
        <v>Pass</v>
      </c>
      <c r="AN2595" t="str">
        <f t="shared" si="298"/>
        <v>Pass_Completed</v>
      </c>
      <c r="AP2595" t="str">
        <f t="shared" si="300"/>
        <v>Offensive</v>
      </c>
      <c r="BB2595" s="23"/>
      <c r="BD2595" s="21"/>
      <c r="BE2595" s="21"/>
      <c r="BF2595" s="21"/>
      <c r="BG2595" s="21"/>
      <c r="BH2595" s="21"/>
      <c r="BI2595" s="21"/>
    </row>
    <row r="2596" spans="1:61" x14ac:dyDescent="0.2">
      <c r="A2596">
        <v>1343</v>
      </c>
      <c r="B2596" t="s">
        <v>887</v>
      </c>
      <c r="C2596" t="str">
        <f t="shared" si="295"/>
        <v/>
      </c>
      <c r="D2596" t="str">
        <f t="shared" si="301"/>
        <v/>
      </c>
      <c r="H2596">
        <f t="shared" si="296"/>
        <v>3</v>
      </c>
      <c r="R2596">
        <v>3</v>
      </c>
      <c r="S2596">
        <v>1</v>
      </c>
      <c r="T2596" t="str">
        <f t="shared" si="299"/>
        <v>e</v>
      </c>
      <c r="AM2596" t="str">
        <f t="shared" si="297"/>
        <v>Pass</v>
      </c>
      <c r="AN2596" t="str">
        <f t="shared" si="298"/>
        <v>Pass_Completed</v>
      </c>
      <c r="AP2596" t="str">
        <f t="shared" si="300"/>
        <v>Offensive</v>
      </c>
      <c r="BB2596" s="23"/>
      <c r="BD2596" s="21"/>
      <c r="BE2596" s="21"/>
      <c r="BF2596" s="21"/>
      <c r="BG2596" s="21"/>
      <c r="BH2596" s="21"/>
      <c r="BI2596" s="21"/>
    </row>
    <row r="2597" spans="1:61" x14ac:dyDescent="0.2">
      <c r="A2597">
        <v>1343</v>
      </c>
      <c r="B2597" t="s">
        <v>887</v>
      </c>
      <c r="C2597" t="str">
        <f t="shared" si="295"/>
        <v/>
      </c>
      <c r="D2597" t="str">
        <f t="shared" si="301"/>
        <v/>
      </c>
      <c r="H2597">
        <f t="shared" si="296"/>
        <v>3</v>
      </c>
      <c r="R2597">
        <v>70</v>
      </c>
      <c r="T2597" t="str">
        <f t="shared" si="299"/>
        <v>o</v>
      </c>
      <c r="AJ2597">
        <v>1</v>
      </c>
      <c r="AM2597" t="str">
        <f t="shared" si="297"/>
        <v>Pass</v>
      </c>
      <c r="AN2597" t="str">
        <f t="shared" si="298"/>
        <v>Pass_Completed</v>
      </c>
      <c r="AP2597" t="str">
        <f t="shared" si="300"/>
        <v>Defensive</v>
      </c>
      <c r="BB2597" s="23"/>
      <c r="BD2597" s="21"/>
      <c r="BE2597" s="21"/>
      <c r="BF2597" s="21"/>
      <c r="BG2597" s="21"/>
      <c r="BH2597" s="21"/>
      <c r="BI2597" s="21"/>
    </row>
    <row r="2598" spans="1:61" x14ac:dyDescent="0.2">
      <c r="A2598">
        <v>1344</v>
      </c>
      <c r="B2598" t="s">
        <v>887</v>
      </c>
      <c r="C2598" t="str">
        <f t="shared" si="295"/>
        <v/>
      </c>
      <c r="D2598" t="str">
        <f t="shared" si="301"/>
        <v/>
      </c>
      <c r="H2598">
        <f t="shared" si="296"/>
        <v>3</v>
      </c>
      <c r="I2598" s="5" t="s">
        <v>815</v>
      </c>
      <c r="J2598" s="5" t="s">
        <v>790</v>
      </c>
      <c r="Q2598" t="s">
        <v>619</v>
      </c>
      <c r="R2598">
        <v>3</v>
      </c>
      <c r="S2598">
        <v>1</v>
      </c>
      <c r="T2598" t="str">
        <f t="shared" si="299"/>
        <v>e</v>
      </c>
      <c r="U2598" t="s">
        <v>8</v>
      </c>
      <c r="V2598" t="s">
        <v>189</v>
      </c>
      <c r="W2598" t="s">
        <v>70</v>
      </c>
      <c r="X2598" t="s">
        <v>706</v>
      </c>
      <c r="Y2598" t="s">
        <v>814</v>
      </c>
      <c r="Z2598" t="s">
        <v>852</v>
      </c>
      <c r="AA2598" t="s">
        <v>706</v>
      </c>
      <c r="AF2598" t="s">
        <v>401</v>
      </c>
      <c r="AM2598" t="str">
        <f t="shared" si="297"/>
        <v>Pass</v>
      </c>
      <c r="AN2598" t="str">
        <f t="shared" si="298"/>
        <v>Pass_Completed</v>
      </c>
      <c r="AP2598" t="str">
        <f t="shared" si="300"/>
        <v>Offensive</v>
      </c>
      <c r="BB2598" s="23"/>
      <c r="BD2598" s="21"/>
      <c r="BE2598" s="21"/>
      <c r="BF2598" s="21"/>
      <c r="BG2598" s="21"/>
      <c r="BH2598" s="21"/>
      <c r="BI2598" s="21"/>
    </row>
    <row r="2599" spans="1:61" x14ac:dyDescent="0.2">
      <c r="A2599">
        <v>1344</v>
      </c>
      <c r="B2599" t="s">
        <v>887</v>
      </c>
      <c r="C2599" t="str">
        <f t="shared" si="295"/>
        <v/>
      </c>
      <c r="D2599" t="str">
        <f t="shared" si="301"/>
        <v/>
      </c>
      <c r="H2599">
        <f t="shared" si="296"/>
        <v>3</v>
      </c>
      <c r="R2599">
        <v>25</v>
      </c>
      <c r="S2599">
        <v>1</v>
      </c>
      <c r="T2599" t="str">
        <f t="shared" si="299"/>
        <v>e</v>
      </c>
      <c r="AM2599" t="str">
        <f t="shared" si="297"/>
        <v>Pass</v>
      </c>
      <c r="AN2599" t="str">
        <f t="shared" si="298"/>
        <v>Pass_Completed</v>
      </c>
      <c r="AP2599" t="str">
        <f t="shared" si="300"/>
        <v>Offensive</v>
      </c>
      <c r="BB2599" s="23"/>
      <c r="BD2599" s="21"/>
      <c r="BE2599" s="21"/>
      <c r="BF2599" s="21"/>
      <c r="BG2599" s="21"/>
      <c r="BH2599" s="21"/>
      <c r="BI2599" s="21"/>
    </row>
    <row r="2600" spans="1:61" x14ac:dyDescent="0.2">
      <c r="A2600">
        <v>1345</v>
      </c>
      <c r="B2600" t="s">
        <v>887</v>
      </c>
      <c r="C2600" t="str">
        <f t="shared" si="295"/>
        <v/>
      </c>
      <c r="D2600" t="str">
        <f t="shared" si="301"/>
        <v/>
      </c>
      <c r="H2600">
        <f t="shared" si="296"/>
        <v>3</v>
      </c>
      <c r="I2600" s="5" t="s">
        <v>815</v>
      </c>
      <c r="J2600" s="5" t="s">
        <v>811</v>
      </c>
      <c r="Q2600" t="s">
        <v>619</v>
      </c>
      <c r="R2600">
        <v>25</v>
      </c>
      <c r="S2600">
        <v>1</v>
      </c>
      <c r="T2600" t="str">
        <f t="shared" si="299"/>
        <v>e</v>
      </c>
      <c r="U2600" t="s">
        <v>8</v>
      </c>
      <c r="V2600" t="s">
        <v>189</v>
      </c>
      <c r="W2600" t="s">
        <v>71</v>
      </c>
      <c r="X2600" t="s">
        <v>706</v>
      </c>
      <c r="AF2600" t="s">
        <v>401</v>
      </c>
      <c r="AM2600" t="str">
        <f t="shared" si="297"/>
        <v>Pass</v>
      </c>
      <c r="AN2600" t="str">
        <f t="shared" si="298"/>
        <v>Pass_Completed</v>
      </c>
      <c r="AP2600" t="str">
        <f t="shared" si="300"/>
        <v>Offensive</v>
      </c>
      <c r="BB2600" s="23"/>
      <c r="BD2600" s="21"/>
      <c r="BE2600" s="21"/>
      <c r="BF2600" s="21"/>
      <c r="BG2600" s="21"/>
      <c r="BH2600" s="21"/>
      <c r="BI2600" s="21"/>
    </row>
    <row r="2601" spans="1:61" x14ac:dyDescent="0.2">
      <c r="A2601">
        <v>1345</v>
      </c>
      <c r="B2601" t="s">
        <v>887</v>
      </c>
      <c r="C2601" t="str">
        <f t="shared" si="295"/>
        <v/>
      </c>
      <c r="D2601" t="str">
        <f t="shared" si="301"/>
        <v/>
      </c>
      <c r="H2601">
        <f t="shared" si="296"/>
        <v>3</v>
      </c>
      <c r="R2601">
        <v>12</v>
      </c>
      <c r="S2601">
        <v>1</v>
      </c>
      <c r="T2601" t="str">
        <f t="shared" si="299"/>
        <v>e</v>
      </c>
      <c r="AM2601" t="str">
        <f t="shared" si="297"/>
        <v>Pass</v>
      </c>
      <c r="AN2601" t="str">
        <f t="shared" si="298"/>
        <v>Pass_Completed</v>
      </c>
      <c r="AP2601" t="str">
        <f t="shared" si="300"/>
        <v>Offensive</v>
      </c>
      <c r="BB2601" s="23"/>
      <c r="BD2601" s="21"/>
      <c r="BE2601" s="21"/>
      <c r="BF2601" s="21"/>
      <c r="BG2601" s="21"/>
      <c r="BH2601" s="21"/>
      <c r="BI2601" s="21"/>
    </row>
    <row r="2602" spans="1:61" x14ac:dyDescent="0.2">
      <c r="A2602">
        <v>1346</v>
      </c>
      <c r="B2602">
        <v>205</v>
      </c>
      <c r="C2602">
        <f t="shared" si="295"/>
        <v>9205</v>
      </c>
      <c r="D2602">
        <f t="shared" si="301"/>
        <v>9205</v>
      </c>
      <c r="H2602">
        <f t="shared" si="296"/>
        <v>3</v>
      </c>
      <c r="I2602" s="5" t="s">
        <v>815</v>
      </c>
      <c r="J2602" s="5" t="s">
        <v>717</v>
      </c>
      <c r="Q2602" t="s">
        <v>619</v>
      </c>
      <c r="R2602">
        <v>12</v>
      </c>
      <c r="S2602">
        <v>1</v>
      </c>
      <c r="T2602" t="str">
        <f t="shared" si="299"/>
        <v>e</v>
      </c>
      <c r="U2602" t="s">
        <v>8</v>
      </c>
      <c r="V2602" t="s">
        <v>199</v>
      </c>
      <c r="W2602" t="s">
        <v>70</v>
      </c>
      <c r="X2602" t="s">
        <v>705</v>
      </c>
      <c r="Y2602" t="s">
        <v>814</v>
      </c>
      <c r="AA2602" t="s">
        <v>705</v>
      </c>
      <c r="AF2602" t="s">
        <v>401</v>
      </c>
      <c r="AJ2602">
        <v>1</v>
      </c>
      <c r="AM2602" t="str">
        <f t="shared" si="297"/>
        <v>Pass</v>
      </c>
      <c r="AN2602" t="str">
        <f t="shared" si="298"/>
        <v>Pass_Missed</v>
      </c>
      <c r="AP2602" t="str">
        <f t="shared" si="300"/>
        <v>Offensive</v>
      </c>
      <c r="BB2602" s="23"/>
      <c r="BD2602" s="21"/>
      <c r="BE2602" s="21"/>
      <c r="BF2602" s="21"/>
      <c r="BG2602" s="21"/>
      <c r="BH2602" s="21"/>
      <c r="BI2602" s="21"/>
    </row>
    <row r="2603" spans="1:61" x14ac:dyDescent="0.2">
      <c r="A2603">
        <v>1346</v>
      </c>
      <c r="B2603">
        <v>205</v>
      </c>
      <c r="C2603">
        <f t="shared" si="295"/>
        <v>9205</v>
      </c>
      <c r="D2603">
        <f t="shared" si="301"/>
        <v>9205</v>
      </c>
      <c r="H2603">
        <f t="shared" si="296"/>
        <v>3</v>
      </c>
      <c r="R2603">
        <v>39</v>
      </c>
      <c r="T2603" t="str">
        <f t="shared" si="299"/>
        <v>o</v>
      </c>
      <c r="Y2603" t="s">
        <v>916</v>
      </c>
      <c r="AA2603" t="s">
        <v>706</v>
      </c>
      <c r="AM2603" t="str">
        <f t="shared" si="297"/>
        <v>Pass</v>
      </c>
      <c r="AN2603" t="str">
        <f t="shared" si="298"/>
        <v>Pass_Missed</v>
      </c>
      <c r="AP2603" t="str">
        <f t="shared" si="300"/>
        <v>Defensive</v>
      </c>
      <c r="BB2603" s="23"/>
      <c r="BD2603" s="21"/>
      <c r="BE2603" s="21"/>
      <c r="BF2603" s="21"/>
      <c r="BG2603" s="21"/>
      <c r="BH2603" s="21"/>
      <c r="BI2603" s="21"/>
    </row>
    <row r="2604" spans="1:61" x14ac:dyDescent="0.2">
      <c r="A2604">
        <v>1346</v>
      </c>
      <c r="B2604">
        <v>205</v>
      </c>
      <c r="C2604">
        <f t="shared" si="295"/>
        <v>9205</v>
      </c>
      <c r="D2604">
        <f t="shared" si="301"/>
        <v>9205</v>
      </c>
      <c r="H2604">
        <f t="shared" si="296"/>
        <v>3</v>
      </c>
      <c r="R2604">
        <v>9</v>
      </c>
      <c r="T2604" t="str">
        <f t="shared" si="299"/>
        <v>o</v>
      </c>
      <c r="Y2604" t="s">
        <v>715</v>
      </c>
      <c r="AA2604" t="s">
        <v>706</v>
      </c>
      <c r="AJ2604">
        <v>1</v>
      </c>
      <c r="AM2604" t="str">
        <f t="shared" si="297"/>
        <v>Pass</v>
      </c>
      <c r="AN2604" t="str">
        <f t="shared" si="298"/>
        <v>Pass_Missed</v>
      </c>
      <c r="AP2604" t="str">
        <f t="shared" si="300"/>
        <v>Defensive</v>
      </c>
      <c r="BB2604" s="23"/>
      <c r="BD2604" s="21"/>
      <c r="BE2604" s="21"/>
      <c r="BF2604" s="21"/>
      <c r="BG2604" s="21"/>
      <c r="BH2604" s="21"/>
      <c r="BI2604" s="21"/>
    </row>
    <row r="2605" spans="1:61" x14ac:dyDescent="0.2">
      <c r="A2605">
        <v>1347</v>
      </c>
      <c r="B2605">
        <v>205</v>
      </c>
      <c r="C2605">
        <f t="shared" si="295"/>
        <v>9205</v>
      </c>
      <c r="D2605">
        <f t="shared" si="301"/>
        <v>9205</v>
      </c>
      <c r="H2605">
        <f t="shared" si="296"/>
        <v>3</v>
      </c>
      <c r="I2605" s="5" t="s">
        <v>815</v>
      </c>
      <c r="J2605" s="5" t="s">
        <v>717</v>
      </c>
      <c r="Q2605" t="s">
        <v>619</v>
      </c>
      <c r="R2605">
        <v>12</v>
      </c>
      <c r="S2605">
        <v>1</v>
      </c>
      <c r="T2605" t="str">
        <f t="shared" si="299"/>
        <v>e</v>
      </c>
      <c r="U2605" t="s">
        <v>10</v>
      </c>
      <c r="V2605" t="s">
        <v>190</v>
      </c>
      <c r="W2605" t="s">
        <v>77</v>
      </c>
      <c r="X2605" t="s">
        <v>705</v>
      </c>
      <c r="Y2605" t="s">
        <v>814</v>
      </c>
      <c r="AA2605" t="s">
        <v>705</v>
      </c>
      <c r="AF2605" t="s">
        <v>401</v>
      </c>
      <c r="AJ2605">
        <v>1</v>
      </c>
      <c r="AM2605" t="str">
        <f t="shared" ref="AM2605:AM2638" si="302">IF(U2605&lt;&gt;"",U2605,IF($A2605=$A2604,AM2604,""))</f>
        <v>Turnover</v>
      </c>
      <c r="AN2605" t="str">
        <f t="shared" ref="AN2605:AN2638" si="303">IF(V2605&lt;&gt;"",V2605,IF($A2605=$A2604,AN2604,""))</f>
        <v>Turnover_Giveaway</v>
      </c>
      <c r="AP2605" t="str">
        <f t="shared" ref="AP2605:AP2668" si="304">IF(AND(T2605="e",OR(AM2605="Save",AN2605="Turnover_Takeaway",AN2605="Play_Defensive")),"Defensive",IF(AND(T2605="o",OR(AM2605="Save",AN2605="Turnover_Takeaway",AN2605="Play_Defensive")),"Offensive",IF(OR(AM2605="Deadice",AM2605="Stoppage",AM2605="Intermission"),"",IF(T2605="e","Offensive",IF(T2605="o","Defensive","")))))</f>
        <v>Offensive</v>
      </c>
      <c r="BB2605" s="23"/>
      <c r="BD2605" s="21"/>
      <c r="BE2605" s="21"/>
      <c r="BF2605" s="21"/>
      <c r="BG2605" s="21"/>
      <c r="BH2605" s="21"/>
      <c r="BI2605" s="21"/>
    </row>
    <row r="2606" spans="1:61" x14ac:dyDescent="0.2">
      <c r="A2606">
        <v>1347</v>
      </c>
      <c r="B2606">
        <v>205</v>
      </c>
      <c r="C2606">
        <f t="shared" si="295"/>
        <v>9205</v>
      </c>
      <c r="D2606">
        <f t="shared" si="301"/>
        <v>9205</v>
      </c>
      <c r="H2606">
        <f t="shared" si="296"/>
        <v>3</v>
      </c>
      <c r="R2606">
        <v>39</v>
      </c>
      <c r="T2606" t="str">
        <f t="shared" si="299"/>
        <v>o</v>
      </c>
      <c r="Y2606" t="s">
        <v>916</v>
      </c>
      <c r="AA2606" t="s">
        <v>706</v>
      </c>
      <c r="AM2606" t="str">
        <f t="shared" si="302"/>
        <v>Turnover</v>
      </c>
      <c r="AN2606" t="str">
        <f t="shared" si="303"/>
        <v>Turnover_Giveaway</v>
      </c>
      <c r="AP2606" t="str">
        <f t="shared" si="304"/>
        <v>Defensive</v>
      </c>
      <c r="BB2606" s="23"/>
      <c r="BD2606" s="21"/>
      <c r="BE2606" s="21"/>
      <c r="BF2606" s="21"/>
      <c r="BG2606" s="21"/>
      <c r="BH2606" s="21"/>
      <c r="BI2606" s="21"/>
    </row>
    <row r="2607" spans="1:61" x14ac:dyDescent="0.2">
      <c r="A2607">
        <v>1347</v>
      </c>
      <c r="B2607">
        <v>205</v>
      </c>
      <c r="C2607">
        <f t="shared" si="295"/>
        <v>9205</v>
      </c>
      <c r="D2607">
        <f t="shared" si="301"/>
        <v>9205</v>
      </c>
      <c r="H2607">
        <f t="shared" si="296"/>
        <v>3</v>
      </c>
      <c r="R2607">
        <v>9</v>
      </c>
      <c r="T2607" t="str">
        <f t="shared" si="299"/>
        <v>o</v>
      </c>
      <c r="Y2607" t="s">
        <v>715</v>
      </c>
      <c r="AA2607" t="s">
        <v>706</v>
      </c>
      <c r="AJ2607">
        <v>1</v>
      </c>
      <c r="AM2607" t="str">
        <f t="shared" si="302"/>
        <v>Turnover</v>
      </c>
      <c r="AN2607" t="str">
        <f t="shared" si="303"/>
        <v>Turnover_Giveaway</v>
      </c>
      <c r="AP2607" t="str">
        <f t="shared" si="304"/>
        <v>Defensive</v>
      </c>
      <c r="BB2607" s="23"/>
      <c r="BD2607" s="21"/>
      <c r="BE2607" s="21"/>
      <c r="BF2607" s="21"/>
      <c r="BG2607" s="21"/>
      <c r="BH2607" s="21"/>
      <c r="BI2607" s="21"/>
    </row>
    <row r="2608" spans="1:61" x14ac:dyDescent="0.2">
      <c r="A2608">
        <v>1348</v>
      </c>
      <c r="B2608" t="s">
        <v>887</v>
      </c>
      <c r="C2608" t="str">
        <f t="shared" si="295"/>
        <v/>
      </c>
      <c r="D2608" t="str">
        <f t="shared" si="301"/>
        <v/>
      </c>
      <c r="H2608">
        <f t="shared" si="296"/>
        <v>3</v>
      </c>
      <c r="I2608" s="5" t="s">
        <v>815</v>
      </c>
      <c r="J2608" s="5" t="s">
        <v>719</v>
      </c>
      <c r="Q2608" t="s">
        <v>620</v>
      </c>
      <c r="R2608">
        <v>70</v>
      </c>
      <c r="S2608">
        <v>1</v>
      </c>
      <c r="T2608" t="str">
        <f t="shared" ref="T2608" si="305">IF(S2608="x","",IF(S2608=1,"e","o"))</f>
        <v>e</v>
      </c>
      <c r="U2608" t="s">
        <v>15</v>
      </c>
      <c r="V2608" t="s">
        <v>697</v>
      </c>
      <c r="X2608" t="s">
        <v>706</v>
      </c>
      <c r="Y2608" t="s">
        <v>725</v>
      </c>
      <c r="AA2608" t="s">
        <v>706</v>
      </c>
      <c r="AF2608" t="s">
        <v>623</v>
      </c>
      <c r="AM2608" t="str">
        <f t="shared" si="302"/>
        <v>Possession</v>
      </c>
      <c r="AN2608" t="str">
        <f t="shared" si="303"/>
        <v>PuckRetrieval</v>
      </c>
      <c r="AP2608" t="str">
        <f t="shared" si="304"/>
        <v>Offensive</v>
      </c>
      <c r="BB2608" s="23"/>
      <c r="BD2608" s="21"/>
      <c r="BE2608" s="21"/>
      <c r="BF2608" s="21"/>
      <c r="BG2608" s="21"/>
      <c r="BH2608" s="21"/>
      <c r="BI2608" s="21"/>
    </row>
    <row r="2609" spans="1:61" x14ac:dyDescent="0.2">
      <c r="A2609">
        <v>1349</v>
      </c>
      <c r="B2609">
        <v>206</v>
      </c>
      <c r="C2609">
        <f t="shared" si="295"/>
        <v>9206</v>
      </c>
      <c r="D2609">
        <f t="shared" si="301"/>
        <v>9206</v>
      </c>
      <c r="H2609">
        <f t="shared" si="296"/>
        <v>3</v>
      </c>
      <c r="I2609" s="5" t="s">
        <v>815</v>
      </c>
      <c r="J2609" s="5" t="s">
        <v>719</v>
      </c>
      <c r="Q2609" t="s">
        <v>620</v>
      </c>
      <c r="R2609">
        <v>70</v>
      </c>
      <c r="S2609">
        <v>1</v>
      </c>
      <c r="T2609" t="str">
        <f t="shared" si="299"/>
        <v>e</v>
      </c>
      <c r="U2609" t="s">
        <v>257</v>
      </c>
      <c r="V2609" t="s">
        <v>201</v>
      </c>
      <c r="W2609" t="s">
        <v>618</v>
      </c>
      <c r="X2609" t="s">
        <v>706</v>
      </c>
      <c r="AF2609" t="s">
        <v>623</v>
      </c>
      <c r="AM2609" t="str">
        <f t="shared" si="302"/>
        <v>Zone_Entry_Exit</v>
      </c>
      <c r="AN2609" t="str">
        <f t="shared" si="303"/>
        <v>Zone_Exit</v>
      </c>
      <c r="AP2609" t="str">
        <f t="shared" si="304"/>
        <v>Offensive</v>
      </c>
      <c r="BB2609" s="23"/>
      <c r="BD2609" s="21"/>
      <c r="BE2609" s="21"/>
      <c r="BF2609" s="21"/>
      <c r="BG2609" s="21"/>
      <c r="BH2609" s="21"/>
      <c r="BI2609" s="21"/>
    </row>
    <row r="2610" spans="1:61" x14ac:dyDescent="0.2">
      <c r="A2610">
        <v>1350</v>
      </c>
      <c r="B2610">
        <v>206</v>
      </c>
      <c r="C2610">
        <f t="shared" si="295"/>
        <v>9206</v>
      </c>
      <c r="D2610">
        <f t="shared" si="301"/>
        <v>9206</v>
      </c>
      <c r="H2610">
        <f t="shared" si="296"/>
        <v>3</v>
      </c>
      <c r="I2610" s="5" t="s">
        <v>815</v>
      </c>
      <c r="J2610" s="5" t="s">
        <v>719</v>
      </c>
      <c r="Q2610" t="s">
        <v>620</v>
      </c>
      <c r="R2610">
        <v>70</v>
      </c>
      <c r="S2610">
        <v>1</v>
      </c>
      <c r="T2610" t="str">
        <f t="shared" si="299"/>
        <v>e</v>
      </c>
      <c r="U2610" t="s">
        <v>257</v>
      </c>
      <c r="V2610" t="s">
        <v>191</v>
      </c>
      <c r="W2610" t="s">
        <v>617</v>
      </c>
      <c r="X2610" t="s">
        <v>706</v>
      </c>
      <c r="AF2610" t="s">
        <v>623</v>
      </c>
      <c r="AM2610" t="str">
        <f t="shared" si="302"/>
        <v>Zone_Entry_Exit</v>
      </c>
      <c r="AN2610" t="str">
        <f t="shared" si="303"/>
        <v>Zone_Entry</v>
      </c>
      <c r="AP2610" t="str">
        <f t="shared" si="304"/>
        <v>Offensive</v>
      </c>
      <c r="BB2610" s="23"/>
      <c r="BD2610" s="21"/>
      <c r="BE2610" s="21"/>
      <c r="BF2610" s="21"/>
      <c r="BG2610" s="21"/>
      <c r="BH2610" s="21"/>
      <c r="BI2610" s="21"/>
    </row>
    <row r="2611" spans="1:61" x14ac:dyDescent="0.2">
      <c r="A2611">
        <v>1351</v>
      </c>
      <c r="B2611" t="s">
        <v>887</v>
      </c>
      <c r="C2611" t="str">
        <f t="shared" si="295"/>
        <v/>
      </c>
      <c r="D2611" t="str">
        <f t="shared" si="301"/>
        <v/>
      </c>
      <c r="H2611">
        <f t="shared" si="296"/>
        <v>3</v>
      </c>
      <c r="I2611" s="5" t="s">
        <v>815</v>
      </c>
      <c r="J2611" s="5" t="s">
        <v>726</v>
      </c>
      <c r="Q2611" t="s">
        <v>619</v>
      </c>
      <c r="R2611">
        <v>4</v>
      </c>
      <c r="S2611">
        <v>1</v>
      </c>
      <c r="T2611" t="str">
        <f t="shared" si="299"/>
        <v>e</v>
      </c>
      <c r="U2611" t="s">
        <v>15</v>
      </c>
      <c r="V2611" t="s">
        <v>697</v>
      </c>
      <c r="X2611" t="s">
        <v>706</v>
      </c>
      <c r="Y2611" t="s">
        <v>720</v>
      </c>
      <c r="AA2611" t="s">
        <v>706</v>
      </c>
      <c r="AF2611" t="s">
        <v>623</v>
      </c>
      <c r="AM2611" t="str">
        <f t="shared" si="302"/>
        <v>Possession</v>
      </c>
      <c r="AN2611" t="str">
        <f t="shared" si="303"/>
        <v>PuckRetrieval</v>
      </c>
      <c r="AP2611" t="str">
        <f t="shared" si="304"/>
        <v>Offensive</v>
      </c>
      <c r="BB2611" s="23"/>
      <c r="BD2611" s="21"/>
      <c r="BE2611" s="21"/>
      <c r="BF2611" s="21"/>
      <c r="BG2611" s="21"/>
      <c r="BH2611" s="21"/>
      <c r="BI2611" s="21"/>
    </row>
    <row r="2612" spans="1:61" x14ac:dyDescent="0.2">
      <c r="A2612">
        <v>1352</v>
      </c>
      <c r="B2612" t="s">
        <v>887</v>
      </c>
      <c r="C2612" t="str">
        <f t="shared" si="295"/>
        <v/>
      </c>
      <c r="D2612" t="str">
        <f t="shared" si="301"/>
        <v/>
      </c>
      <c r="H2612">
        <f t="shared" si="296"/>
        <v>3</v>
      </c>
      <c r="I2612" s="5" t="s">
        <v>815</v>
      </c>
      <c r="J2612" s="5" t="s">
        <v>726</v>
      </c>
      <c r="K2612" s="5" t="s">
        <v>815</v>
      </c>
      <c r="L2612" s="7" t="s">
        <v>727</v>
      </c>
      <c r="Q2612" t="s">
        <v>619</v>
      </c>
      <c r="R2612">
        <v>4</v>
      </c>
      <c r="S2612">
        <v>1</v>
      </c>
      <c r="T2612" t="str">
        <f t="shared" si="299"/>
        <v>e</v>
      </c>
      <c r="U2612" t="s">
        <v>257</v>
      </c>
      <c r="V2612" t="s">
        <v>201</v>
      </c>
      <c r="W2612" t="s">
        <v>90</v>
      </c>
      <c r="X2612" t="s">
        <v>706</v>
      </c>
      <c r="AF2612" t="s">
        <v>623</v>
      </c>
      <c r="AM2612" t="str">
        <f t="shared" si="302"/>
        <v>Zone_Entry_Exit</v>
      </c>
      <c r="AN2612" t="str">
        <f t="shared" si="303"/>
        <v>Zone_Exit</v>
      </c>
      <c r="AP2612" t="str">
        <f t="shared" si="304"/>
        <v>Offensive</v>
      </c>
      <c r="BB2612" s="23"/>
      <c r="BD2612" s="21"/>
      <c r="BE2612" s="21"/>
      <c r="BF2612" s="21"/>
      <c r="BG2612" s="21"/>
      <c r="BH2612" s="21"/>
      <c r="BI2612" s="21"/>
    </row>
    <row r="2613" spans="1:61" x14ac:dyDescent="0.2">
      <c r="A2613">
        <v>1353</v>
      </c>
      <c r="B2613" t="s">
        <v>887</v>
      </c>
      <c r="C2613" t="str">
        <f t="shared" si="295"/>
        <v/>
      </c>
      <c r="D2613" t="str">
        <f t="shared" si="301"/>
        <v/>
      </c>
      <c r="H2613">
        <f t="shared" si="296"/>
        <v>3</v>
      </c>
      <c r="I2613" s="5" t="s">
        <v>815</v>
      </c>
      <c r="J2613" s="5" t="s">
        <v>727</v>
      </c>
      <c r="K2613" s="5" t="s">
        <v>815</v>
      </c>
      <c r="L2613" s="7" t="s">
        <v>730</v>
      </c>
      <c r="Q2613" t="s">
        <v>619</v>
      </c>
      <c r="R2613">
        <v>4</v>
      </c>
      <c r="S2613">
        <v>1</v>
      </c>
      <c r="T2613" t="str">
        <f t="shared" si="299"/>
        <v>e</v>
      </c>
      <c r="U2613" t="s">
        <v>15</v>
      </c>
      <c r="AF2613" t="s">
        <v>635</v>
      </c>
      <c r="AJ2613">
        <v>1</v>
      </c>
      <c r="AM2613" t="str">
        <f t="shared" si="302"/>
        <v>Possession</v>
      </c>
      <c r="AN2613" t="str">
        <f t="shared" si="303"/>
        <v/>
      </c>
      <c r="AP2613" t="str">
        <f t="shared" si="304"/>
        <v>Offensive</v>
      </c>
      <c r="BB2613" s="23"/>
      <c r="BD2613" s="21"/>
      <c r="BE2613" s="21"/>
      <c r="BF2613" s="21"/>
      <c r="BG2613" s="21"/>
      <c r="BH2613" s="21"/>
      <c r="BI2613" s="21"/>
    </row>
    <row r="2614" spans="1:61" x14ac:dyDescent="0.2">
      <c r="A2614">
        <v>1353</v>
      </c>
      <c r="B2614" t="s">
        <v>887</v>
      </c>
      <c r="C2614" t="str">
        <f t="shared" si="295"/>
        <v/>
      </c>
      <c r="D2614" t="str">
        <f t="shared" si="301"/>
        <v/>
      </c>
      <c r="H2614">
        <f t="shared" si="296"/>
        <v>3</v>
      </c>
      <c r="R2614">
        <v>70</v>
      </c>
      <c r="T2614" t="str">
        <f t="shared" si="299"/>
        <v>o</v>
      </c>
      <c r="Y2614" t="s">
        <v>715</v>
      </c>
      <c r="AA2614" t="s">
        <v>706</v>
      </c>
      <c r="AJ2614">
        <v>1</v>
      </c>
      <c r="AM2614" t="str">
        <f t="shared" si="302"/>
        <v>Possession</v>
      </c>
      <c r="AN2614" t="str">
        <f t="shared" si="303"/>
        <v/>
      </c>
      <c r="AP2614" t="str">
        <f t="shared" si="304"/>
        <v>Defensive</v>
      </c>
      <c r="BB2614" s="23"/>
      <c r="BD2614" s="21"/>
      <c r="BE2614" s="21"/>
      <c r="BF2614" s="21"/>
      <c r="BG2614" s="21"/>
      <c r="BH2614" s="21"/>
      <c r="BI2614" s="21"/>
    </row>
    <row r="2615" spans="1:61" x14ac:dyDescent="0.2">
      <c r="A2615">
        <v>1354</v>
      </c>
      <c r="B2615" t="s">
        <v>887</v>
      </c>
      <c r="C2615" t="str">
        <f t="shared" si="295"/>
        <v/>
      </c>
      <c r="D2615" t="str">
        <f t="shared" si="301"/>
        <v/>
      </c>
      <c r="H2615">
        <f t="shared" si="296"/>
        <v>3</v>
      </c>
      <c r="I2615" s="5" t="s">
        <v>815</v>
      </c>
      <c r="J2615" s="5" t="s">
        <v>730</v>
      </c>
      <c r="Q2615" t="s">
        <v>620</v>
      </c>
      <c r="R2615">
        <v>70</v>
      </c>
      <c r="S2615">
        <v>1</v>
      </c>
      <c r="T2615" t="str">
        <f t="shared" si="299"/>
        <v>e</v>
      </c>
      <c r="U2615" t="s">
        <v>10</v>
      </c>
      <c r="V2615" t="s">
        <v>200</v>
      </c>
      <c r="W2615" t="s">
        <v>82</v>
      </c>
      <c r="X2615" t="s">
        <v>706</v>
      </c>
      <c r="Y2615" t="s">
        <v>715</v>
      </c>
      <c r="AA2615" t="s">
        <v>706</v>
      </c>
      <c r="AF2615" t="s">
        <v>635</v>
      </c>
      <c r="AJ2615">
        <v>1</v>
      </c>
      <c r="AM2615" t="str">
        <f t="shared" si="302"/>
        <v>Turnover</v>
      </c>
      <c r="AN2615" t="str">
        <f t="shared" si="303"/>
        <v>Turnover_Takeaway</v>
      </c>
      <c r="AP2615" t="str">
        <f t="shared" si="304"/>
        <v>Defensive</v>
      </c>
      <c r="BB2615" s="23"/>
      <c r="BD2615" s="21"/>
      <c r="BE2615" s="21"/>
      <c r="BF2615" s="21"/>
      <c r="BG2615" s="21"/>
      <c r="BH2615" s="21"/>
      <c r="BI2615" s="21"/>
    </row>
    <row r="2616" spans="1:61" x14ac:dyDescent="0.2">
      <c r="A2616">
        <v>1354</v>
      </c>
      <c r="B2616" t="s">
        <v>887</v>
      </c>
      <c r="C2616" t="str">
        <f t="shared" si="295"/>
        <v/>
      </c>
      <c r="D2616" t="str">
        <f t="shared" si="301"/>
        <v/>
      </c>
      <c r="H2616">
        <f t="shared" si="296"/>
        <v>3</v>
      </c>
      <c r="R2616">
        <v>4</v>
      </c>
      <c r="T2616" t="str">
        <f t="shared" si="299"/>
        <v>o</v>
      </c>
      <c r="AJ2616">
        <v>1</v>
      </c>
      <c r="AM2616" t="str">
        <f t="shared" si="302"/>
        <v>Turnover</v>
      </c>
      <c r="AN2616" t="str">
        <f t="shared" si="303"/>
        <v>Turnover_Takeaway</v>
      </c>
      <c r="AP2616" t="str">
        <f t="shared" si="304"/>
        <v>Offensive</v>
      </c>
      <c r="BB2616" s="23"/>
      <c r="BD2616" s="21"/>
      <c r="BE2616" s="21"/>
      <c r="BF2616" s="21"/>
      <c r="BG2616" s="21"/>
      <c r="BH2616" s="21"/>
      <c r="BI2616" s="21"/>
    </row>
    <row r="2617" spans="1:61" x14ac:dyDescent="0.2">
      <c r="A2617">
        <v>1355</v>
      </c>
      <c r="B2617">
        <v>207</v>
      </c>
      <c r="C2617">
        <f t="shared" si="295"/>
        <v>9207</v>
      </c>
      <c r="D2617">
        <f t="shared" si="301"/>
        <v>9207</v>
      </c>
      <c r="H2617">
        <f t="shared" si="296"/>
        <v>3</v>
      </c>
      <c r="I2617" s="5" t="s">
        <v>815</v>
      </c>
      <c r="J2617" s="5" t="s">
        <v>760</v>
      </c>
      <c r="Q2617" t="s">
        <v>620</v>
      </c>
      <c r="R2617">
        <v>70</v>
      </c>
      <c r="S2617">
        <v>1</v>
      </c>
      <c r="T2617" t="str">
        <f t="shared" si="299"/>
        <v>e</v>
      </c>
      <c r="U2617" t="s">
        <v>13</v>
      </c>
      <c r="V2617" t="s">
        <v>204</v>
      </c>
      <c r="W2617" t="s">
        <v>107</v>
      </c>
      <c r="AF2617" t="s">
        <v>635</v>
      </c>
      <c r="AM2617" t="str">
        <f t="shared" si="302"/>
        <v>Stoppage</v>
      </c>
      <c r="AN2617" t="str">
        <f t="shared" si="303"/>
        <v>Stoppage_Play</v>
      </c>
      <c r="AP2617" t="str">
        <f t="shared" si="304"/>
        <v/>
      </c>
      <c r="BB2617" s="23"/>
      <c r="BD2617" s="21"/>
      <c r="BE2617" s="21"/>
      <c r="BF2617" s="21"/>
      <c r="BG2617" s="21"/>
      <c r="BH2617" s="21"/>
      <c r="BI2617" s="21"/>
    </row>
    <row r="2618" spans="1:61" x14ac:dyDescent="0.2">
      <c r="A2618">
        <v>1356</v>
      </c>
      <c r="B2618">
        <v>207</v>
      </c>
      <c r="C2618">
        <f t="shared" si="295"/>
        <v>9207</v>
      </c>
      <c r="D2618">
        <f t="shared" si="301"/>
        <v>9207</v>
      </c>
      <c r="H2618">
        <f t="shared" si="296"/>
        <v>3</v>
      </c>
      <c r="I2618" s="5" t="s">
        <v>815</v>
      </c>
      <c r="J2618" s="5" t="s">
        <v>760</v>
      </c>
      <c r="K2618" s="5" t="s">
        <v>815</v>
      </c>
      <c r="L2618" s="7" t="s">
        <v>740</v>
      </c>
      <c r="Q2618" t="s">
        <v>620</v>
      </c>
      <c r="R2618">
        <v>70</v>
      </c>
      <c r="S2618">
        <v>1</v>
      </c>
      <c r="T2618" t="str">
        <f t="shared" si="299"/>
        <v>e</v>
      </c>
      <c r="U2618" t="s">
        <v>262</v>
      </c>
      <c r="AF2618" t="s">
        <v>635</v>
      </c>
      <c r="AM2618" t="str">
        <f t="shared" si="302"/>
        <v>DeadIce</v>
      </c>
      <c r="AN2618" t="str">
        <f t="shared" si="303"/>
        <v/>
      </c>
      <c r="AP2618" t="str">
        <f t="shared" si="304"/>
        <v/>
      </c>
      <c r="BB2618" s="23"/>
      <c r="BD2618" s="21"/>
      <c r="BE2618" s="21"/>
      <c r="BF2618" s="21"/>
      <c r="BG2618" s="21"/>
      <c r="BH2618" s="21"/>
      <c r="BI2618" s="21"/>
    </row>
    <row r="2619" spans="1:61" x14ac:dyDescent="0.2">
      <c r="A2619">
        <v>1357</v>
      </c>
      <c r="B2619" t="s">
        <v>887</v>
      </c>
      <c r="C2619" t="str">
        <f t="shared" si="295"/>
        <v/>
      </c>
      <c r="D2619" t="str">
        <f t="shared" si="301"/>
        <v/>
      </c>
      <c r="H2619">
        <f t="shared" si="296"/>
        <v>3</v>
      </c>
      <c r="Q2619" t="s">
        <v>619</v>
      </c>
      <c r="R2619">
        <v>3</v>
      </c>
      <c r="S2619">
        <v>1</v>
      </c>
      <c r="T2619" t="str">
        <f t="shared" si="299"/>
        <v>e</v>
      </c>
      <c r="U2619" t="s">
        <v>6</v>
      </c>
      <c r="V2619" t="s">
        <v>255</v>
      </c>
      <c r="AF2619" t="s">
        <v>635</v>
      </c>
      <c r="AM2619" t="str">
        <f t="shared" si="302"/>
        <v>Faceoff</v>
      </c>
      <c r="AN2619" t="str">
        <f t="shared" si="303"/>
        <v>Faceoff_AfterStoppage</v>
      </c>
      <c r="AP2619" t="str">
        <f t="shared" si="304"/>
        <v>Offensive</v>
      </c>
      <c r="BB2619" s="23"/>
      <c r="BD2619" s="21"/>
      <c r="BE2619" s="21"/>
      <c r="BF2619" s="21"/>
      <c r="BG2619" s="21"/>
      <c r="BH2619" s="21"/>
      <c r="BI2619" s="21"/>
    </row>
    <row r="2620" spans="1:61" x14ac:dyDescent="0.2">
      <c r="A2620">
        <v>1357</v>
      </c>
      <c r="B2620" t="s">
        <v>887</v>
      </c>
      <c r="C2620" t="str">
        <f t="shared" si="295"/>
        <v/>
      </c>
      <c r="D2620" t="str">
        <f t="shared" si="301"/>
        <v/>
      </c>
      <c r="H2620">
        <f t="shared" si="296"/>
        <v>3</v>
      </c>
      <c r="R2620">
        <v>70</v>
      </c>
      <c r="T2620" t="str">
        <f t="shared" si="299"/>
        <v>o</v>
      </c>
      <c r="AM2620" t="str">
        <f t="shared" si="302"/>
        <v>Faceoff</v>
      </c>
      <c r="AN2620" t="str">
        <f t="shared" si="303"/>
        <v>Faceoff_AfterStoppage</v>
      </c>
      <c r="AP2620" t="str">
        <f t="shared" si="304"/>
        <v>Defensive</v>
      </c>
      <c r="BB2620" s="23"/>
      <c r="BD2620" s="21"/>
      <c r="BE2620" s="21"/>
      <c r="BF2620" s="21"/>
      <c r="BG2620" s="21"/>
      <c r="BH2620" s="21"/>
      <c r="BI2620" s="21"/>
    </row>
    <row r="2621" spans="1:61" x14ac:dyDescent="0.2">
      <c r="A2621">
        <v>1358</v>
      </c>
      <c r="B2621" t="s">
        <v>887</v>
      </c>
      <c r="C2621" t="str">
        <f t="shared" si="295"/>
        <v/>
      </c>
      <c r="D2621" t="str">
        <f t="shared" si="301"/>
        <v/>
      </c>
      <c r="H2621">
        <f t="shared" si="296"/>
        <v>3</v>
      </c>
      <c r="I2621" s="5" t="s">
        <v>815</v>
      </c>
      <c r="J2621" s="5" t="s">
        <v>446</v>
      </c>
      <c r="K2621" s="5" t="s">
        <v>888</v>
      </c>
      <c r="L2621" s="7" t="s">
        <v>637</v>
      </c>
      <c r="Q2621" t="s">
        <v>619</v>
      </c>
      <c r="R2621">
        <v>25</v>
      </c>
      <c r="S2621">
        <v>1</v>
      </c>
      <c r="T2621" t="str">
        <f t="shared" si="299"/>
        <v>e</v>
      </c>
      <c r="U2621" t="s">
        <v>15</v>
      </c>
      <c r="V2621" t="s">
        <v>698</v>
      </c>
      <c r="X2621" t="s">
        <v>706</v>
      </c>
      <c r="Y2621" t="s">
        <v>907</v>
      </c>
      <c r="AA2621" t="s">
        <v>706</v>
      </c>
      <c r="AF2621" t="s">
        <v>635</v>
      </c>
      <c r="AJ2621">
        <v>1</v>
      </c>
      <c r="AM2621" t="str">
        <f t="shared" si="302"/>
        <v>Possession</v>
      </c>
      <c r="AN2621" t="str">
        <f t="shared" si="303"/>
        <v>PuckRecovery</v>
      </c>
      <c r="AP2621" t="str">
        <f t="shared" si="304"/>
        <v>Offensive</v>
      </c>
      <c r="BB2621" s="23"/>
      <c r="BD2621" s="21"/>
      <c r="BE2621" s="21"/>
      <c r="BF2621" s="21"/>
      <c r="BG2621" s="21"/>
      <c r="BH2621" s="21"/>
      <c r="BI2621" s="21"/>
    </row>
    <row r="2622" spans="1:61" x14ac:dyDescent="0.2">
      <c r="A2622">
        <v>1358</v>
      </c>
      <c r="B2622" t="s">
        <v>887</v>
      </c>
      <c r="C2622" t="str">
        <f t="shared" si="295"/>
        <v/>
      </c>
      <c r="D2622" t="str">
        <f t="shared" si="301"/>
        <v/>
      </c>
      <c r="H2622">
        <f t="shared" si="296"/>
        <v>3</v>
      </c>
      <c r="R2622">
        <v>70</v>
      </c>
      <c r="T2622" t="str">
        <f t="shared" si="299"/>
        <v>o</v>
      </c>
      <c r="AJ2622">
        <v>1</v>
      </c>
      <c r="AM2622" t="str">
        <f t="shared" si="302"/>
        <v>Possession</v>
      </c>
      <c r="AN2622" t="str">
        <f t="shared" si="303"/>
        <v>PuckRecovery</v>
      </c>
      <c r="AP2622" t="str">
        <f t="shared" si="304"/>
        <v>Defensive</v>
      </c>
      <c r="BB2622" s="23"/>
      <c r="BD2622" s="21"/>
      <c r="BE2622" s="21"/>
      <c r="BF2622" s="21"/>
      <c r="BG2622" s="21"/>
      <c r="BH2622" s="21"/>
      <c r="BI2622" s="21"/>
    </row>
    <row r="2623" spans="1:61" x14ac:dyDescent="0.2">
      <c r="A2623">
        <v>1359</v>
      </c>
      <c r="B2623" t="s">
        <v>887</v>
      </c>
      <c r="C2623" t="str">
        <f t="shared" si="295"/>
        <v/>
      </c>
      <c r="D2623" t="str">
        <f t="shared" si="301"/>
        <v/>
      </c>
      <c r="H2623">
        <f t="shared" si="296"/>
        <v>3</v>
      </c>
      <c r="I2623" s="5" t="s">
        <v>888</v>
      </c>
      <c r="J2623" s="5" t="s">
        <v>637</v>
      </c>
      <c r="K2623" s="5" t="s">
        <v>888</v>
      </c>
      <c r="L2623" s="7" t="s">
        <v>751</v>
      </c>
      <c r="Q2623" t="s">
        <v>619</v>
      </c>
      <c r="R2623">
        <v>25</v>
      </c>
      <c r="S2623">
        <v>1</v>
      </c>
      <c r="T2623" t="str">
        <f t="shared" si="299"/>
        <v>e</v>
      </c>
      <c r="U2623" t="s">
        <v>257</v>
      </c>
      <c r="V2623" t="s">
        <v>191</v>
      </c>
      <c r="W2623" t="s">
        <v>87</v>
      </c>
      <c r="X2623" t="s">
        <v>705</v>
      </c>
      <c r="AF2623" t="s">
        <v>401</v>
      </c>
      <c r="AJ2623">
        <v>1</v>
      </c>
      <c r="AM2623" t="str">
        <f t="shared" si="302"/>
        <v>Zone_Entry_Exit</v>
      </c>
      <c r="AN2623" t="str">
        <f t="shared" si="303"/>
        <v>Zone_Entry</v>
      </c>
      <c r="AP2623" t="str">
        <f t="shared" si="304"/>
        <v>Offensive</v>
      </c>
      <c r="BB2623" s="23"/>
      <c r="BD2623" s="21"/>
      <c r="BE2623" s="21"/>
      <c r="BF2623" s="21"/>
      <c r="BG2623" s="21"/>
      <c r="BH2623" s="21"/>
      <c r="BI2623" s="21"/>
    </row>
    <row r="2624" spans="1:61" x14ac:dyDescent="0.2">
      <c r="A2624">
        <v>1359</v>
      </c>
      <c r="B2624" t="s">
        <v>887</v>
      </c>
      <c r="C2624" t="str">
        <f t="shared" si="295"/>
        <v/>
      </c>
      <c r="D2624" t="str">
        <f t="shared" si="301"/>
        <v/>
      </c>
      <c r="H2624">
        <f t="shared" si="296"/>
        <v>3</v>
      </c>
      <c r="R2624">
        <v>12</v>
      </c>
      <c r="S2624">
        <v>1</v>
      </c>
      <c r="T2624" t="str">
        <f t="shared" si="299"/>
        <v>e</v>
      </c>
      <c r="AM2624" t="str">
        <f t="shared" si="302"/>
        <v>Zone_Entry_Exit</v>
      </c>
      <c r="AN2624" t="str">
        <f t="shared" si="303"/>
        <v>Zone_Entry</v>
      </c>
      <c r="AP2624" t="str">
        <f t="shared" si="304"/>
        <v>Offensive</v>
      </c>
      <c r="BB2624" s="23"/>
      <c r="BD2624" s="21"/>
      <c r="BE2624" s="21"/>
      <c r="BF2624" s="21"/>
      <c r="BG2624" s="21"/>
      <c r="BH2624" s="21"/>
      <c r="BI2624" s="21"/>
    </row>
    <row r="2625" spans="1:61" x14ac:dyDescent="0.2">
      <c r="A2625">
        <v>1359</v>
      </c>
      <c r="B2625" t="s">
        <v>887</v>
      </c>
      <c r="C2625" t="str">
        <f t="shared" si="295"/>
        <v/>
      </c>
      <c r="D2625" t="str">
        <f t="shared" si="301"/>
        <v/>
      </c>
      <c r="H2625">
        <f t="shared" si="296"/>
        <v>3</v>
      </c>
      <c r="R2625">
        <v>70</v>
      </c>
      <c r="T2625" t="str">
        <f t="shared" si="299"/>
        <v>o</v>
      </c>
      <c r="AJ2625">
        <v>1</v>
      </c>
      <c r="AM2625" t="str">
        <f t="shared" si="302"/>
        <v>Zone_Entry_Exit</v>
      </c>
      <c r="AN2625" t="str">
        <f t="shared" si="303"/>
        <v>Zone_Entry</v>
      </c>
      <c r="AP2625" t="str">
        <f t="shared" si="304"/>
        <v>Defensive</v>
      </c>
      <c r="BB2625" s="23"/>
      <c r="BD2625" s="21"/>
      <c r="BE2625" s="21"/>
      <c r="BF2625" s="21"/>
      <c r="BG2625" s="21"/>
      <c r="BH2625" s="21"/>
      <c r="BI2625" s="21"/>
    </row>
    <row r="2626" spans="1:61" x14ac:dyDescent="0.2">
      <c r="A2626">
        <v>1359</v>
      </c>
      <c r="B2626" t="s">
        <v>887</v>
      </c>
      <c r="C2626" t="str">
        <f t="shared" si="295"/>
        <v/>
      </c>
      <c r="D2626" t="str">
        <f t="shared" si="301"/>
        <v/>
      </c>
      <c r="H2626">
        <f t="shared" si="296"/>
        <v>3</v>
      </c>
      <c r="R2626">
        <v>22</v>
      </c>
      <c r="T2626" t="str">
        <f t="shared" si="299"/>
        <v>o</v>
      </c>
      <c r="AM2626" t="str">
        <f t="shared" si="302"/>
        <v>Zone_Entry_Exit</v>
      </c>
      <c r="AN2626" t="str">
        <f t="shared" si="303"/>
        <v>Zone_Entry</v>
      </c>
      <c r="AP2626" t="str">
        <f t="shared" si="304"/>
        <v>Defensive</v>
      </c>
      <c r="BB2626" s="23"/>
      <c r="BD2626" s="21"/>
      <c r="BE2626" s="21"/>
      <c r="BF2626" s="21"/>
      <c r="BG2626" s="21"/>
      <c r="BH2626" s="21"/>
      <c r="BI2626" s="21"/>
    </row>
    <row r="2627" spans="1:61" x14ac:dyDescent="0.2">
      <c r="A2627">
        <v>1360</v>
      </c>
      <c r="B2627" t="s">
        <v>887</v>
      </c>
      <c r="C2627" t="str">
        <f t="shared" si="295"/>
        <v/>
      </c>
      <c r="D2627" t="str">
        <f t="shared" si="301"/>
        <v/>
      </c>
      <c r="H2627">
        <f t="shared" si="296"/>
        <v>3</v>
      </c>
      <c r="I2627" s="5" t="s">
        <v>888</v>
      </c>
      <c r="J2627" s="5" t="s">
        <v>751</v>
      </c>
      <c r="Q2627" t="s">
        <v>619</v>
      </c>
      <c r="R2627">
        <v>25</v>
      </c>
      <c r="S2627">
        <v>1</v>
      </c>
      <c r="T2627" t="str">
        <f t="shared" ref="T2627:T2638" si="306">IF(S2627="x","",IF(S2627=1,"e","o"))</f>
        <v>e</v>
      </c>
      <c r="U2627" t="s">
        <v>8</v>
      </c>
      <c r="V2627" t="s">
        <v>199</v>
      </c>
      <c r="W2627" t="s">
        <v>69</v>
      </c>
      <c r="X2627" t="s">
        <v>705</v>
      </c>
      <c r="AF2627" t="s">
        <v>401</v>
      </c>
      <c r="AJ2627">
        <v>1</v>
      </c>
      <c r="AM2627" t="str">
        <f t="shared" si="302"/>
        <v>Pass</v>
      </c>
      <c r="AN2627" t="str">
        <f t="shared" si="303"/>
        <v>Pass_Missed</v>
      </c>
      <c r="AP2627" t="str">
        <f t="shared" si="304"/>
        <v>Offensive</v>
      </c>
      <c r="BB2627" s="23"/>
      <c r="BD2627" s="21"/>
      <c r="BE2627" s="21"/>
      <c r="BF2627" s="21"/>
      <c r="BG2627" s="21"/>
      <c r="BH2627" s="21"/>
      <c r="BI2627" s="21"/>
    </row>
    <row r="2628" spans="1:61" x14ac:dyDescent="0.2">
      <c r="A2628">
        <v>1360</v>
      </c>
      <c r="B2628" t="s">
        <v>887</v>
      </c>
      <c r="C2628" t="str">
        <f t="shared" ref="C2628:C2638" si="307">IF(B2628&lt;&gt;"",9000+B2628,"")</f>
        <v/>
      </c>
      <c r="D2628" t="str">
        <f t="shared" si="301"/>
        <v/>
      </c>
      <c r="H2628">
        <f t="shared" si="296"/>
        <v>3</v>
      </c>
      <c r="R2628">
        <v>12</v>
      </c>
      <c r="S2628">
        <v>1</v>
      </c>
      <c r="T2628" t="str">
        <f t="shared" si="306"/>
        <v>e</v>
      </c>
      <c r="AM2628" t="str">
        <f t="shared" si="302"/>
        <v>Pass</v>
      </c>
      <c r="AN2628" t="str">
        <f t="shared" si="303"/>
        <v>Pass_Missed</v>
      </c>
      <c r="AP2628" t="str">
        <f t="shared" si="304"/>
        <v>Offensive</v>
      </c>
      <c r="BB2628" s="23"/>
      <c r="BD2628" s="21"/>
      <c r="BE2628" s="21"/>
      <c r="BF2628" s="21"/>
      <c r="BG2628" s="21"/>
      <c r="BH2628" s="21"/>
      <c r="BI2628" s="21"/>
    </row>
    <row r="2629" spans="1:61" x14ac:dyDescent="0.2">
      <c r="A2629">
        <v>1360</v>
      </c>
      <c r="B2629" t="s">
        <v>887</v>
      </c>
      <c r="C2629" t="str">
        <f t="shared" si="307"/>
        <v/>
      </c>
      <c r="D2629" t="str">
        <f t="shared" si="301"/>
        <v/>
      </c>
      <c r="H2629">
        <f t="shared" ref="H2629:H2692" si="308">IF(U2629="Intermission",H2628+1,H2628)</f>
        <v>3</v>
      </c>
      <c r="R2629">
        <v>70</v>
      </c>
      <c r="T2629" t="str">
        <f t="shared" si="306"/>
        <v>o</v>
      </c>
      <c r="AJ2629">
        <v>1</v>
      </c>
      <c r="AM2629" t="str">
        <f t="shared" si="302"/>
        <v>Pass</v>
      </c>
      <c r="AN2629" t="str">
        <f t="shared" si="303"/>
        <v>Pass_Missed</v>
      </c>
      <c r="AP2629" t="str">
        <f t="shared" si="304"/>
        <v>Defensive</v>
      </c>
      <c r="BB2629" s="23"/>
      <c r="BD2629" s="21"/>
      <c r="BE2629" s="21"/>
      <c r="BF2629" s="21"/>
      <c r="BG2629" s="21"/>
      <c r="BH2629" s="21"/>
      <c r="BI2629" s="21"/>
    </row>
    <row r="2630" spans="1:61" x14ac:dyDescent="0.2">
      <c r="A2630">
        <v>1361</v>
      </c>
      <c r="B2630" t="s">
        <v>887</v>
      </c>
      <c r="C2630" t="str">
        <f t="shared" si="307"/>
        <v/>
      </c>
      <c r="D2630" t="str">
        <f t="shared" si="301"/>
        <v/>
      </c>
      <c r="H2630">
        <f t="shared" si="308"/>
        <v>3</v>
      </c>
      <c r="I2630" s="5" t="s">
        <v>888</v>
      </c>
      <c r="J2630" s="5" t="s">
        <v>773</v>
      </c>
      <c r="Q2630" t="s">
        <v>619</v>
      </c>
      <c r="R2630">
        <v>25</v>
      </c>
      <c r="S2630">
        <v>1</v>
      </c>
      <c r="T2630" t="str">
        <f t="shared" si="306"/>
        <v>e</v>
      </c>
      <c r="U2630" t="s">
        <v>15</v>
      </c>
      <c r="V2630" t="s">
        <v>698</v>
      </c>
      <c r="X2630" t="s">
        <v>705</v>
      </c>
      <c r="Y2630" t="s">
        <v>756</v>
      </c>
      <c r="AA2630" t="s">
        <v>705</v>
      </c>
      <c r="AF2630" t="s">
        <v>401</v>
      </c>
      <c r="AM2630" t="str">
        <f t="shared" si="302"/>
        <v>Possession</v>
      </c>
      <c r="AN2630" t="str">
        <f t="shared" si="303"/>
        <v>PuckRecovery</v>
      </c>
      <c r="AP2630" t="str">
        <f t="shared" si="304"/>
        <v>Offensive</v>
      </c>
      <c r="BB2630" s="23"/>
      <c r="BD2630" s="21"/>
      <c r="BE2630" s="21"/>
      <c r="BF2630" s="21"/>
      <c r="BG2630" s="21"/>
      <c r="BH2630" s="21"/>
      <c r="BI2630" s="21"/>
    </row>
    <row r="2631" spans="1:61" x14ac:dyDescent="0.2">
      <c r="A2631">
        <v>1362</v>
      </c>
      <c r="B2631" t="s">
        <v>887</v>
      </c>
      <c r="C2631" t="str">
        <f t="shared" si="307"/>
        <v/>
      </c>
      <c r="D2631" t="str">
        <f t="shared" si="301"/>
        <v/>
      </c>
      <c r="H2631">
        <f t="shared" si="308"/>
        <v>3</v>
      </c>
      <c r="I2631" s="5" t="s">
        <v>888</v>
      </c>
      <c r="J2631" s="5" t="s">
        <v>773</v>
      </c>
      <c r="Q2631" t="s">
        <v>620</v>
      </c>
      <c r="S2631">
        <v>1</v>
      </c>
      <c r="T2631" t="str">
        <f t="shared" si="306"/>
        <v>e</v>
      </c>
      <c r="U2631" t="s">
        <v>257</v>
      </c>
      <c r="V2631" t="s">
        <v>201</v>
      </c>
      <c r="W2631" t="s">
        <v>411</v>
      </c>
      <c r="AF2631" t="s">
        <v>623</v>
      </c>
      <c r="AM2631" t="str">
        <f t="shared" si="302"/>
        <v>Zone_Entry_Exit</v>
      </c>
      <c r="AN2631" t="str">
        <f t="shared" si="303"/>
        <v>Zone_Exit</v>
      </c>
      <c r="AP2631" t="str">
        <f t="shared" si="304"/>
        <v>Offensive</v>
      </c>
      <c r="BB2631" s="23"/>
      <c r="BD2631" s="21"/>
      <c r="BE2631" s="21"/>
      <c r="BF2631" s="21"/>
      <c r="BG2631" s="21"/>
      <c r="BH2631" s="21"/>
      <c r="BI2631" s="21"/>
    </row>
    <row r="2632" spans="1:61" x14ac:dyDescent="0.2">
      <c r="A2632">
        <v>1363</v>
      </c>
      <c r="B2632" t="s">
        <v>887</v>
      </c>
      <c r="C2632" t="str">
        <f t="shared" si="307"/>
        <v/>
      </c>
      <c r="D2632" t="str">
        <f t="shared" si="301"/>
        <v/>
      </c>
      <c r="H2632">
        <f t="shared" si="308"/>
        <v>3</v>
      </c>
      <c r="I2632" s="5" t="s">
        <v>888</v>
      </c>
      <c r="J2632" s="5" t="s">
        <v>753</v>
      </c>
      <c r="K2632" s="5" t="s">
        <v>888</v>
      </c>
      <c r="L2632" s="7" t="s">
        <v>672</v>
      </c>
      <c r="Q2632" t="s">
        <v>619</v>
      </c>
      <c r="R2632">
        <v>4</v>
      </c>
      <c r="S2632">
        <v>1</v>
      </c>
      <c r="T2632" t="str">
        <f t="shared" si="306"/>
        <v>e</v>
      </c>
      <c r="U2632" t="s">
        <v>15</v>
      </c>
      <c r="V2632" t="s">
        <v>698</v>
      </c>
      <c r="X2632" t="s">
        <v>706</v>
      </c>
      <c r="Y2632" t="s">
        <v>752</v>
      </c>
      <c r="AA2632" t="s">
        <v>706</v>
      </c>
      <c r="AF2632" t="s">
        <v>635</v>
      </c>
      <c r="AM2632" t="str">
        <f t="shared" si="302"/>
        <v>Possession</v>
      </c>
      <c r="AN2632" t="str">
        <f t="shared" si="303"/>
        <v>PuckRecovery</v>
      </c>
      <c r="AP2632" t="str">
        <f t="shared" si="304"/>
        <v>Offensive</v>
      </c>
      <c r="BB2632" s="23"/>
      <c r="BD2632" s="21"/>
      <c r="BE2632" s="21"/>
      <c r="BF2632" s="21"/>
      <c r="BG2632" s="21"/>
      <c r="BH2632" s="21"/>
      <c r="BI2632" s="21"/>
    </row>
    <row r="2633" spans="1:61" x14ac:dyDescent="0.2">
      <c r="A2633">
        <v>1364</v>
      </c>
      <c r="B2633">
        <v>208</v>
      </c>
      <c r="C2633">
        <f t="shared" si="307"/>
        <v>9208</v>
      </c>
      <c r="D2633">
        <f t="shared" ref="D2633:D2638" si="309">IF(C2633&lt;&gt;"",C2633,B2633)</f>
        <v>9208</v>
      </c>
      <c r="H2633">
        <f t="shared" si="308"/>
        <v>3</v>
      </c>
      <c r="I2633" s="5" t="s">
        <v>888</v>
      </c>
      <c r="J2633" s="5" t="s">
        <v>672</v>
      </c>
      <c r="Q2633" t="s">
        <v>619</v>
      </c>
      <c r="R2633">
        <v>4</v>
      </c>
      <c r="S2633">
        <v>1</v>
      </c>
      <c r="T2633" t="str">
        <f t="shared" si="306"/>
        <v>e</v>
      </c>
      <c r="U2633" t="s">
        <v>8</v>
      </c>
      <c r="V2633" t="s">
        <v>189</v>
      </c>
      <c r="W2633" t="s">
        <v>70</v>
      </c>
      <c r="X2633" t="s">
        <v>706</v>
      </c>
      <c r="AF2633" t="s">
        <v>635</v>
      </c>
      <c r="AM2633" t="str">
        <f t="shared" si="302"/>
        <v>Pass</v>
      </c>
      <c r="AN2633" t="str">
        <f t="shared" si="303"/>
        <v>Pass_Completed</v>
      </c>
      <c r="AP2633" t="str">
        <f t="shared" si="304"/>
        <v>Offensive</v>
      </c>
      <c r="BB2633" s="23"/>
      <c r="BD2633" s="21"/>
      <c r="BE2633" s="21"/>
      <c r="BF2633" s="21"/>
      <c r="BG2633" s="21"/>
      <c r="BH2633" s="21"/>
      <c r="BI2633" s="21"/>
    </row>
    <row r="2634" spans="1:61" x14ac:dyDescent="0.2">
      <c r="A2634">
        <v>1364</v>
      </c>
      <c r="B2634">
        <v>208</v>
      </c>
      <c r="C2634">
        <f t="shared" si="307"/>
        <v>9208</v>
      </c>
      <c r="D2634">
        <f t="shared" si="309"/>
        <v>9208</v>
      </c>
      <c r="H2634">
        <f t="shared" si="308"/>
        <v>3</v>
      </c>
      <c r="R2634">
        <v>12</v>
      </c>
      <c r="S2634">
        <v>1</v>
      </c>
      <c r="T2634" t="str">
        <f t="shared" si="306"/>
        <v>e</v>
      </c>
      <c r="AM2634" t="str">
        <f t="shared" si="302"/>
        <v>Pass</v>
      </c>
      <c r="AN2634" t="str">
        <f t="shared" si="303"/>
        <v>Pass_Completed</v>
      </c>
      <c r="AP2634" t="str">
        <f t="shared" si="304"/>
        <v>Offensive</v>
      </c>
      <c r="BB2634" s="23"/>
      <c r="BD2634" s="21"/>
      <c r="BE2634" s="21"/>
      <c r="BF2634" s="21"/>
      <c r="BG2634" s="21"/>
      <c r="BH2634" s="21"/>
      <c r="BI2634" s="21"/>
    </row>
    <row r="2635" spans="1:61" x14ac:dyDescent="0.2">
      <c r="A2635">
        <v>1364</v>
      </c>
      <c r="B2635">
        <v>208</v>
      </c>
      <c r="C2635">
        <f t="shared" si="307"/>
        <v>9208</v>
      </c>
      <c r="D2635">
        <f t="shared" si="309"/>
        <v>9208</v>
      </c>
      <c r="H2635">
        <f t="shared" si="308"/>
        <v>3</v>
      </c>
      <c r="R2635">
        <v>70</v>
      </c>
      <c r="T2635" t="str">
        <f t="shared" si="306"/>
        <v>o</v>
      </c>
      <c r="Y2635" t="s">
        <v>722</v>
      </c>
      <c r="AM2635" t="str">
        <f t="shared" si="302"/>
        <v>Pass</v>
      </c>
      <c r="AN2635" t="str">
        <f t="shared" si="303"/>
        <v>Pass_Completed</v>
      </c>
      <c r="AP2635" t="str">
        <f t="shared" si="304"/>
        <v>Defensive</v>
      </c>
      <c r="BB2635" s="23"/>
      <c r="BD2635" s="21"/>
      <c r="BE2635" s="21"/>
      <c r="BF2635" s="21"/>
      <c r="BG2635" s="21"/>
      <c r="BH2635" s="21"/>
      <c r="BI2635" s="21"/>
    </row>
    <row r="2636" spans="1:61" x14ac:dyDescent="0.2">
      <c r="A2636">
        <v>1365</v>
      </c>
      <c r="B2636">
        <v>208</v>
      </c>
      <c r="C2636">
        <f t="shared" si="307"/>
        <v>9208</v>
      </c>
      <c r="D2636">
        <f t="shared" si="309"/>
        <v>9208</v>
      </c>
      <c r="H2636">
        <f t="shared" si="308"/>
        <v>3</v>
      </c>
      <c r="I2636" s="5" t="s">
        <v>888</v>
      </c>
      <c r="J2636" s="5" t="s">
        <v>672</v>
      </c>
      <c r="Q2636" t="s">
        <v>619</v>
      </c>
      <c r="R2636">
        <v>4</v>
      </c>
      <c r="S2636">
        <v>1</v>
      </c>
      <c r="T2636" t="str">
        <f t="shared" ref="T2636:T2699" si="310">IF(S2636="x","",IF(S2636=1,"e","o"))</f>
        <v>e</v>
      </c>
      <c r="U2636" t="s">
        <v>257</v>
      </c>
      <c r="V2636" t="s">
        <v>191</v>
      </c>
      <c r="W2636" t="s">
        <v>88</v>
      </c>
      <c r="X2636" t="s">
        <v>706</v>
      </c>
      <c r="AF2636" t="s">
        <v>635</v>
      </c>
      <c r="AM2636" t="str">
        <f t="shared" si="302"/>
        <v>Zone_Entry_Exit</v>
      </c>
      <c r="AN2636" t="str">
        <f t="shared" si="303"/>
        <v>Zone_Entry</v>
      </c>
      <c r="AP2636" t="str">
        <f t="shared" si="304"/>
        <v>Offensive</v>
      </c>
      <c r="BB2636" s="23"/>
      <c r="BD2636" s="21"/>
      <c r="BE2636" s="21"/>
      <c r="BF2636" s="21"/>
      <c r="BG2636" s="21"/>
      <c r="BH2636" s="21"/>
      <c r="BI2636" s="21"/>
    </row>
    <row r="2637" spans="1:61" x14ac:dyDescent="0.2">
      <c r="A2637">
        <v>1365</v>
      </c>
      <c r="B2637">
        <v>208</v>
      </c>
      <c r="C2637">
        <f t="shared" si="307"/>
        <v>9208</v>
      </c>
      <c r="D2637">
        <f t="shared" si="309"/>
        <v>9208</v>
      </c>
      <c r="H2637">
        <f t="shared" si="308"/>
        <v>3</v>
      </c>
      <c r="R2637">
        <v>12</v>
      </c>
      <c r="S2637">
        <v>1</v>
      </c>
      <c r="T2637" t="str">
        <f t="shared" si="310"/>
        <v>e</v>
      </c>
      <c r="AM2637" t="str">
        <f t="shared" si="302"/>
        <v>Zone_Entry_Exit</v>
      </c>
      <c r="AN2637" t="str">
        <f t="shared" si="303"/>
        <v>Zone_Entry</v>
      </c>
      <c r="AP2637" t="str">
        <f t="shared" si="304"/>
        <v>Offensive</v>
      </c>
      <c r="BB2637" s="23"/>
      <c r="BD2637" s="21"/>
      <c r="BE2637" s="21"/>
      <c r="BF2637" s="21"/>
      <c r="BG2637" s="21"/>
      <c r="BH2637" s="21"/>
      <c r="BI2637" s="21"/>
    </row>
    <row r="2638" spans="1:61" x14ac:dyDescent="0.2">
      <c r="A2638">
        <v>1365</v>
      </c>
      <c r="B2638">
        <v>208</v>
      </c>
      <c r="C2638">
        <f t="shared" si="307"/>
        <v>9208</v>
      </c>
      <c r="D2638">
        <f t="shared" si="309"/>
        <v>9208</v>
      </c>
      <c r="H2638">
        <f t="shared" si="308"/>
        <v>3</v>
      </c>
      <c r="R2638">
        <v>70</v>
      </c>
      <c r="T2638" t="str">
        <f t="shared" si="310"/>
        <v>o</v>
      </c>
      <c r="Y2638" t="s">
        <v>722</v>
      </c>
      <c r="AM2638" t="str">
        <f t="shared" si="302"/>
        <v>Zone_Entry_Exit</v>
      </c>
      <c r="AN2638" t="str">
        <f t="shared" si="303"/>
        <v>Zone_Entry</v>
      </c>
      <c r="AP2638" t="str">
        <f t="shared" si="304"/>
        <v>Defensive</v>
      </c>
      <c r="BB2638" s="23"/>
      <c r="BD2638" s="21"/>
      <c r="BE2638" s="21"/>
      <c r="BF2638" s="21"/>
      <c r="BG2638" s="21"/>
      <c r="BH2638" s="21"/>
      <c r="BI2638" s="21"/>
    </row>
    <row r="2639" spans="1:61" x14ac:dyDescent="0.2">
      <c r="A2639">
        <v>1366</v>
      </c>
      <c r="H2639">
        <f t="shared" si="308"/>
        <v>3</v>
      </c>
      <c r="I2639" s="5" t="s">
        <v>888</v>
      </c>
      <c r="J2639" s="5" t="s">
        <v>755</v>
      </c>
      <c r="K2639" s="5" t="s">
        <v>888</v>
      </c>
      <c r="L2639" s="7" t="s">
        <v>713</v>
      </c>
      <c r="Q2639" t="s">
        <v>619</v>
      </c>
      <c r="R2639">
        <v>12</v>
      </c>
      <c r="S2639">
        <v>1</v>
      </c>
      <c r="T2639" t="str">
        <f t="shared" si="310"/>
        <v>e</v>
      </c>
      <c r="U2639" t="s">
        <v>15</v>
      </c>
      <c r="Y2639" t="s">
        <v>777</v>
      </c>
      <c r="AF2639" t="s">
        <v>401</v>
      </c>
      <c r="AJ2639">
        <v>1</v>
      </c>
      <c r="AM2639" t="str">
        <f t="shared" ref="AM2639:AM2702" si="311">IF(U2639&lt;&gt;"",U2639,IF($A2639=$A2638,AM2638,""))</f>
        <v>Possession</v>
      </c>
      <c r="AN2639" t="str">
        <f>IF(V2639&lt;&gt;"",V2639,IF($A2639=$A2638,AN2638,""))</f>
        <v/>
      </c>
      <c r="AP2639" t="str">
        <f>IF(AND(T2639="e",OR(AM2639="Save",AN2639="Turnover_Takeaway",AN2639="Play_Defensive")),"Defensive",IF(AND(T2639="o",OR(AM2639="Save",AN2639="Turnover_Takeaway",AN2639="Play_Defensive")),"Offensive",IF(OR(AM2639="Deadice",AM2639="Stoppage",AM2639="Intermission"),"",IF(T2639="e","Offensive",IF(T2639="o","Defensive","")))))</f>
        <v>Offensive</v>
      </c>
    </row>
    <row r="2640" spans="1:61" x14ac:dyDescent="0.2">
      <c r="A2640">
        <v>1366</v>
      </c>
      <c r="H2640">
        <f t="shared" si="308"/>
        <v>3</v>
      </c>
      <c r="R2640">
        <v>70</v>
      </c>
      <c r="T2640" t="str">
        <f t="shared" si="310"/>
        <v>o</v>
      </c>
      <c r="Y2640" t="s">
        <v>715</v>
      </c>
      <c r="AJ2640">
        <v>1</v>
      </c>
      <c r="AM2640" t="str">
        <f t="shared" si="311"/>
        <v>Possession</v>
      </c>
      <c r="AN2640" t="str">
        <f t="shared" ref="AN2640:AN2702" si="312">IF(V2640&lt;&gt;"",V2640,IF($A2640=$A2639,AN2639,""))</f>
        <v/>
      </c>
      <c r="AP2640" t="str">
        <f t="shared" ref="AP2639:AP2702" si="313">IF(AND(T2640="e",OR(AM2640="Save",AN2640="Turnover_Takeaway",AN2640="Play_Defensive")),"Defensive",IF(AND(T2640="o",OR(AM2640="Save",AN2640="Turnover_Takeaway",AN2640="Play_Defensive")),"Offensive",IF(OR(AM2640="Deadice",AM2640="Stoppage",AM2640="Intermission"),"",IF(T2640="e","Offensive",IF(T2640="o","Defensive","")))))</f>
        <v>Defensive</v>
      </c>
    </row>
    <row r="2641" spans="1:42" x14ac:dyDescent="0.2">
      <c r="A2641">
        <v>1367</v>
      </c>
      <c r="H2641">
        <f t="shared" si="308"/>
        <v>3</v>
      </c>
      <c r="I2641" s="5" t="s">
        <v>888</v>
      </c>
      <c r="J2641" s="5" t="s">
        <v>713</v>
      </c>
      <c r="Q2641" t="s">
        <v>619</v>
      </c>
      <c r="R2641">
        <v>12</v>
      </c>
      <c r="S2641">
        <v>1</v>
      </c>
      <c r="T2641" t="str">
        <f t="shared" si="310"/>
        <v>e</v>
      </c>
      <c r="U2641" t="s">
        <v>8</v>
      </c>
      <c r="V2641" t="s">
        <v>189</v>
      </c>
      <c r="W2641" t="s">
        <v>70</v>
      </c>
      <c r="X2641" t="s">
        <v>706</v>
      </c>
      <c r="AF2641" t="s">
        <v>401</v>
      </c>
      <c r="AJ2641">
        <v>1</v>
      </c>
      <c r="AM2641" t="str">
        <f t="shared" si="311"/>
        <v>Pass</v>
      </c>
      <c r="AN2641" t="str">
        <f t="shared" si="312"/>
        <v>Pass_Completed</v>
      </c>
      <c r="AP2641" t="str">
        <f t="shared" si="313"/>
        <v>Offensive</v>
      </c>
    </row>
    <row r="2642" spans="1:42" x14ac:dyDescent="0.2">
      <c r="A2642">
        <v>1367</v>
      </c>
      <c r="H2642">
        <f t="shared" si="308"/>
        <v>3</v>
      </c>
      <c r="R2642">
        <v>25</v>
      </c>
      <c r="S2642">
        <v>1</v>
      </c>
      <c r="T2642" t="str">
        <f t="shared" si="310"/>
        <v>e</v>
      </c>
      <c r="AM2642" t="str">
        <f t="shared" si="311"/>
        <v>Pass</v>
      </c>
      <c r="AN2642" t="str">
        <f t="shared" si="312"/>
        <v>Pass_Completed</v>
      </c>
      <c r="AP2642" t="str">
        <f t="shared" si="313"/>
        <v>Offensive</v>
      </c>
    </row>
    <row r="2643" spans="1:42" x14ac:dyDescent="0.2">
      <c r="A2643">
        <v>1367</v>
      </c>
      <c r="H2643">
        <f t="shared" si="308"/>
        <v>3</v>
      </c>
      <c r="R2643">
        <v>70</v>
      </c>
      <c r="T2643" t="str">
        <f t="shared" si="310"/>
        <v>o</v>
      </c>
      <c r="Y2643" t="s">
        <v>715</v>
      </c>
      <c r="AJ2643">
        <v>1</v>
      </c>
      <c r="AM2643" t="str">
        <f t="shared" si="311"/>
        <v>Pass</v>
      </c>
      <c r="AN2643" t="str">
        <f t="shared" si="312"/>
        <v>Pass_Completed</v>
      </c>
      <c r="AP2643" t="str">
        <f t="shared" si="313"/>
        <v>Defensive</v>
      </c>
    </row>
    <row r="2644" spans="1:42" x14ac:dyDescent="0.2">
      <c r="A2644">
        <v>1368</v>
      </c>
      <c r="B2644">
        <v>209</v>
      </c>
      <c r="H2644">
        <f t="shared" si="308"/>
        <v>3</v>
      </c>
      <c r="I2644" s="5" t="s">
        <v>888</v>
      </c>
      <c r="J2644" s="5" t="s">
        <v>716</v>
      </c>
      <c r="Q2644" t="s">
        <v>619</v>
      </c>
      <c r="R2644">
        <v>25</v>
      </c>
      <c r="S2644">
        <v>1</v>
      </c>
      <c r="T2644" t="str">
        <f t="shared" si="310"/>
        <v>e</v>
      </c>
      <c r="U2644" t="s">
        <v>7</v>
      </c>
      <c r="V2644" t="s">
        <v>222</v>
      </c>
      <c r="W2644" t="s">
        <v>53</v>
      </c>
      <c r="X2644" t="s">
        <v>706</v>
      </c>
      <c r="AF2644" t="s">
        <v>401</v>
      </c>
      <c r="AM2644" t="str">
        <f t="shared" si="311"/>
        <v>Shot</v>
      </c>
      <c r="AN2644" t="str">
        <f t="shared" si="312"/>
        <v>Shot_OnNetSaved</v>
      </c>
      <c r="AP2644" t="str">
        <f t="shared" si="313"/>
        <v>Offensive</v>
      </c>
    </row>
    <row r="2645" spans="1:42" x14ac:dyDescent="0.2">
      <c r="A2645">
        <v>1368</v>
      </c>
      <c r="B2645">
        <v>209</v>
      </c>
      <c r="H2645">
        <f t="shared" si="308"/>
        <v>3</v>
      </c>
      <c r="R2645">
        <v>39</v>
      </c>
      <c r="T2645" t="str">
        <f t="shared" si="310"/>
        <v>o</v>
      </c>
      <c r="AM2645" t="str">
        <f t="shared" si="311"/>
        <v>Shot</v>
      </c>
      <c r="AN2645" t="str">
        <f t="shared" si="312"/>
        <v>Shot_OnNetSaved</v>
      </c>
      <c r="AP2645" t="str">
        <f t="shared" si="313"/>
        <v>Defensive</v>
      </c>
    </row>
    <row r="2646" spans="1:42" x14ac:dyDescent="0.2">
      <c r="A2646">
        <v>1369</v>
      </c>
      <c r="B2646">
        <v>209</v>
      </c>
      <c r="H2646">
        <f t="shared" si="308"/>
        <v>3</v>
      </c>
      <c r="I2646" s="5" t="s">
        <v>888</v>
      </c>
      <c r="J2646" s="5" t="s">
        <v>716</v>
      </c>
      <c r="Q2646" t="s">
        <v>620</v>
      </c>
      <c r="R2646">
        <v>39</v>
      </c>
      <c r="S2646">
        <v>1</v>
      </c>
      <c r="T2646" t="str">
        <f t="shared" si="310"/>
        <v>e</v>
      </c>
      <c r="U2646" t="s">
        <v>17</v>
      </c>
      <c r="V2646" t="s">
        <v>206</v>
      </c>
      <c r="W2646" t="s">
        <v>96</v>
      </c>
      <c r="AF2646" t="s">
        <v>623</v>
      </c>
      <c r="AM2646" t="str">
        <f t="shared" si="311"/>
        <v>Save</v>
      </c>
      <c r="AN2646" t="str">
        <f t="shared" si="312"/>
        <v>Save_Freeze</v>
      </c>
      <c r="AP2646" t="str">
        <f t="shared" si="313"/>
        <v>Defensive</v>
      </c>
    </row>
    <row r="2647" spans="1:42" x14ac:dyDescent="0.2">
      <c r="A2647">
        <v>1369</v>
      </c>
      <c r="B2647">
        <v>209</v>
      </c>
      <c r="H2647">
        <f t="shared" si="308"/>
        <v>3</v>
      </c>
      <c r="R2647">
        <v>25</v>
      </c>
      <c r="T2647" t="str">
        <f t="shared" si="310"/>
        <v>o</v>
      </c>
      <c r="AM2647" t="str">
        <f t="shared" si="311"/>
        <v>Save</v>
      </c>
      <c r="AN2647" t="str">
        <f t="shared" si="312"/>
        <v>Save_Freeze</v>
      </c>
      <c r="AP2647" t="str">
        <f t="shared" si="313"/>
        <v>Offensive</v>
      </c>
    </row>
    <row r="2648" spans="1:42" x14ac:dyDescent="0.2">
      <c r="A2648">
        <v>1370</v>
      </c>
      <c r="B2648">
        <v>209</v>
      </c>
      <c r="H2648">
        <f t="shared" si="308"/>
        <v>3</v>
      </c>
      <c r="I2648" s="5" t="s">
        <v>888</v>
      </c>
      <c r="J2648" s="5" t="s">
        <v>811</v>
      </c>
      <c r="Q2648" t="s">
        <v>620</v>
      </c>
      <c r="R2648">
        <v>39</v>
      </c>
      <c r="S2648">
        <v>1</v>
      </c>
      <c r="T2648" t="str">
        <f t="shared" si="310"/>
        <v>e</v>
      </c>
      <c r="U2648" t="s">
        <v>13</v>
      </c>
      <c r="V2648" t="s">
        <v>204</v>
      </c>
      <c r="W2648" t="s">
        <v>110</v>
      </c>
      <c r="AF2648" t="s">
        <v>623</v>
      </c>
      <c r="AM2648" t="str">
        <f t="shared" si="311"/>
        <v>Stoppage</v>
      </c>
      <c r="AN2648" t="str">
        <f t="shared" si="312"/>
        <v>Stoppage_Play</v>
      </c>
      <c r="AP2648" t="str">
        <f t="shared" si="313"/>
        <v/>
      </c>
    </row>
    <row r="2649" spans="1:42" x14ac:dyDescent="0.2">
      <c r="A2649">
        <v>1371</v>
      </c>
      <c r="B2649">
        <v>209</v>
      </c>
      <c r="H2649">
        <f t="shared" si="308"/>
        <v>3</v>
      </c>
      <c r="I2649" s="5" t="s">
        <v>888</v>
      </c>
      <c r="J2649" s="5" t="s">
        <v>811</v>
      </c>
      <c r="K2649" s="5" t="s">
        <v>888</v>
      </c>
      <c r="L2649" s="7" t="s">
        <v>732</v>
      </c>
      <c r="Q2649" t="s">
        <v>620</v>
      </c>
      <c r="R2649">
        <v>39</v>
      </c>
      <c r="S2649">
        <v>1</v>
      </c>
      <c r="T2649" t="str">
        <f t="shared" si="310"/>
        <v>e</v>
      </c>
      <c r="U2649" t="s">
        <v>262</v>
      </c>
      <c r="AF2649" t="s">
        <v>623</v>
      </c>
      <c r="AM2649" t="str">
        <f t="shared" si="311"/>
        <v>DeadIce</v>
      </c>
      <c r="AN2649" t="str">
        <f t="shared" si="312"/>
        <v/>
      </c>
      <c r="AP2649" t="str">
        <f t="shared" si="313"/>
        <v/>
      </c>
    </row>
    <row r="2650" spans="1:42" x14ac:dyDescent="0.2">
      <c r="A2650">
        <v>1372</v>
      </c>
      <c r="H2650">
        <f t="shared" si="308"/>
        <v>3</v>
      </c>
      <c r="I2650" s="5" t="s">
        <v>888</v>
      </c>
      <c r="J2650" s="5" t="s">
        <v>732</v>
      </c>
      <c r="Q2650" t="s">
        <v>620</v>
      </c>
      <c r="R2650">
        <v>70</v>
      </c>
      <c r="S2650">
        <v>1</v>
      </c>
      <c r="T2650" t="str">
        <f t="shared" si="310"/>
        <v>e</v>
      </c>
      <c r="U2650" t="s">
        <v>6</v>
      </c>
      <c r="V2650" t="s">
        <v>255</v>
      </c>
      <c r="AF2650" t="s">
        <v>623</v>
      </c>
      <c r="AM2650" t="str">
        <f t="shared" si="311"/>
        <v>Faceoff</v>
      </c>
      <c r="AN2650" t="str">
        <f t="shared" si="312"/>
        <v>Faceoff_AfterStoppage</v>
      </c>
      <c r="AP2650" t="str">
        <f t="shared" si="313"/>
        <v>Offensive</v>
      </c>
    </row>
    <row r="2651" spans="1:42" x14ac:dyDescent="0.2">
      <c r="A2651">
        <v>1372</v>
      </c>
      <c r="H2651">
        <f t="shared" si="308"/>
        <v>3</v>
      </c>
      <c r="R2651">
        <v>22</v>
      </c>
      <c r="S2651">
        <v>1</v>
      </c>
      <c r="T2651" t="str">
        <f t="shared" si="310"/>
        <v>e</v>
      </c>
      <c r="AM2651" t="str">
        <f t="shared" si="311"/>
        <v>Faceoff</v>
      </c>
      <c r="AN2651" t="str">
        <f t="shared" si="312"/>
        <v>Faceoff_AfterStoppage</v>
      </c>
      <c r="AP2651" t="str">
        <f t="shared" si="313"/>
        <v>Offensive</v>
      </c>
    </row>
    <row r="2652" spans="1:42" x14ac:dyDescent="0.2">
      <c r="A2652">
        <v>1372</v>
      </c>
      <c r="H2652">
        <f t="shared" si="308"/>
        <v>3</v>
      </c>
      <c r="R2652">
        <v>77</v>
      </c>
      <c r="T2652" t="str">
        <f t="shared" si="310"/>
        <v>o</v>
      </c>
      <c r="AM2652" t="str">
        <f t="shared" si="311"/>
        <v>Faceoff</v>
      </c>
      <c r="AN2652" t="str">
        <f t="shared" si="312"/>
        <v>Faceoff_AfterStoppage</v>
      </c>
      <c r="AP2652" t="str">
        <f t="shared" si="313"/>
        <v>Defensive</v>
      </c>
    </row>
    <row r="2653" spans="1:42" x14ac:dyDescent="0.2">
      <c r="A2653">
        <v>1373</v>
      </c>
      <c r="H2653">
        <f t="shared" si="308"/>
        <v>3</v>
      </c>
      <c r="I2653" s="5" t="s">
        <v>888</v>
      </c>
      <c r="J2653" s="5" t="s">
        <v>448</v>
      </c>
      <c r="Q2653" t="s">
        <v>620</v>
      </c>
      <c r="R2653">
        <v>22</v>
      </c>
      <c r="S2653">
        <v>1</v>
      </c>
      <c r="T2653" t="str">
        <f t="shared" si="310"/>
        <v>e</v>
      </c>
      <c r="U2653" t="s">
        <v>10</v>
      </c>
      <c r="V2653" t="s">
        <v>190</v>
      </c>
      <c r="W2653" t="s">
        <v>398</v>
      </c>
      <c r="X2653" t="s">
        <v>705</v>
      </c>
      <c r="Y2653" t="s">
        <v>746</v>
      </c>
      <c r="AA2653" t="s">
        <v>705</v>
      </c>
      <c r="AF2653" t="s">
        <v>623</v>
      </c>
      <c r="AM2653" t="str">
        <f t="shared" si="311"/>
        <v>Turnover</v>
      </c>
      <c r="AN2653" t="str">
        <f t="shared" si="312"/>
        <v>Turnover_Giveaway</v>
      </c>
      <c r="AP2653" t="str">
        <f t="shared" si="313"/>
        <v>Offensive</v>
      </c>
    </row>
    <row r="2654" spans="1:42" x14ac:dyDescent="0.2">
      <c r="A2654">
        <v>1374</v>
      </c>
      <c r="B2654">
        <v>210</v>
      </c>
      <c r="H2654">
        <f t="shared" si="308"/>
        <v>3</v>
      </c>
      <c r="I2654" s="5" t="s">
        <v>888</v>
      </c>
      <c r="J2654" s="5" t="s">
        <v>734</v>
      </c>
      <c r="Q2654" t="s">
        <v>619</v>
      </c>
      <c r="R2654">
        <v>4</v>
      </c>
      <c r="S2654">
        <v>1</v>
      </c>
      <c r="T2654" t="str">
        <f t="shared" si="310"/>
        <v>e</v>
      </c>
      <c r="U2654" t="s">
        <v>257</v>
      </c>
      <c r="V2654" t="s">
        <v>210</v>
      </c>
      <c r="W2654" t="s">
        <v>93</v>
      </c>
      <c r="X2654" t="s">
        <v>706</v>
      </c>
      <c r="AF2654" t="s">
        <v>401</v>
      </c>
      <c r="AM2654" t="str">
        <f t="shared" si="311"/>
        <v>Zone_Entry_Exit</v>
      </c>
      <c r="AN2654" t="str">
        <f t="shared" si="312"/>
        <v>Zone_Keepin</v>
      </c>
      <c r="AP2654" t="str">
        <f t="shared" si="313"/>
        <v>Offensive</v>
      </c>
    </row>
    <row r="2655" spans="1:42" x14ac:dyDescent="0.2">
      <c r="A2655">
        <v>1375</v>
      </c>
      <c r="B2655">
        <v>210</v>
      </c>
      <c r="H2655">
        <f t="shared" si="308"/>
        <v>3</v>
      </c>
      <c r="I2655" s="5" t="s">
        <v>888</v>
      </c>
      <c r="J2655" s="5" t="s">
        <v>734</v>
      </c>
      <c r="Q2655" t="s">
        <v>619</v>
      </c>
      <c r="R2655">
        <v>4</v>
      </c>
      <c r="S2655">
        <v>1</v>
      </c>
      <c r="T2655" t="str">
        <f t="shared" si="310"/>
        <v>e</v>
      </c>
      <c r="U2655" t="s">
        <v>15</v>
      </c>
      <c r="V2655" t="s">
        <v>697</v>
      </c>
      <c r="X2655" t="s">
        <v>706</v>
      </c>
      <c r="Y2655" t="s">
        <v>712</v>
      </c>
      <c r="AF2655" t="s">
        <v>401</v>
      </c>
      <c r="AM2655" t="str">
        <f t="shared" si="311"/>
        <v>Possession</v>
      </c>
      <c r="AN2655" t="str">
        <f t="shared" si="312"/>
        <v>PuckRetrieval</v>
      </c>
      <c r="AP2655" t="str">
        <f t="shared" si="313"/>
        <v>Offensive</v>
      </c>
    </row>
    <row r="2656" spans="1:42" x14ac:dyDescent="0.2">
      <c r="A2656">
        <v>1376</v>
      </c>
      <c r="H2656">
        <f t="shared" si="308"/>
        <v>3</v>
      </c>
      <c r="I2656" s="5" t="s">
        <v>888</v>
      </c>
      <c r="J2656" s="5" t="s">
        <v>734</v>
      </c>
      <c r="K2656" s="5" t="s">
        <v>888</v>
      </c>
      <c r="L2656" s="7" t="s">
        <v>447</v>
      </c>
      <c r="Q2656" t="s">
        <v>619</v>
      </c>
      <c r="R2656">
        <v>4</v>
      </c>
      <c r="S2656">
        <v>1</v>
      </c>
      <c r="T2656" t="str">
        <f t="shared" si="310"/>
        <v>e</v>
      </c>
      <c r="U2656" t="s">
        <v>15</v>
      </c>
      <c r="Y2656" t="s">
        <v>777</v>
      </c>
      <c r="AF2656" t="s">
        <v>401</v>
      </c>
      <c r="AJ2656">
        <v>1</v>
      </c>
      <c r="AM2656" t="str">
        <f t="shared" si="311"/>
        <v>Possession</v>
      </c>
      <c r="AN2656" t="str">
        <f t="shared" si="312"/>
        <v/>
      </c>
      <c r="AP2656" t="str">
        <f t="shared" si="313"/>
        <v>Offensive</v>
      </c>
    </row>
    <row r="2657" spans="1:42" x14ac:dyDescent="0.2">
      <c r="A2657">
        <v>1376</v>
      </c>
      <c r="H2657">
        <f t="shared" si="308"/>
        <v>3</v>
      </c>
      <c r="R2657">
        <v>61</v>
      </c>
      <c r="T2657" t="str">
        <f t="shared" si="310"/>
        <v>o</v>
      </c>
      <c r="Y2657" t="s">
        <v>715</v>
      </c>
      <c r="AJ2657">
        <v>1</v>
      </c>
      <c r="AM2657" t="str">
        <f t="shared" si="311"/>
        <v>Possession</v>
      </c>
      <c r="AN2657" t="str">
        <f t="shared" si="312"/>
        <v/>
      </c>
      <c r="AP2657" t="str">
        <f t="shared" si="313"/>
        <v>Defensive</v>
      </c>
    </row>
    <row r="2658" spans="1:42" x14ac:dyDescent="0.2">
      <c r="A2658">
        <v>1377</v>
      </c>
      <c r="H2658">
        <f t="shared" si="308"/>
        <v>3</v>
      </c>
      <c r="I2658" s="5" t="s">
        <v>888</v>
      </c>
      <c r="J2658" s="5" t="s">
        <v>801</v>
      </c>
      <c r="Q2658" t="s">
        <v>619</v>
      </c>
      <c r="R2658">
        <v>4</v>
      </c>
      <c r="S2658">
        <v>1</v>
      </c>
      <c r="T2658" t="str">
        <f t="shared" si="310"/>
        <v>e</v>
      </c>
      <c r="U2658" t="s">
        <v>8</v>
      </c>
      <c r="V2658" t="s">
        <v>189</v>
      </c>
      <c r="W2658" t="s">
        <v>70</v>
      </c>
      <c r="X2658" t="s">
        <v>706</v>
      </c>
      <c r="AF2658" t="s">
        <v>401</v>
      </c>
      <c r="AJ2658">
        <v>1</v>
      </c>
      <c r="AM2658" t="str">
        <f t="shared" si="311"/>
        <v>Pass</v>
      </c>
      <c r="AN2658" t="str">
        <f t="shared" si="312"/>
        <v>Pass_Completed</v>
      </c>
      <c r="AP2658" t="str">
        <f t="shared" si="313"/>
        <v>Offensive</v>
      </c>
    </row>
    <row r="2659" spans="1:42" x14ac:dyDescent="0.2">
      <c r="A2659">
        <v>1377</v>
      </c>
      <c r="H2659">
        <f t="shared" si="308"/>
        <v>3</v>
      </c>
      <c r="R2659">
        <v>13</v>
      </c>
      <c r="S2659">
        <v>1</v>
      </c>
      <c r="T2659" t="str">
        <f t="shared" si="310"/>
        <v>e</v>
      </c>
      <c r="AM2659" t="str">
        <f t="shared" si="311"/>
        <v>Pass</v>
      </c>
      <c r="AN2659" t="str">
        <f t="shared" si="312"/>
        <v>Pass_Completed</v>
      </c>
      <c r="AP2659" t="str">
        <f t="shared" si="313"/>
        <v>Offensive</v>
      </c>
    </row>
    <row r="2660" spans="1:42" x14ac:dyDescent="0.2">
      <c r="A2660">
        <v>1377</v>
      </c>
      <c r="H2660">
        <f t="shared" si="308"/>
        <v>3</v>
      </c>
      <c r="R2660">
        <v>61</v>
      </c>
      <c r="T2660" t="str">
        <f t="shared" si="310"/>
        <v>o</v>
      </c>
      <c r="AJ2660">
        <v>1</v>
      </c>
      <c r="AM2660" t="str">
        <f t="shared" si="311"/>
        <v>Pass</v>
      </c>
      <c r="AN2660" t="str">
        <f t="shared" si="312"/>
        <v>Pass_Completed</v>
      </c>
      <c r="AP2660" t="str">
        <f t="shared" si="313"/>
        <v>Defensive</v>
      </c>
    </row>
    <row r="2661" spans="1:42" x14ac:dyDescent="0.2">
      <c r="A2661">
        <v>1378</v>
      </c>
      <c r="H2661">
        <f t="shared" si="308"/>
        <v>3</v>
      </c>
      <c r="I2661" s="5" t="s">
        <v>888</v>
      </c>
      <c r="J2661" s="5" t="s">
        <v>738</v>
      </c>
      <c r="Q2661" t="s">
        <v>619</v>
      </c>
      <c r="R2661">
        <v>13</v>
      </c>
      <c r="S2661">
        <v>1</v>
      </c>
      <c r="T2661" t="str">
        <f t="shared" si="310"/>
        <v>e</v>
      </c>
      <c r="U2661" t="s">
        <v>8</v>
      </c>
      <c r="V2661" t="s">
        <v>189</v>
      </c>
      <c r="W2661" t="s">
        <v>70</v>
      </c>
      <c r="X2661" t="s">
        <v>706</v>
      </c>
      <c r="Y2661" t="s">
        <v>814</v>
      </c>
      <c r="AA2661" t="s">
        <v>706</v>
      </c>
      <c r="AF2661" t="s">
        <v>401</v>
      </c>
      <c r="AJ2661">
        <v>1</v>
      </c>
      <c r="AM2661" t="str">
        <f t="shared" si="311"/>
        <v>Pass</v>
      </c>
      <c r="AN2661" t="str">
        <f t="shared" si="312"/>
        <v>Pass_Completed</v>
      </c>
      <c r="AP2661" t="str">
        <f t="shared" si="313"/>
        <v>Offensive</v>
      </c>
    </row>
    <row r="2662" spans="1:42" x14ac:dyDescent="0.2">
      <c r="A2662">
        <v>1378</v>
      </c>
      <c r="H2662">
        <f t="shared" si="308"/>
        <v>3</v>
      </c>
      <c r="R2662">
        <v>77</v>
      </c>
      <c r="S2662">
        <v>1</v>
      </c>
      <c r="T2662" t="str">
        <f t="shared" si="310"/>
        <v>e</v>
      </c>
      <c r="Y2662" t="s">
        <v>771</v>
      </c>
      <c r="AA2662" t="s">
        <v>706</v>
      </c>
      <c r="AM2662" t="str">
        <f t="shared" si="311"/>
        <v>Pass</v>
      </c>
      <c r="AN2662" t="str">
        <f t="shared" si="312"/>
        <v>Pass_Completed</v>
      </c>
      <c r="AP2662" t="str">
        <f t="shared" si="313"/>
        <v>Offensive</v>
      </c>
    </row>
    <row r="2663" spans="1:42" x14ac:dyDescent="0.2">
      <c r="A2663">
        <v>1378</v>
      </c>
      <c r="H2663">
        <f t="shared" si="308"/>
        <v>3</v>
      </c>
      <c r="R2663">
        <v>84</v>
      </c>
      <c r="T2663" t="str">
        <f t="shared" si="310"/>
        <v>o</v>
      </c>
      <c r="Y2663" t="s">
        <v>722</v>
      </c>
      <c r="AJ2663">
        <v>1</v>
      </c>
      <c r="AM2663" t="str">
        <f t="shared" si="311"/>
        <v>Pass</v>
      </c>
      <c r="AN2663" t="str">
        <f t="shared" si="312"/>
        <v>Pass_Completed</v>
      </c>
      <c r="AP2663" t="str">
        <f t="shared" si="313"/>
        <v>Defensive</v>
      </c>
    </row>
    <row r="2664" spans="1:42" x14ac:dyDescent="0.2">
      <c r="A2664">
        <v>1379</v>
      </c>
      <c r="B2664">
        <v>211</v>
      </c>
      <c r="H2664">
        <f t="shared" si="308"/>
        <v>3</v>
      </c>
      <c r="I2664" s="5" t="s">
        <v>888</v>
      </c>
      <c r="J2664" s="5" t="s">
        <v>785</v>
      </c>
      <c r="Q2664" t="s">
        <v>619</v>
      </c>
      <c r="R2664">
        <v>77</v>
      </c>
      <c r="S2664">
        <v>1</v>
      </c>
      <c r="T2664" t="str">
        <f t="shared" si="310"/>
        <v>e</v>
      </c>
      <c r="U2664" t="s">
        <v>7</v>
      </c>
      <c r="V2664" t="s">
        <v>222</v>
      </c>
      <c r="W2664" t="s">
        <v>53</v>
      </c>
      <c r="X2664" t="s">
        <v>706</v>
      </c>
      <c r="Y2664" t="s">
        <v>771</v>
      </c>
      <c r="AF2664" t="s">
        <v>401</v>
      </c>
      <c r="AM2664" t="str">
        <f t="shared" si="311"/>
        <v>Shot</v>
      </c>
      <c r="AN2664" t="str">
        <f t="shared" si="312"/>
        <v>Shot_OnNetSaved</v>
      </c>
      <c r="AP2664" t="str">
        <f t="shared" si="313"/>
        <v>Offensive</v>
      </c>
    </row>
    <row r="2665" spans="1:42" x14ac:dyDescent="0.2">
      <c r="A2665">
        <v>1379</v>
      </c>
      <c r="B2665">
        <v>211</v>
      </c>
      <c r="H2665">
        <f t="shared" si="308"/>
        <v>3</v>
      </c>
      <c r="R2665">
        <v>39</v>
      </c>
      <c r="T2665" t="str">
        <f t="shared" si="310"/>
        <v>o</v>
      </c>
      <c r="AM2665" t="str">
        <f t="shared" si="311"/>
        <v>Shot</v>
      </c>
      <c r="AN2665" t="str">
        <f t="shared" si="312"/>
        <v>Shot_OnNetSaved</v>
      </c>
      <c r="AP2665" t="str">
        <f t="shared" si="313"/>
        <v>Defensive</v>
      </c>
    </row>
    <row r="2666" spans="1:42" x14ac:dyDescent="0.2">
      <c r="A2666">
        <v>1380</v>
      </c>
      <c r="B2666">
        <v>211</v>
      </c>
      <c r="H2666">
        <f t="shared" si="308"/>
        <v>3</v>
      </c>
      <c r="I2666" s="5" t="s">
        <v>888</v>
      </c>
      <c r="J2666" s="5" t="s">
        <v>785</v>
      </c>
      <c r="Q2666" t="s">
        <v>620</v>
      </c>
      <c r="R2666">
        <v>39</v>
      </c>
      <c r="S2666">
        <v>1</v>
      </c>
      <c r="T2666" t="str">
        <f t="shared" si="310"/>
        <v>e</v>
      </c>
      <c r="U2666" t="s">
        <v>17</v>
      </c>
      <c r="V2666" t="s">
        <v>196</v>
      </c>
      <c r="W2666" t="s">
        <v>102</v>
      </c>
      <c r="AF2666" t="s">
        <v>623</v>
      </c>
      <c r="AM2666" t="str">
        <f t="shared" si="311"/>
        <v>Save</v>
      </c>
      <c r="AN2666" t="str">
        <f t="shared" si="312"/>
        <v>Save_Rebound</v>
      </c>
      <c r="AP2666" t="str">
        <f t="shared" si="313"/>
        <v>Defensive</v>
      </c>
    </row>
    <row r="2667" spans="1:42" x14ac:dyDescent="0.2">
      <c r="A2667">
        <v>1380</v>
      </c>
      <c r="B2667">
        <v>211</v>
      </c>
      <c r="H2667">
        <f t="shared" si="308"/>
        <v>3</v>
      </c>
      <c r="R2667">
        <v>77</v>
      </c>
      <c r="T2667" t="str">
        <f t="shared" si="310"/>
        <v>o</v>
      </c>
      <c r="AM2667" t="str">
        <f t="shared" si="311"/>
        <v>Save</v>
      </c>
      <c r="AN2667" t="str">
        <f t="shared" si="312"/>
        <v>Save_Rebound</v>
      </c>
      <c r="AP2667" t="str">
        <f t="shared" si="313"/>
        <v>Offensive</v>
      </c>
    </row>
    <row r="2668" spans="1:42" x14ac:dyDescent="0.2">
      <c r="A2668">
        <v>1381</v>
      </c>
      <c r="B2668">
        <v>211</v>
      </c>
      <c r="H2668">
        <f t="shared" si="308"/>
        <v>3</v>
      </c>
      <c r="I2668" s="5" t="s">
        <v>888</v>
      </c>
      <c r="J2668" s="5" t="s">
        <v>785</v>
      </c>
      <c r="Q2668" t="s">
        <v>620</v>
      </c>
      <c r="R2668">
        <v>39</v>
      </c>
      <c r="S2668">
        <v>1</v>
      </c>
      <c r="T2668" t="str">
        <f t="shared" si="310"/>
        <v>e</v>
      </c>
      <c r="U2668" t="s">
        <v>250</v>
      </c>
      <c r="V2668" t="s">
        <v>252</v>
      </c>
      <c r="AF2668" t="s">
        <v>623</v>
      </c>
      <c r="AM2668" t="str">
        <f t="shared" si="311"/>
        <v>Rebound</v>
      </c>
      <c r="AN2668" t="str">
        <f t="shared" si="312"/>
        <v>Rebound_OppTeamRecovered</v>
      </c>
      <c r="AP2668" t="str">
        <f t="shared" si="313"/>
        <v>Offensive</v>
      </c>
    </row>
    <row r="2669" spans="1:42" x14ac:dyDescent="0.2">
      <c r="A2669">
        <v>1382</v>
      </c>
      <c r="H2669">
        <f t="shared" si="308"/>
        <v>3</v>
      </c>
      <c r="I2669" s="5" t="s">
        <v>888</v>
      </c>
      <c r="J2669" s="5" t="s">
        <v>741</v>
      </c>
      <c r="Q2669" t="s">
        <v>619</v>
      </c>
      <c r="R2669">
        <v>68</v>
      </c>
      <c r="S2669">
        <v>1</v>
      </c>
      <c r="T2669" t="str">
        <f t="shared" si="310"/>
        <v>e</v>
      </c>
      <c r="U2669" t="s">
        <v>15</v>
      </c>
      <c r="V2669" t="s">
        <v>698</v>
      </c>
      <c r="X2669" t="s">
        <v>706</v>
      </c>
      <c r="Y2669" t="s">
        <v>739</v>
      </c>
      <c r="AA2669" t="s">
        <v>706</v>
      </c>
      <c r="AF2669" t="s">
        <v>401</v>
      </c>
      <c r="AM2669" t="str">
        <f t="shared" si="311"/>
        <v>Possession</v>
      </c>
      <c r="AN2669" t="str">
        <f t="shared" si="312"/>
        <v>PuckRecovery</v>
      </c>
      <c r="AP2669" t="str">
        <f t="shared" si="313"/>
        <v>Offensive</v>
      </c>
    </row>
    <row r="2670" spans="1:42" x14ac:dyDescent="0.2">
      <c r="A2670">
        <v>1383</v>
      </c>
      <c r="H2670">
        <f t="shared" si="308"/>
        <v>3</v>
      </c>
      <c r="I2670" s="5" t="s">
        <v>888</v>
      </c>
      <c r="J2670" s="5" t="s">
        <v>786</v>
      </c>
      <c r="Q2670" t="s">
        <v>619</v>
      </c>
      <c r="R2670">
        <v>68</v>
      </c>
      <c r="S2670">
        <v>1</v>
      </c>
      <c r="T2670" t="str">
        <f t="shared" si="310"/>
        <v>e</v>
      </c>
      <c r="U2670" t="s">
        <v>8</v>
      </c>
      <c r="V2670" t="s">
        <v>189</v>
      </c>
      <c r="W2670" t="s">
        <v>68</v>
      </c>
      <c r="X2670" t="s">
        <v>706</v>
      </c>
      <c r="Y2670" t="s">
        <v>814</v>
      </c>
      <c r="AA2670" t="s">
        <v>706</v>
      </c>
      <c r="AF2670" t="s">
        <v>401</v>
      </c>
      <c r="AM2670" t="str">
        <f t="shared" si="311"/>
        <v>Pass</v>
      </c>
      <c r="AN2670" t="str">
        <f t="shared" si="312"/>
        <v>Pass_Completed</v>
      </c>
      <c r="AP2670" t="str">
        <f t="shared" si="313"/>
        <v>Offensive</v>
      </c>
    </row>
    <row r="2671" spans="1:42" x14ac:dyDescent="0.2">
      <c r="A2671">
        <v>1383</v>
      </c>
      <c r="H2671">
        <f t="shared" si="308"/>
        <v>3</v>
      </c>
      <c r="R2671">
        <v>77</v>
      </c>
      <c r="S2671">
        <v>1</v>
      </c>
      <c r="T2671" t="str">
        <f t="shared" si="310"/>
        <v>e</v>
      </c>
      <c r="AM2671" t="str">
        <f t="shared" si="311"/>
        <v>Pass</v>
      </c>
      <c r="AN2671" t="str">
        <f t="shared" si="312"/>
        <v>Pass_Completed</v>
      </c>
      <c r="AP2671" t="str">
        <f t="shared" si="313"/>
        <v>Offensive</v>
      </c>
    </row>
    <row r="2672" spans="1:42" x14ac:dyDescent="0.2">
      <c r="A2672">
        <v>1384</v>
      </c>
      <c r="B2672">
        <v>212</v>
      </c>
      <c r="H2672">
        <f t="shared" si="308"/>
        <v>3</v>
      </c>
      <c r="I2672" s="5" t="s">
        <v>888</v>
      </c>
      <c r="J2672" s="5" t="s">
        <v>446</v>
      </c>
      <c r="Q2672" t="s">
        <v>619</v>
      </c>
      <c r="R2672">
        <v>77</v>
      </c>
      <c r="S2672">
        <v>1</v>
      </c>
      <c r="T2672" t="str">
        <f t="shared" si="310"/>
        <v>e</v>
      </c>
      <c r="U2672" t="s">
        <v>8</v>
      </c>
      <c r="V2672" t="s">
        <v>199</v>
      </c>
      <c r="W2672" t="s">
        <v>480</v>
      </c>
      <c r="X2672" t="s">
        <v>705</v>
      </c>
      <c r="Y2672" t="s">
        <v>814</v>
      </c>
      <c r="AA2672" t="s">
        <v>705</v>
      </c>
      <c r="AF2672" t="s">
        <v>401</v>
      </c>
      <c r="AM2672" t="str">
        <f t="shared" si="311"/>
        <v>Pass</v>
      </c>
      <c r="AN2672" t="str">
        <f t="shared" si="312"/>
        <v>Pass_Missed</v>
      </c>
      <c r="AP2672" t="str">
        <f t="shared" si="313"/>
        <v>Offensive</v>
      </c>
    </row>
    <row r="2673" spans="1:42" x14ac:dyDescent="0.2">
      <c r="A2673">
        <v>1384</v>
      </c>
      <c r="B2673">
        <v>212</v>
      </c>
      <c r="H2673">
        <f t="shared" si="308"/>
        <v>3</v>
      </c>
      <c r="R2673">
        <v>13</v>
      </c>
      <c r="S2673">
        <v>1</v>
      </c>
      <c r="T2673" t="str">
        <f t="shared" si="310"/>
        <v>e</v>
      </c>
      <c r="Y2673" t="s">
        <v>754</v>
      </c>
      <c r="AM2673" t="str">
        <f t="shared" si="311"/>
        <v>Pass</v>
      </c>
      <c r="AN2673" t="str">
        <f t="shared" si="312"/>
        <v>Pass_Missed</v>
      </c>
      <c r="AP2673" t="str">
        <f t="shared" si="313"/>
        <v>Offensive</v>
      </c>
    </row>
    <row r="2674" spans="1:42" x14ac:dyDescent="0.2">
      <c r="A2674">
        <v>1385</v>
      </c>
      <c r="B2674">
        <v>212</v>
      </c>
      <c r="H2674">
        <f t="shared" si="308"/>
        <v>3</v>
      </c>
      <c r="I2674" s="5" t="s">
        <v>895</v>
      </c>
      <c r="J2674" s="5" t="s">
        <v>638</v>
      </c>
      <c r="Q2674" t="s">
        <v>619</v>
      </c>
      <c r="R2674">
        <v>25</v>
      </c>
      <c r="S2674">
        <v>1</v>
      </c>
      <c r="T2674" t="str">
        <f t="shared" si="310"/>
        <v>e</v>
      </c>
      <c r="U2674" t="s">
        <v>257</v>
      </c>
      <c r="V2674" t="s">
        <v>820</v>
      </c>
      <c r="Y2674" t="s">
        <v>737</v>
      </c>
      <c r="AA2674" t="s">
        <v>705</v>
      </c>
      <c r="AF2674" t="s">
        <v>401</v>
      </c>
      <c r="AM2674" t="str">
        <f t="shared" si="311"/>
        <v>Zone_Entry_Exit</v>
      </c>
      <c r="AN2674" t="str">
        <f t="shared" si="312"/>
        <v>Zone_KeepinFailed</v>
      </c>
      <c r="AP2674" t="str">
        <f t="shared" si="313"/>
        <v>Offensive</v>
      </c>
    </row>
    <row r="2675" spans="1:42" x14ac:dyDescent="0.2">
      <c r="A2675">
        <v>1386</v>
      </c>
      <c r="B2675">
        <v>212</v>
      </c>
      <c r="H2675">
        <f t="shared" si="308"/>
        <v>3</v>
      </c>
      <c r="I2675" s="5" t="s">
        <v>895</v>
      </c>
      <c r="J2675" s="5" t="s">
        <v>638</v>
      </c>
      <c r="Q2675" t="s">
        <v>620</v>
      </c>
      <c r="S2675">
        <v>1</v>
      </c>
      <c r="T2675" t="str">
        <f t="shared" si="310"/>
        <v>e</v>
      </c>
      <c r="U2675" t="s">
        <v>257</v>
      </c>
      <c r="V2675" t="s">
        <v>201</v>
      </c>
      <c r="W2675" t="s">
        <v>411</v>
      </c>
      <c r="AF2675" t="s">
        <v>623</v>
      </c>
      <c r="AM2675" t="str">
        <f t="shared" si="311"/>
        <v>Zone_Entry_Exit</v>
      </c>
      <c r="AN2675" t="str">
        <f t="shared" si="312"/>
        <v>Zone_Exit</v>
      </c>
      <c r="AP2675" t="str">
        <f t="shared" si="313"/>
        <v>Offensive</v>
      </c>
    </row>
    <row r="2676" spans="1:42" x14ac:dyDescent="0.2">
      <c r="A2676">
        <v>1387</v>
      </c>
      <c r="B2676">
        <v>212</v>
      </c>
      <c r="H2676">
        <f t="shared" si="308"/>
        <v>3</v>
      </c>
      <c r="I2676" s="5" t="s">
        <v>895</v>
      </c>
      <c r="J2676" s="5" t="s">
        <v>638</v>
      </c>
      <c r="Q2676" t="s">
        <v>620</v>
      </c>
      <c r="S2676">
        <v>1</v>
      </c>
      <c r="T2676" t="str">
        <f t="shared" si="310"/>
        <v>e</v>
      </c>
      <c r="U2676" t="s">
        <v>257</v>
      </c>
      <c r="V2676" t="s">
        <v>191</v>
      </c>
      <c r="W2676" t="s">
        <v>410</v>
      </c>
      <c r="AF2676" t="s">
        <v>623</v>
      </c>
      <c r="AM2676" t="str">
        <f t="shared" si="311"/>
        <v>Zone_Entry_Exit</v>
      </c>
      <c r="AN2676" t="str">
        <f t="shared" si="312"/>
        <v>Zone_Entry</v>
      </c>
      <c r="AP2676" t="str">
        <f t="shared" si="313"/>
        <v>Offensive</v>
      </c>
    </row>
    <row r="2677" spans="1:42" x14ac:dyDescent="0.2">
      <c r="A2677">
        <v>1388</v>
      </c>
      <c r="H2677">
        <f t="shared" si="308"/>
        <v>3</v>
      </c>
      <c r="I2677" s="5" t="s">
        <v>895</v>
      </c>
      <c r="J2677" s="5" t="s">
        <v>762</v>
      </c>
      <c r="Q2677" t="s">
        <v>620</v>
      </c>
      <c r="R2677">
        <v>70</v>
      </c>
      <c r="S2677">
        <v>1</v>
      </c>
      <c r="T2677" t="str">
        <f t="shared" si="310"/>
        <v>e</v>
      </c>
      <c r="U2677" t="s">
        <v>15</v>
      </c>
      <c r="V2677" t="s">
        <v>697</v>
      </c>
      <c r="X2677" t="s">
        <v>706</v>
      </c>
      <c r="Y2677" t="s">
        <v>712</v>
      </c>
      <c r="AA2677" t="s">
        <v>706</v>
      </c>
      <c r="AF2677" t="s">
        <v>401</v>
      </c>
      <c r="AJ2677">
        <v>1</v>
      </c>
      <c r="AM2677" t="str">
        <f t="shared" si="311"/>
        <v>Possession</v>
      </c>
      <c r="AN2677" t="str">
        <f t="shared" si="312"/>
        <v>PuckRetrieval</v>
      </c>
      <c r="AP2677" t="str">
        <f t="shared" si="313"/>
        <v>Offensive</v>
      </c>
    </row>
    <row r="2678" spans="1:42" x14ac:dyDescent="0.2">
      <c r="A2678">
        <v>1388</v>
      </c>
      <c r="H2678">
        <f t="shared" si="308"/>
        <v>3</v>
      </c>
      <c r="R2678">
        <v>25</v>
      </c>
      <c r="T2678" t="str">
        <f t="shared" si="310"/>
        <v>o</v>
      </c>
      <c r="AJ2678">
        <v>1</v>
      </c>
      <c r="AM2678" t="str">
        <f t="shared" si="311"/>
        <v>Possession</v>
      </c>
      <c r="AN2678" t="str">
        <f t="shared" si="312"/>
        <v>PuckRetrieval</v>
      </c>
      <c r="AP2678" t="str">
        <f t="shared" si="313"/>
        <v>Defensive</v>
      </c>
    </row>
    <row r="2679" spans="1:42" x14ac:dyDescent="0.2">
      <c r="A2679">
        <v>1389</v>
      </c>
      <c r="H2679">
        <f t="shared" si="308"/>
        <v>3</v>
      </c>
      <c r="I2679" s="5" t="s">
        <v>895</v>
      </c>
      <c r="J2679" s="5" t="s">
        <v>762</v>
      </c>
      <c r="K2679" s="5" t="s">
        <v>895</v>
      </c>
      <c r="L2679" s="7" t="s">
        <v>773</v>
      </c>
      <c r="Q2679" t="s">
        <v>620</v>
      </c>
      <c r="R2679">
        <v>70</v>
      </c>
      <c r="S2679">
        <v>1</v>
      </c>
      <c r="T2679" t="str">
        <f t="shared" si="310"/>
        <v>e</v>
      </c>
      <c r="U2679" t="s">
        <v>15</v>
      </c>
      <c r="V2679" t="s">
        <v>453</v>
      </c>
      <c r="Y2679" t="s">
        <v>826</v>
      </c>
      <c r="AF2679" t="s">
        <v>401</v>
      </c>
      <c r="AJ2679">
        <v>1</v>
      </c>
      <c r="AM2679" t="str">
        <f t="shared" si="311"/>
        <v>Possession</v>
      </c>
      <c r="AN2679" t="str">
        <f t="shared" si="312"/>
        <v>Breakaway</v>
      </c>
      <c r="AP2679" t="str">
        <f t="shared" si="313"/>
        <v>Offensive</v>
      </c>
    </row>
    <row r="2680" spans="1:42" x14ac:dyDescent="0.2">
      <c r="A2680">
        <v>1389</v>
      </c>
      <c r="H2680">
        <f t="shared" si="308"/>
        <v>3</v>
      </c>
      <c r="R2680">
        <v>25</v>
      </c>
      <c r="T2680" t="str">
        <f t="shared" si="310"/>
        <v>o</v>
      </c>
      <c r="AJ2680">
        <v>1</v>
      </c>
      <c r="AM2680" t="str">
        <f t="shared" si="311"/>
        <v>Possession</v>
      </c>
      <c r="AN2680" t="str">
        <f t="shared" si="312"/>
        <v>Breakaway</v>
      </c>
      <c r="AP2680" t="str">
        <f t="shared" si="313"/>
        <v>Defensive</v>
      </c>
    </row>
    <row r="2681" spans="1:42" x14ac:dyDescent="0.2">
      <c r="A2681">
        <v>1390</v>
      </c>
      <c r="B2681">
        <v>213</v>
      </c>
      <c r="H2681">
        <f t="shared" si="308"/>
        <v>3</v>
      </c>
      <c r="I2681" s="5" t="s">
        <v>895</v>
      </c>
      <c r="J2681" s="5" t="s">
        <v>773</v>
      </c>
      <c r="Q2681" t="s">
        <v>620</v>
      </c>
      <c r="R2681">
        <v>70</v>
      </c>
      <c r="S2681">
        <v>1</v>
      </c>
      <c r="T2681" t="str">
        <f t="shared" si="310"/>
        <v>e</v>
      </c>
      <c r="U2681" t="s">
        <v>7</v>
      </c>
      <c r="V2681" t="s">
        <v>198</v>
      </c>
      <c r="W2681" t="s">
        <v>55</v>
      </c>
      <c r="X2681" t="s">
        <v>705</v>
      </c>
      <c r="AF2681" t="s">
        <v>401</v>
      </c>
      <c r="AJ2681">
        <v>1</v>
      </c>
      <c r="AM2681" t="str">
        <f t="shared" si="311"/>
        <v>Shot</v>
      </c>
      <c r="AN2681" t="str">
        <f t="shared" si="312"/>
        <v>Shot_Missed</v>
      </c>
      <c r="AP2681" t="str">
        <f t="shared" si="313"/>
        <v>Offensive</v>
      </c>
    </row>
    <row r="2682" spans="1:42" x14ac:dyDescent="0.2">
      <c r="A2682">
        <v>1390</v>
      </c>
      <c r="B2682">
        <v>213</v>
      </c>
      <c r="H2682">
        <f t="shared" si="308"/>
        <v>3</v>
      </c>
      <c r="R2682">
        <v>25</v>
      </c>
      <c r="T2682" t="str">
        <f t="shared" si="310"/>
        <v>o</v>
      </c>
      <c r="Y2682" t="s">
        <v>715</v>
      </c>
      <c r="AJ2682">
        <v>1</v>
      </c>
      <c r="AM2682" t="str">
        <f t="shared" si="311"/>
        <v>Shot</v>
      </c>
      <c r="AN2682" t="str">
        <f t="shared" si="312"/>
        <v>Shot_Missed</v>
      </c>
      <c r="AP2682" t="str">
        <f t="shared" si="313"/>
        <v>Defensive</v>
      </c>
    </row>
    <row r="2683" spans="1:42" x14ac:dyDescent="0.2">
      <c r="A2683">
        <v>1391</v>
      </c>
      <c r="B2683">
        <v>213</v>
      </c>
      <c r="H2683">
        <f t="shared" si="308"/>
        <v>3</v>
      </c>
      <c r="I2683" s="5" t="s">
        <v>895</v>
      </c>
      <c r="J2683" s="5" t="s">
        <v>773</v>
      </c>
      <c r="Q2683" t="s">
        <v>620</v>
      </c>
      <c r="R2683">
        <v>70</v>
      </c>
      <c r="S2683">
        <v>1</v>
      </c>
      <c r="T2683" t="str">
        <f t="shared" si="310"/>
        <v>e</v>
      </c>
      <c r="U2683" t="s">
        <v>10</v>
      </c>
      <c r="V2683" t="s">
        <v>190</v>
      </c>
      <c r="W2683" t="s">
        <v>79</v>
      </c>
      <c r="AF2683" t="s">
        <v>401</v>
      </c>
      <c r="AJ2683">
        <v>1</v>
      </c>
      <c r="AM2683" t="str">
        <f t="shared" si="311"/>
        <v>Turnover</v>
      </c>
      <c r="AN2683" t="str">
        <f t="shared" si="312"/>
        <v>Turnover_Giveaway</v>
      </c>
      <c r="AP2683" t="str">
        <f t="shared" si="313"/>
        <v>Offensive</v>
      </c>
    </row>
    <row r="2684" spans="1:42" x14ac:dyDescent="0.2">
      <c r="A2684">
        <v>1391</v>
      </c>
      <c r="B2684">
        <v>213</v>
      </c>
      <c r="H2684">
        <f t="shared" si="308"/>
        <v>3</v>
      </c>
      <c r="R2684">
        <v>25</v>
      </c>
      <c r="T2684" t="str">
        <f t="shared" si="310"/>
        <v>o</v>
      </c>
      <c r="Y2684" t="s">
        <v>715</v>
      </c>
      <c r="AJ2684">
        <v>1</v>
      </c>
      <c r="AM2684" t="str">
        <f t="shared" si="311"/>
        <v>Turnover</v>
      </c>
      <c r="AN2684" t="str">
        <f t="shared" si="312"/>
        <v>Turnover_Giveaway</v>
      </c>
      <c r="AP2684" t="str">
        <f t="shared" si="313"/>
        <v>Defensive</v>
      </c>
    </row>
    <row r="2685" spans="1:42" x14ac:dyDescent="0.2">
      <c r="A2685">
        <v>1392</v>
      </c>
      <c r="H2685">
        <f t="shared" si="308"/>
        <v>3</v>
      </c>
      <c r="I2685" s="5" t="s">
        <v>895</v>
      </c>
      <c r="J2685" s="5" t="s">
        <v>753</v>
      </c>
      <c r="K2685" s="5" t="s">
        <v>895</v>
      </c>
      <c r="L2685" s="7" t="s">
        <v>789</v>
      </c>
      <c r="Q2685" t="s">
        <v>619</v>
      </c>
      <c r="R2685">
        <v>4</v>
      </c>
      <c r="S2685">
        <v>1</v>
      </c>
      <c r="T2685" t="str">
        <f t="shared" si="310"/>
        <v>e</v>
      </c>
      <c r="U2685" t="s">
        <v>15</v>
      </c>
      <c r="V2685" t="s">
        <v>697</v>
      </c>
      <c r="X2685" t="s">
        <v>706</v>
      </c>
      <c r="Y2685" t="s">
        <v>857</v>
      </c>
      <c r="AA2685" t="s">
        <v>706</v>
      </c>
      <c r="AF2685" t="s">
        <v>623</v>
      </c>
      <c r="AM2685" t="str">
        <f t="shared" si="311"/>
        <v>Possession</v>
      </c>
      <c r="AN2685" t="str">
        <f t="shared" si="312"/>
        <v>PuckRetrieval</v>
      </c>
      <c r="AP2685" t="str">
        <f t="shared" si="313"/>
        <v>Offensive</v>
      </c>
    </row>
    <row r="2686" spans="1:42" x14ac:dyDescent="0.2">
      <c r="A2686">
        <v>1393</v>
      </c>
      <c r="B2686">
        <v>214</v>
      </c>
      <c r="H2686">
        <f t="shared" si="308"/>
        <v>3</v>
      </c>
      <c r="I2686" s="5" t="s">
        <v>895</v>
      </c>
      <c r="J2686" s="5" t="s">
        <v>789</v>
      </c>
      <c r="Q2686" t="s">
        <v>619</v>
      </c>
      <c r="R2686">
        <v>4</v>
      </c>
      <c r="S2686">
        <v>1</v>
      </c>
      <c r="T2686" t="str">
        <f t="shared" si="310"/>
        <v>e</v>
      </c>
      <c r="U2686" t="s">
        <v>8</v>
      </c>
      <c r="V2686" t="s">
        <v>189</v>
      </c>
      <c r="W2686" t="s">
        <v>67</v>
      </c>
      <c r="X2686" t="s">
        <v>706</v>
      </c>
      <c r="Y2686" t="s">
        <v>678</v>
      </c>
      <c r="AA2686" t="s">
        <v>706</v>
      </c>
      <c r="AF2686" t="s">
        <v>623</v>
      </c>
      <c r="AM2686" t="str">
        <f t="shared" si="311"/>
        <v>Pass</v>
      </c>
      <c r="AN2686" t="str">
        <f t="shared" si="312"/>
        <v>Pass_Completed</v>
      </c>
      <c r="AP2686" t="str">
        <f t="shared" si="313"/>
        <v>Offensive</v>
      </c>
    </row>
    <row r="2687" spans="1:42" x14ac:dyDescent="0.2">
      <c r="A2687">
        <v>1393</v>
      </c>
      <c r="B2687">
        <v>214</v>
      </c>
      <c r="H2687">
        <f t="shared" si="308"/>
        <v>3</v>
      </c>
      <c r="R2687">
        <v>77</v>
      </c>
      <c r="S2687">
        <v>1</v>
      </c>
      <c r="T2687" t="str">
        <f t="shared" si="310"/>
        <v>e</v>
      </c>
      <c r="AM2687" t="str">
        <f t="shared" si="311"/>
        <v>Pass</v>
      </c>
      <c r="AN2687" t="str">
        <f t="shared" si="312"/>
        <v>Pass_Completed</v>
      </c>
      <c r="AP2687" t="str">
        <f t="shared" si="313"/>
        <v>Offensive</v>
      </c>
    </row>
    <row r="2688" spans="1:42" x14ac:dyDescent="0.2">
      <c r="A2688">
        <v>1394</v>
      </c>
      <c r="B2688">
        <v>214</v>
      </c>
      <c r="H2688">
        <f t="shared" si="308"/>
        <v>3</v>
      </c>
      <c r="I2688" s="5" t="s">
        <v>895</v>
      </c>
      <c r="J2688" s="5" t="s">
        <v>789</v>
      </c>
      <c r="Q2688" t="s">
        <v>619</v>
      </c>
      <c r="R2688">
        <v>4</v>
      </c>
      <c r="S2688">
        <v>1</v>
      </c>
      <c r="T2688" t="str">
        <f t="shared" si="310"/>
        <v>e</v>
      </c>
      <c r="U2688" t="s">
        <v>257</v>
      </c>
      <c r="V2688" t="s">
        <v>201</v>
      </c>
      <c r="W2688" t="s">
        <v>91</v>
      </c>
      <c r="X2688" t="s">
        <v>706</v>
      </c>
      <c r="Y2688" t="s">
        <v>678</v>
      </c>
      <c r="AA2688" t="s">
        <v>706</v>
      </c>
      <c r="AF2688" t="s">
        <v>623</v>
      </c>
      <c r="AM2688" t="str">
        <f t="shared" si="311"/>
        <v>Zone_Entry_Exit</v>
      </c>
      <c r="AN2688" t="str">
        <f t="shared" si="312"/>
        <v>Zone_Exit</v>
      </c>
      <c r="AP2688" t="str">
        <f t="shared" si="313"/>
        <v>Offensive</v>
      </c>
    </row>
    <row r="2689" spans="1:42" x14ac:dyDescent="0.2">
      <c r="A2689">
        <v>1394</v>
      </c>
      <c r="B2689">
        <v>214</v>
      </c>
      <c r="H2689">
        <f t="shared" si="308"/>
        <v>3</v>
      </c>
      <c r="R2689">
        <v>77</v>
      </c>
      <c r="S2689">
        <v>1</v>
      </c>
      <c r="T2689" t="str">
        <f t="shared" si="310"/>
        <v>e</v>
      </c>
      <c r="AM2689" t="str">
        <f t="shared" si="311"/>
        <v>Zone_Entry_Exit</v>
      </c>
      <c r="AN2689" t="str">
        <f t="shared" si="312"/>
        <v>Zone_Exit</v>
      </c>
      <c r="AP2689" t="str">
        <f t="shared" si="313"/>
        <v>Offensive</v>
      </c>
    </row>
    <row r="2690" spans="1:42" x14ac:dyDescent="0.2">
      <c r="A2690">
        <v>1395</v>
      </c>
      <c r="H2690">
        <f t="shared" si="308"/>
        <v>3</v>
      </c>
      <c r="I2690" s="5" t="s">
        <v>895</v>
      </c>
      <c r="J2690" s="5" t="s">
        <v>672</v>
      </c>
      <c r="K2690" s="5" t="s">
        <v>895</v>
      </c>
      <c r="L2690" s="7" t="s">
        <v>810</v>
      </c>
      <c r="Q2690" t="s">
        <v>619</v>
      </c>
      <c r="R2690">
        <v>77</v>
      </c>
      <c r="S2690">
        <v>1</v>
      </c>
      <c r="T2690" t="str">
        <f t="shared" si="310"/>
        <v>e</v>
      </c>
      <c r="U2690" t="s">
        <v>257</v>
      </c>
      <c r="V2690" t="s">
        <v>191</v>
      </c>
      <c r="W2690" t="s">
        <v>87</v>
      </c>
      <c r="X2690" t="s">
        <v>705</v>
      </c>
      <c r="AF2690" t="s">
        <v>401</v>
      </c>
      <c r="AJ2690">
        <v>1</v>
      </c>
      <c r="AM2690" t="str">
        <f t="shared" si="311"/>
        <v>Zone_Entry_Exit</v>
      </c>
      <c r="AN2690" t="str">
        <f t="shared" si="312"/>
        <v>Zone_Entry</v>
      </c>
      <c r="AP2690" t="str">
        <f t="shared" si="313"/>
        <v>Offensive</v>
      </c>
    </row>
    <row r="2691" spans="1:42" x14ac:dyDescent="0.2">
      <c r="A2691">
        <v>1395</v>
      </c>
      <c r="H2691">
        <f t="shared" si="308"/>
        <v>3</v>
      </c>
      <c r="R2691">
        <v>84</v>
      </c>
      <c r="T2691" t="str">
        <f t="shared" si="310"/>
        <v>o</v>
      </c>
      <c r="Y2691" t="s">
        <v>774</v>
      </c>
      <c r="AA2691" t="s">
        <v>706</v>
      </c>
      <c r="AJ2691">
        <v>1</v>
      </c>
      <c r="AM2691" t="str">
        <f t="shared" si="311"/>
        <v>Zone_Entry_Exit</v>
      </c>
      <c r="AN2691" t="str">
        <f t="shared" si="312"/>
        <v>Zone_Entry</v>
      </c>
      <c r="AP2691" t="str">
        <f t="shared" si="313"/>
        <v>Defensive</v>
      </c>
    </row>
    <row r="2692" spans="1:42" x14ac:dyDescent="0.2">
      <c r="A2692">
        <v>1395</v>
      </c>
      <c r="H2692">
        <f t="shared" si="308"/>
        <v>3</v>
      </c>
      <c r="R2692">
        <v>91</v>
      </c>
      <c r="T2692" t="str">
        <f t="shared" si="310"/>
        <v>o</v>
      </c>
      <c r="AM2692" t="str">
        <f t="shared" si="311"/>
        <v>Zone_Entry_Exit</v>
      </c>
      <c r="AN2692" t="str">
        <f t="shared" si="312"/>
        <v>Zone_Entry</v>
      </c>
      <c r="AP2692" t="str">
        <f t="shared" si="313"/>
        <v>Defensive</v>
      </c>
    </row>
    <row r="2693" spans="1:42" x14ac:dyDescent="0.2">
      <c r="A2693">
        <v>1396</v>
      </c>
      <c r="H2693">
        <f t="shared" ref="H2693:H2756" si="314">IF(U2693="Intermission",H2692+1,H2692)</f>
        <v>3</v>
      </c>
      <c r="I2693" s="5" t="s">
        <v>895</v>
      </c>
      <c r="J2693" s="5" t="s">
        <v>755</v>
      </c>
      <c r="Q2693" t="s">
        <v>620</v>
      </c>
      <c r="R2693">
        <v>84</v>
      </c>
      <c r="S2693">
        <v>1</v>
      </c>
      <c r="T2693" t="str">
        <f t="shared" si="310"/>
        <v>e</v>
      </c>
      <c r="U2693" t="s">
        <v>10</v>
      </c>
      <c r="V2693" t="s">
        <v>200</v>
      </c>
      <c r="W2693" t="s">
        <v>82</v>
      </c>
      <c r="X2693" t="s">
        <v>706</v>
      </c>
      <c r="Y2693" t="s">
        <v>774</v>
      </c>
      <c r="AA2693" t="s">
        <v>706</v>
      </c>
      <c r="AF2693" t="s">
        <v>623</v>
      </c>
      <c r="AJ2693">
        <v>1</v>
      </c>
      <c r="AM2693" t="str">
        <f t="shared" si="311"/>
        <v>Turnover</v>
      </c>
      <c r="AN2693" t="str">
        <f t="shared" si="312"/>
        <v>Turnover_Takeaway</v>
      </c>
      <c r="AP2693" t="str">
        <f t="shared" si="313"/>
        <v>Defensive</v>
      </c>
    </row>
    <row r="2694" spans="1:42" x14ac:dyDescent="0.2">
      <c r="A2694">
        <v>1396</v>
      </c>
      <c r="H2694">
        <f t="shared" si="314"/>
        <v>3</v>
      </c>
      <c r="R2694">
        <v>77</v>
      </c>
      <c r="T2694" t="str">
        <f t="shared" si="310"/>
        <v>o</v>
      </c>
      <c r="AJ2694">
        <v>1</v>
      </c>
      <c r="AM2694" t="str">
        <f t="shared" si="311"/>
        <v>Turnover</v>
      </c>
      <c r="AN2694" t="str">
        <f t="shared" si="312"/>
        <v>Turnover_Takeaway</v>
      </c>
      <c r="AP2694" t="str">
        <f t="shared" si="313"/>
        <v>Offensive</v>
      </c>
    </row>
    <row r="2695" spans="1:42" x14ac:dyDescent="0.2">
      <c r="A2695">
        <v>1397</v>
      </c>
      <c r="B2695">
        <v>215</v>
      </c>
      <c r="H2695">
        <f t="shared" si="314"/>
        <v>3</v>
      </c>
      <c r="I2695" s="5" t="s">
        <v>895</v>
      </c>
      <c r="J2695" s="5" t="s">
        <v>713</v>
      </c>
      <c r="Q2695" t="s">
        <v>620</v>
      </c>
      <c r="R2695">
        <v>84</v>
      </c>
      <c r="S2695">
        <v>1</v>
      </c>
      <c r="T2695" t="str">
        <f t="shared" si="310"/>
        <v>e</v>
      </c>
      <c r="U2695" t="s">
        <v>257</v>
      </c>
      <c r="V2695" t="s">
        <v>201</v>
      </c>
      <c r="W2695" t="s">
        <v>618</v>
      </c>
      <c r="X2695" t="s">
        <v>706</v>
      </c>
      <c r="AF2695" t="s">
        <v>623</v>
      </c>
      <c r="AM2695" t="str">
        <f t="shared" si="311"/>
        <v>Zone_Entry_Exit</v>
      </c>
      <c r="AN2695" t="str">
        <f t="shared" si="312"/>
        <v>Zone_Exit</v>
      </c>
      <c r="AP2695" t="str">
        <f t="shared" si="313"/>
        <v>Offensive</v>
      </c>
    </row>
    <row r="2696" spans="1:42" x14ac:dyDescent="0.2">
      <c r="A2696">
        <v>1398</v>
      </c>
      <c r="B2696">
        <v>215</v>
      </c>
      <c r="H2696">
        <f t="shared" si="314"/>
        <v>3</v>
      </c>
      <c r="I2696" s="5" t="s">
        <v>895</v>
      </c>
      <c r="J2696" s="5" t="s">
        <v>713</v>
      </c>
      <c r="Q2696" t="s">
        <v>620</v>
      </c>
      <c r="R2696">
        <v>84</v>
      </c>
      <c r="S2696">
        <v>1</v>
      </c>
      <c r="T2696" t="str">
        <f t="shared" si="310"/>
        <v>e</v>
      </c>
      <c r="U2696" t="s">
        <v>257</v>
      </c>
      <c r="V2696" t="s">
        <v>191</v>
      </c>
      <c r="W2696" t="s">
        <v>617</v>
      </c>
      <c r="X2696" t="s">
        <v>706</v>
      </c>
      <c r="AF2696" t="s">
        <v>623</v>
      </c>
      <c r="AM2696" t="str">
        <f t="shared" si="311"/>
        <v>Zone_Entry_Exit</v>
      </c>
      <c r="AN2696" t="str">
        <f t="shared" si="312"/>
        <v>Zone_Entry</v>
      </c>
      <c r="AP2696" t="str">
        <f t="shared" si="313"/>
        <v>Offensive</v>
      </c>
    </row>
    <row r="2697" spans="1:42" x14ac:dyDescent="0.2">
      <c r="A2697">
        <v>1399</v>
      </c>
      <c r="H2697">
        <f t="shared" si="314"/>
        <v>3</v>
      </c>
      <c r="I2697" s="5" t="s">
        <v>895</v>
      </c>
      <c r="J2697" s="5" t="s">
        <v>719</v>
      </c>
      <c r="K2697" s="5" t="s">
        <v>895</v>
      </c>
      <c r="L2697" s="7" t="s">
        <v>791</v>
      </c>
      <c r="Q2697" t="s">
        <v>619</v>
      </c>
      <c r="R2697">
        <v>25</v>
      </c>
      <c r="S2697">
        <v>1</v>
      </c>
      <c r="T2697" t="str">
        <f t="shared" si="310"/>
        <v>e</v>
      </c>
      <c r="U2697" t="s">
        <v>15</v>
      </c>
      <c r="V2697" t="s">
        <v>697</v>
      </c>
      <c r="X2697" t="s">
        <v>706</v>
      </c>
      <c r="Y2697" t="s">
        <v>720</v>
      </c>
      <c r="AA2697" t="s">
        <v>706</v>
      </c>
      <c r="AF2697" t="s">
        <v>623</v>
      </c>
      <c r="AM2697" t="str">
        <f t="shared" si="311"/>
        <v>Possession</v>
      </c>
      <c r="AN2697" t="str">
        <f t="shared" si="312"/>
        <v>PuckRetrieval</v>
      </c>
      <c r="AP2697" t="str">
        <f t="shared" si="313"/>
        <v>Offensive</v>
      </c>
    </row>
    <row r="2698" spans="1:42" x14ac:dyDescent="0.2">
      <c r="A2698">
        <v>1400</v>
      </c>
      <c r="B2698">
        <v>216</v>
      </c>
      <c r="H2698">
        <f t="shared" si="314"/>
        <v>3</v>
      </c>
      <c r="I2698" s="5" t="s">
        <v>895</v>
      </c>
      <c r="J2698" s="5" t="s">
        <v>721</v>
      </c>
      <c r="Q2698" t="s">
        <v>619</v>
      </c>
      <c r="R2698">
        <v>25</v>
      </c>
      <c r="S2698">
        <v>1</v>
      </c>
      <c r="T2698" t="str">
        <f t="shared" si="310"/>
        <v>e</v>
      </c>
      <c r="U2698" t="s">
        <v>8</v>
      </c>
      <c r="V2698" t="s">
        <v>189</v>
      </c>
      <c r="W2698" t="s">
        <v>67</v>
      </c>
      <c r="X2698" t="s">
        <v>706</v>
      </c>
      <c r="Y2698" t="s">
        <v>678</v>
      </c>
      <c r="AA2698" t="s">
        <v>706</v>
      </c>
      <c r="AF2698" t="s">
        <v>623</v>
      </c>
      <c r="AM2698" t="str">
        <f t="shared" si="311"/>
        <v>Pass</v>
      </c>
      <c r="AN2698" t="str">
        <f t="shared" si="312"/>
        <v>Pass_Completed</v>
      </c>
      <c r="AP2698" t="str">
        <f t="shared" si="313"/>
        <v>Offensive</v>
      </c>
    </row>
    <row r="2699" spans="1:42" x14ac:dyDescent="0.2">
      <c r="A2699">
        <v>1400</v>
      </c>
      <c r="B2699">
        <v>216</v>
      </c>
      <c r="H2699">
        <f t="shared" si="314"/>
        <v>3</v>
      </c>
      <c r="R2699">
        <v>13</v>
      </c>
      <c r="S2699">
        <v>1</v>
      </c>
      <c r="T2699" t="str">
        <f t="shared" si="310"/>
        <v>e</v>
      </c>
      <c r="AM2699" t="str">
        <f t="shared" si="311"/>
        <v>Pass</v>
      </c>
      <c r="AN2699" t="str">
        <f t="shared" si="312"/>
        <v>Pass_Completed</v>
      </c>
      <c r="AP2699" t="str">
        <f t="shared" si="313"/>
        <v>Offensive</v>
      </c>
    </row>
    <row r="2700" spans="1:42" x14ac:dyDescent="0.2">
      <c r="A2700">
        <v>1401</v>
      </c>
      <c r="B2700">
        <v>216</v>
      </c>
      <c r="H2700">
        <f t="shared" si="314"/>
        <v>3</v>
      </c>
      <c r="I2700" s="5" t="s">
        <v>895</v>
      </c>
      <c r="J2700" s="5" t="s">
        <v>721</v>
      </c>
      <c r="Q2700" t="s">
        <v>619</v>
      </c>
      <c r="R2700">
        <v>25</v>
      </c>
      <c r="S2700">
        <v>1</v>
      </c>
      <c r="T2700" t="str">
        <f t="shared" ref="T2700:T2763" si="315">IF(S2700="x","",IF(S2700=1,"e","o"))</f>
        <v>e</v>
      </c>
      <c r="U2700" t="s">
        <v>257</v>
      </c>
      <c r="V2700" t="s">
        <v>201</v>
      </c>
      <c r="W2700" t="s">
        <v>91</v>
      </c>
      <c r="X2700" t="s">
        <v>706</v>
      </c>
      <c r="Y2700" t="s">
        <v>678</v>
      </c>
      <c r="AA2700" t="s">
        <v>706</v>
      </c>
      <c r="AF2700" t="s">
        <v>623</v>
      </c>
      <c r="AM2700" t="str">
        <f t="shared" si="311"/>
        <v>Zone_Entry_Exit</v>
      </c>
      <c r="AN2700" t="str">
        <f t="shared" si="312"/>
        <v>Zone_Exit</v>
      </c>
      <c r="AP2700" t="str">
        <f t="shared" si="313"/>
        <v>Offensive</v>
      </c>
    </row>
    <row r="2701" spans="1:42" x14ac:dyDescent="0.2">
      <c r="A2701">
        <v>1401</v>
      </c>
      <c r="B2701">
        <v>216</v>
      </c>
      <c r="H2701">
        <f t="shared" si="314"/>
        <v>3</v>
      </c>
      <c r="R2701">
        <v>13</v>
      </c>
      <c r="S2701">
        <v>1</v>
      </c>
      <c r="T2701" t="str">
        <f t="shared" si="315"/>
        <v>e</v>
      </c>
      <c r="AM2701" t="str">
        <f t="shared" si="311"/>
        <v>Zone_Entry_Exit</v>
      </c>
      <c r="AN2701" t="str">
        <f t="shared" si="312"/>
        <v>Zone_Exit</v>
      </c>
      <c r="AP2701" t="str">
        <f t="shared" si="313"/>
        <v>Offensive</v>
      </c>
    </row>
    <row r="2702" spans="1:42" x14ac:dyDescent="0.2">
      <c r="A2702">
        <v>1402</v>
      </c>
      <c r="H2702">
        <f t="shared" si="314"/>
        <v>3</v>
      </c>
      <c r="I2702" s="5" t="s">
        <v>895</v>
      </c>
      <c r="J2702" s="5" t="s">
        <v>724</v>
      </c>
      <c r="Q2702" t="s">
        <v>619</v>
      </c>
      <c r="R2702">
        <v>13</v>
      </c>
      <c r="S2702">
        <v>1</v>
      </c>
      <c r="T2702" t="str">
        <f t="shared" si="315"/>
        <v>e</v>
      </c>
      <c r="U2702" t="s">
        <v>8</v>
      </c>
      <c r="V2702" t="s">
        <v>189</v>
      </c>
      <c r="W2702" t="s">
        <v>67</v>
      </c>
      <c r="X2702" t="s">
        <v>706</v>
      </c>
      <c r="Y2702" t="s">
        <v>840</v>
      </c>
      <c r="Z2702" t="s">
        <v>814</v>
      </c>
      <c r="AA2702" t="s">
        <v>706</v>
      </c>
      <c r="AF2702" t="s">
        <v>635</v>
      </c>
      <c r="AM2702" t="str">
        <f t="shared" si="311"/>
        <v>Pass</v>
      </c>
      <c r="AN2702" t="str">
        <f t="shared" si="312"/>
        <v>Pass_Completed</v>
      </c>
      <c r="AP2702" t="str">
        <f t="shared" si="313"/>
        <v>Offensive</v>
      </c>
    </row>
    <row r="2703" spans="1:42" x14ac:dyDescent="0.2">
      <c r="A2703">
        <v>1402</v>
      </c>
      <c r="H2703">
        <f t="shared" si="314"/>
        <v>3</v>
      </c>
      <c r="R2703">
        <v>77</v>
      </c>
      <c r="S2703">
        <v>1</v>
      </c>
      <c r="T2703" t="str">
        <f t="shared" si="315"/>
        <v>e</v>
      </c>
      <c r="AM2703" t="str">
        <f t="shared" ref="AM2703:AM2766" si="316">IF(U2703&lt;&gt;"",U2703,IF($A2703=$A2702,AM2702,""))</f>
        <v>Pass</v>
      </c>
      <c r="AN2703" t="str">
        <f t="shared" ref="AN2703:AN2766" si="317">IF(V2703&lt;&gt;"",V2703,IF($A2703=$A2702,AN2702,""))</f>
        <v>Pass_Completed</v>
      </c>
      <c r="AP2703" t="str">
        <f t="shared" ref="AP2703:AP2766" si="318">IF(AND(T2703="e",OR(AM2703="Save",AN2703="Turnover_Takeaway",AN2703="Play_Defensive")),"Defensive",IF(AND(T2703="o",OR(AM2703="Save",AN2703="Turnover_Takeaway",AN2703="Play_Defensive")),"Offensive",IF(OR(AM2703="Deadice",AM2703="Stoppage",AM2703="Intermission"),"",IF(T2703="e","Offensive",IF(T2703="o","Defensive","")))))</f>
        <v>Offensive</v>
      </c>
    </row>
    <row r="2704" spans="1:42" x14ac:dyDescent="0.2">
      <c r="A2704">
        <v>1403</v>
      </c>
      <c r="H2704">
        <f t="shared" si="314"/>
        <v>3</v>
      </c>
      <c r="I2704" s="5" t="s">
        <v>895</v>
      </c>
      <c r="J2704" s="5" t="s">
        <v>812</v>
      </c>
      <c r="K2704" s="5" t="s">
        <v>895</v>
      </c>
      <c r="L2704" s="7" t="s">
        <v>780</v>
      </c>
      <c r="Q2704" t="s">
        <v>619</v>
      </c>
      <c r="R2704">
        <v>77</v>
      </c>
      <c r="S2704">
        <v>1</v>
      </c>
      <c r="T2704" t="str">
        <f t="shared" si="315"/>
        <v>e</v>
      </c>
      <c r="U2704" t="s">
        <v>15</v>
      </c>
      <c r="AF2704" t="s">
        <v>635</v>
      </c>
      <c r="AM2704" t="str">
        <f t="shared" si="316"/>
        <v>Possession</v>
      </c>
      <c r="AN2704" t="str">
        <f t="shared" si="317"/>
        <v/>
      </c>
      <c r="AP2704" t="str">
        <f t="shared" si="318"/>
        <v>Offensive</v>
      </c>
    </row>
    <row r="2705" spans="1:42" x14ac:dyDescent="0.2">
      <c r="A2705">
        <v>1404</v>
      </c>
      <c r="H2705">
        <f t="shared" si="314"/>
        <v>3</v>
      </c>
      <c r="I2705" s="5" t="s">
        <v>895</v>
      </c>
      <c r="J2705" s="5" t="s">
        <v>780</v>
      </c>
      <c r="K2705" s="5" t="s">
        <v>895</v>
      </c>
      <c r="L2705" s="7" t="s">
        <v>759</v>
      </c>
      <c r="Q2705" t="s">
        <v>619</v>
      </c>
      <c r="R2705">
        <v>77</v>
      </c>
      <c r="S2705">
        <v>1</v>
      </c>
      <c r="T2705" t="str">
        <f t="shared" si="315"/>
        <v>e</v>
      </c>
      <c r="U2705" t="s">
        <v>257</v>
      </c>
      <c r="V2705" t="s">
        <v>191</v>
      </c>
      <c r="W2705" t="s">
        <v>87</v>
      </c>
      <c r="X2705" t="s">
        <v>706</v>
      </c>
      <c r="Y2705" t="s">
        <v>677</v>
      </c>
      <c r="AF2705" t="s">
        <v>401</v>
      </c>
      <c r="AJ2705">
        <v>1</v>
      </c>
      <c r="AM2705" t="str">
        <f t="shared" si="316"/>
        <v>Zone_Entry_Exit</v>
      </c>
      <c r="AN2705" t="str">
        <f t="shared" si="317"/>
        <v>Zone_Entry</v>
      </c>
      <c r="AP2705" t="str">
        <f t="shared" si="318"/>
        <v>Offensive</v>
      </c>
    </row>
    <row r="2706" spans="1:42" x14ac:dyDescent="0.2">
      <c r="A2706">
        <v>1404</v>
      </c>
      <c r="H2706">
        <f t="shared" si="314"/>
        <v>3</v>
      </c>
      <c r="R2706">
        <v>91</v>
      </c>
      <c r="T2706" t="str">
        <f t="shared" si="315"/>
        <v>o</v>
      </c>
      <c r="AJ2706">
        <v>1</v>
      </c>
      <c r="AM2706" t="str">
        <f t="shared" si="316"/>
        <v>Zone_Entry_Exit</v>
      </c>
      <c r="AN2706" t="str">
        <f t="shared" si="317"/>
        <v>Zone_Entry</v>
      </c>
      <c r="AP2706" t="str">
        <f t="shared" si="318"/>
        <v>Defensive</v>
      </c>
    </row>
    <row r="2707" spans="1:42" x14ac:dyDescent="0.2">
      <c r="A2707">
        <v>1404</v>
      </c>
      <c r="H2707">
        <f t="shared" si="314"/>
        <v>3</v>
      </c>
      <c r="R2707">
        <v>84</v>
      </c>
      <c r="T2707" t="str">
        <f t="shared" si="315"/>
        <v>o</v>
      </c>
      <c r="AM2707" t="str">
        <f t="shared" si="316"/>
        <v>Zone_Entry_Exit</v>
      </c>
      <c r="AN2707" t="str">
        <f t="shared" si="317"/>
        <v>Zone_Entry</v>
      </c>
      <c r="AP2707" t="str">
        <f t="shared" si="318"/>
        <v>Defensive</v>
      </c>
    </row>
    <row r="2708" spans="1:42" x14ac:dyDescent="0.2">
      <c r="A2708">
        <v>1405</v>
      </c>
      <c r="H2708">
        <f t="shared" si="314"/>
        <v>3</v>
      </c>
      <c r="I2708" s="5" t="s">
        <v>895</v>
      </c>
      <c r="J2708" s="5" t="s">
        <v>759</v>
      </c>
      <c r="K2708" s="5" t="s">
        <v>895</v>
      </c>
      <c r="L2708" s="7" t="s">
        <v>766</v>
      </c>
      <c r="Q2708" t="s">
        <v>619</v>
      </c>
      <c r="R2708">
        <v>77</v>
      </c>
      <c r="S2708">
        <v>1</v>
      </c>
      <c r="T2708" t="str">
        <f t="shared" si="315"/>
        <v>e</v>
      </c>
      <c r="U2708" t="s">
        <v>15</v>
      </c>
      <c r="Y2708" t="s">
        <v>677</v>
      </c>
      <c r="Z2708" t="s">
        <v>679</v>
      </c>
      <c r="AF2708" t="s">
        <v>401</v>
      </c>
      <c r="AJ2708">
        <v>1</v>
      </c>
      <c r="AM2708" t="str">
        <f t="shared" si="316"/>
        <v>Possession</v>
      </c>
      <c r="AN2708" t="str">
        <f t="shared" si="317"/>
        <v/>
      </c>
      <c r="AP2708" t="str">
        <f t="shared" si="318"/>
        <v>Offensive</v>
      </c>
    </row>
    <row r="2709" spans="1:42" x14ac:dyDescent="0.2">
      <c r="A2709">
        <v>1405</v>
      </c>
      <c r="H2709">
        <f t="shared" si="314"/>
        <v>3</v>
      </c>
      <c r="R2709">
        <v>91</v>
      </c>
      <c r="T2709" t="str">
        <f t="shared" si="315"/>
        <v>o</v>
      </c>
      <c r="AJ2709">
        <v>1</v>
      </c>
      <c r="AM2709" t="str">
        <f t="shared" si="316"/>
        <v>Possession</v>
      </c>
      <c r="AN2709" t="str">
        <f t="shared" si="317"/>
        <v/>
      </c>
      <c r="AP2709" t="str">
        <f t="shared" si="318"/>
        <v>Defensive</v>
      </c>
    </row>
    <row r="2710" spans="1:42" x14ac:dyDescent="0.2">
      <c r="A2710">
        <v>1406</v>
      </c>
      <c r="H2710">
        <f t="shared" si="314"/>
        <v>3</v>
      </c>
      <c r="I2710" s="5" t="s">
        <v>895</v>
      </c>
      <c r="J2710" s="5" t="s">
        <v>766</v>
      </c>
      <c r="Q2710" t="s">
        <v>619</v>
      </c>
      <c r="R2710">
        <v>77</v>
      </c>
      <c r="S2710">
        <v>1</v>
      </c>
      <c r="T2710" t="str">
        <f t="shared" si="315"/>
        <v>e</v>
      </c>
      <c r="U2710" t="s">
        <v>7</v>
      </c>
      <c r="V2710" t="s">
        <v>208</v>
      </c>
      <c r="W2710" t="s">
        <v>53</v>
      </c>
      <c r="X2710" t="s">
        <v>705</v>
      </c>
      <c r="AF2710" t="s">
        <v>401</v>
      </c>
      <c r="AJ2710">
        <v>1</v>
      </c>
      <c r="AM2710" t="str">
        <f t="shared" si="316"/>
        <v>Shot</v>
      </c>
      <c r="AN2710" t="str">
        <f t="shared" si="317"/>
        <v>Shot_Blocked</v>
      </c>
      <c r="AP2710" t="str">
        <f t="shared" si="318"/>
        <v>Offensive</v>
      </c>
    </row>
    <row r="2711" spans="1:42" x14ac:dyDescent="0.2">
      <c r="A2711">
        <v>1406</v>
      </c>
      <c r="H2711">
        <f t="shared" si="314"/>
        <v>3</v>
      </c>
      <c r="R2711">
        <v>91</v>
      </c>
      <c r="T2711" t="str">
        <f t="shared" si="315"/>
        <v>o</v>
      </c>
      <c r="Y2711" t="s">
        <v>681</v>
      </c>
      <c r="AA2711" t="s">
        <v>706</v>
      </c>
      <c r="AJ2711">
        <v>1</v>
      </c>
      <c r="AM2711" t="str">
        <f t="shared" si="316"/>
        <v>Shot</v>
      </c>
      <c r="AN2711" t="str">
        <f t="shared" si="317"/>
        <v>Shot_Blocked</v>
      </c>
      <c r="AP2711" t="str">
        <f t="shared" si="318"/>
        <v>Defensive</v>
      </c>
    </row>
    <row r="2712" spans="1:42" x14ac:dyDescent="0.2">
      <c r="A2712">
        <v>1407</v>
      </c>
      <c r="H2712">
        <f t="shared" si="314"/>
        <v>3</v>
      </c>
      <c r="I2712" s="5" t="s">
        <v>895</v>
      </c>
      <c r="J2712" s="5" t="s">
        <v>730</v>
      </c>
      <c r="Q2712" t="s">
        <v>619</v>
      </c>
      <c r="R2712">
        <v>77</v>
      </c>
      <c r="S2712">
        <v>1</v>
      </c>
      <c r="T2712" t="str">
        <f t="shared" si="315"/>
        <v>e</v>
      </c>
      <c r="U2712" t="s">
        <v>15</v>
      </c>
      <c r="V2712" t="s">
        <v>698</v>
      </c>
      <c r="X2712" t="s">
        <v>706</v>
      </c>
      <c r="Y2712" t="s">
        <v>739</v>
      </c>
      <c r="AA2712" t="s">
        <v>706</v>
      </c>
      <c r="AF2712" t="s">
        <v>401</v>
      </c>
      <c r="AM2712" t="str">
        <f t="shared" si="316"/>
        <v>Possession</v>
      </c>
      <c r="AN2712" t="str">
        <f t="shared" si="317"/>
        <v>PuckRecovery</v>
      </c>
      <c r="AP2712" t="str">
        <f t="shared" si="318"/>
        <v>Offensive</v>
      </c>
    </row>
    <row r="2713" spans="1:42" x14ac:dyDescent="0.2">
      <c r="A2713">
        <v>1408</v>
      </c>
      <c r="B2713">
        <v>217</v>
      </c>
      <c r="H2713">
        <f t="shared" si="314"/>
        <v>3</v>
      </c>
      <c r="I2713" s="5" t="s">
        <v>895</v>
      </c>
      <c r="J2713" s="5" t="s">
        <v>730</v>
      </c>
      <c r="Q2713" t="s">
        <v>619</v>
      </c>
      <c r="R2713">
        <v>77</v>
      </c>
      <c r="S2713">
        <v>1</v>
      </c>
      <c r="T2713" t="str">
        <f t="shared" si="315"/>
        <v>e</v>
      </c>
      <c r="U2713" t="s">
        <v>7</v>
      </c>
      <c r="V2713" t="s">
        <v>222</v>
      </c>
      <c r="W2713" t="s">
        <v>53</v>
      </c>
      <c r="X2713" t="s">
        <v>706</v>
      </c>
      <c r="AF2713" t="s">
        <v>401</v>
      </c>
      <c r="AJ2713">
        <v>1</v>
      </c>
      <c r="AM2713" t="str">
        <f t="shared" si="316"/>
        <v>Shot</v>
      </c>
      <c r="AN2713" t="str">
        <f t="shared" si="317"/>
        <v>Shot_OnNetSaved</v>
      </c>
      <c r="AP2713" t="str">
        <f t="shared" si="318"/>
        <v>Offensive</v>
      </c>
    </row>
    <row r="2714" spans="1:42" x14ac:dyDescent="0.2">
      <c r="A2714">
        <v>1408</v>
      </c>
      <c r="B2714">
        <v>217</v>
      </c>
      <c r="H2714">
        <f t="shared" si="314"/>
        <v>3</v>
      </c>
      <c r="R2714">
        <v>39</v>
      </c>
      <c r="T2714" t="str">
        <f t="shared" si="315"/>
        <v>o</v>
      </c>
      <c r="AM2714" t="str">
        <f t="shared" si="316"/>
        <v>Shot</v>
      </c>
      <c r="AN2714" t="str">
        <f t="shared" si="317"/>
        <v>Shot_OnNetSaved</v>
      </c>
      <c r="AP2714" t="str">
        <f t="shared" si="318"/>
        <v>Defensive</v>
      </c>
    </row>
    <row r="2715" spans="1:42" x14ac:dyDescent="0.2">
      <c r="A2715">
        <v>1408</v>
      </c>
      <c r="B2715">
        <v>217</v>
      </c>
      <c r="H2715">
        <f t="shared" si="314"/>
        <v>3</v>
      </c>
      <c r="R2715">
        <v>91</v>
      </c>
      <c r="T2715" t="str">
        <f t="shared" si="315"/>
        <v>o</v>
      </c>
      <c r="Y2715" t="s">
        <v>715</v>
      </c>
      <c r="AJ2715">
        <v>1</v>
      </c>
      <c r="AM2715" t="str">
        <f t="shared" si="316"/>
        <v>Shot</v>
      </c>
      <c r="AN2715" t="str">
        <f t="shared" si="317"/>
        <v>Shot_OnNetSaved</v>
      </c>
      <c r="AP2715" t="str">
        <f t="shared" si="318"/>
        <v>Defensive</v>
      </c>
    </row>
    <row r="2716" spans="1:42" x14ac:dyDescent="0.2">
      <c r="A2716">
        <v>1409</v>
      </c>
      <c r="B2716">
        <v>217</v>
      </c>
      <c r="H2716">
        <f t="shared" si="314"/>
        <v>3</v>
      </c>
      <c r="I2716" s="5" t="s">
        <v>895</v>
      </c>
      <c r="J2716" s="5" t="s">
        <v>730</v>
      </c>
      <c r="Q2716" t="s">
        <v>620</v>
      </c>
      <c r="R2716">
        <v>39</v>
      </c>
      <c r="S2716">
        <v>1</v>
      </c>
      <c r="T2716" t="str">
        <f t="shared" si="315"/>
        <v>e</v>
      </c>
      <c r="U2716" t="s">
        <v>17</v>
      </c>
      <c r="V2716" t="s">
        <v>206</v>
      </c>
      <c r="W2716" t="s">
        <v>102</v>
      </c>
      <c r="AF2716" t="s">
        <v>623</v>
      </c>
      <c r="AM2716" t="str">
        <f t="shared" si="316"/>
        <v>Save</v>
      </c>
      <c r="AN2716" t="str">
        <f t="shared" si="317"/>
        <v>Save_Freeze</v>
      </c>
      <c r="AP2716" t="str">
        <f t="shared" si="318"/>
        <v>Defensive</v>
      </c>
    </row>
    <row r="2717" spans="1:42" x14ac:dyDescent="0.2">
      <c r="A2717">
        <v>1409</v>
      </c>
      <c r="B2717">
        <v>217</v>
      </c>
      <c r="H2717">
        <f t="shared" si="314"/>
        <v>3</v>
      </c>
      <c r="R2717">
        <v>91</v>
      </c>
      <c r="S2717">
        <v>1</v>
      </c>
      <c r="T2717" t="str">
        <f t="shared" si="315"/>
        <v>e</v>
      </c>
      <c r="Y2717" t="s">
        <v>715</v>
      </c>
      <c r="AJ2717">
        <v>1</v>
      </c>
      <c r="AM2717" t="str">
        <f t="shared" si="316"/>
        <v>Save</v>
      </c>
      <c r="AN2717" t="str">
        <f t="shared" si="317"/>
        <v>Save_Freeze</v>
      </c>
      <c r="AP2717" t="str">
        <f t="shared" si="318"/>
        <v>Defensive</v>
      </c>
    </row>
    <row r="2718" spans="1:42" x14ac:dyDescent="0.2">
      <c r="A2718">
        <v>1409</v>
      </c>
      <c r="B2718">
        <v>217</v>
      </c>
      <c r="H2718">
        <f t="shared" si="314"/>
        <v>3</v>
      </c>
      <c r="R2718">
        <v>77</v>
      </c>
      <c r="T2718" t="str">
        <f t="shared" si="315"/>
        <v>o</v>
      </c>
      <c r="AJ2718">
        <v>1</v>
      </c>
      <c r="AM2718" t="str">
        <f t="shared" si="316"/>
        <v>Save</v>
      </c>
      <c r="AN2718" t="str">
        <f t="shared" si="317"/>
        <v>Save_Freeze</v>
      </c>
      <c r="AP2718" t="str">
        <f t="shared" si="318"/>
        <v>Offensive</v>
      </c>
    </row>
    <row r="2719" spans="1:42" x14ac:dyDescent="0.2">
      <c r="A2719">
        <v>1410</v>
      </c>
      <c r="B2719">
        <v>217</v>
      </c>
      <c r="H2719">
        <f t="shared" si="314"/>
        <v>3</v>
      </c>
      <c r="I2719" s="5" t="s">
        <v>895</v>
      </c>
      <c r="J2719" s="5" t="s">
        <v>813</v>
      </c>
      <c r="Q2719" t="s">
        <v>620</v>
      </c>
      <c r="R2719">
        <v>39</v>
      </c>
      <c r="S2719">
        <v>1</v>
      </c>
      <c r="T2719" t="str">
        <f t="shared" si="315"/>
        <v>e</v>
      </c>
      <c r="U2719" t="s">
        <v>13</v>
      </c>
      <c r="V2719" t="s">
        <v>204</v>
      </c>
      <c r="W2719" t="s">
        <v>110</v>
      </c>
      <c r="AF2719" t="s">
        <v>623</v>
      </c>
      <c r="AM2719" t="str">
        <f t="shared" si="316"/>
        <v>Stoppage</v>
      </c>
      <c r="AN2719" t="str">
        <f t="shared" si="317"/>
        <v>Stoppage_Play</v>
      </c>
      <c r="AP2719" t="str">
        <f t="shared" si="318"/>
        <v/>
      </c>
    </row>
    <row r="2720" spans="1:42" x14ac:dyDescent="0.2">
      <c r="A2720">
        <v>1411</v>
      </c>
      <c r="B2720">
        <v>217</v>
      </c>
      <c r="H2720">
        <f t="shared" si="314"/>
        <v>3</v>
      </c>
      <c r="I2720" s="5" t="s">
        <v>895</v>
      </c>
      <c r="J2720" s="5" t="s">
        <v>813</v>
      </c>
      <c r="K2720" s="5" t="s">
        <v>895</v>
      </c>
      <c r="L2720" s="7" t="s">
        <v>786</v>
      </c>
      <c r="Q2720" t="s">
        <v>620</v>
      </c>
      <c r="R2720">
        <v>39</v>
      </c>
      <c r="S2720">
        <v>1</v>
      </c>
      <c r="T2720" t="str">
        <f t="shared" si="315"/>
        <v>e</v>
      </c>
      <c r="U2720" t="s">
        <v>262</v>
      </c>
      <c r="AF2720" t="s">
        <v>623</v>
      </c>
      <c r="AM2720" t="str">
        <f t="shared" si="316"/>
        <v>DeadIce</v>
      </c>
      <c r="AN2720" t="str">
        <f t="shared" si="317"/>
        <v/>
      </c>
      <c r="AP2720" t="str">
        <f t="shared" si="318"/>
        <v/>
      </c>
    </row>
    <row r="2721" spans="1:42" x14ac:dyDescent="0.2">
      <c r="A2721">
        <v>1412</v>
      </c>
      <c r="H2721">
        <f t="shared" si="314"/>
        <v>3</v>
      </c>
      <c r="I2721" s="5" t="s">
        <v>895</v>
      </c>
      <c r="J2721" s="5" t="s">
        <v>786</v>
      </c>
      <c r="Q2721" t="s">
        <v>619</v>
      </c>
      <c r="R2721">
        <v>77</v>
      </c>
      <c r="S2721">
        <v>1</v>
      </c>
      <c r="T2721" t="str">
        <f t="shared" si="315"/>
        <v>e</v>
      </c>
      <c r="U2721" t="s">
        <v>6</v>
      </c>
      <c r="V2721" t="s">
        <v>255</v>
      </c>
      <c r="AF2721" t="s">
        <v>401</v>
      </c>
      <c r="AM2721" t="str">
        <f t="shared" si="316"/>
        <v>Faceoff</v>
      </c>
      <c r="AN2721" t="str">
        <f t="shared" si="317"/>
        <v>Faceoff_AfterStoppage</v>
      </c>
      <c r="AP2721" t="str">
        <f t="shared" si="318"/>
        <v>Offensive</v>
      </c>
    </row>
    <row r="2722" spans="1:42" x14ac:dyDescent="0.2">
      <c r="A2722">
        <v>1412</v>
      </c>
      <c r="H2722">
        <f t="shared" si="314"/>
        <v>3</v>
      </c>
      <c r="R2722">
        <v>42</v>
      </c>
      <c r="T2722" t="str">
        <f t="shared" si="315"/>
        <v>o</v>
      </c>
      <c r="AM2722" t="str">
        <f t="shared" si="316"/>
        <v>Faceoff</v>
      </c>
      <c r="AN2722" t="str">
        <f t="shared" si="317"/>
        <v>Faceoff_AfterStoppage</v>
      </c>
      <c r="AP2722" t="str">
        <f t="shared" si="318"/>
        <v>Defensive</v>
      </c>
    </row>
    <row r="2723" spans="1:42" x14ac:dyDescent="0.2">
      <c r="A2723">
        <v>1413</v>
      </c>
      <c r="H2723">
        <f t="shared" si="314"/>
        <v>3</v>
      </c>
      <c r="I2723" s="5" t="s">
        <v>897</v>
      </c>
      <c r="J2723" s="5" t="s">
        <v>638</v>
      </c>
      <c r="Q2723" t="s">
        <v>619</v>
      </c>
      <c r="R2723">
        <v>13</v>
      </c>
      <c r="S2723">
        <v>1</v>
      </c>
      <c r="T2723" t="str">
        <f t="shared" si="315"/>
        <v>e</v>
      </c>
      <c r="U2723" t="s">
        <v>15</v>
      </c>
      <c r="V2723" t="s">
        <v>698</v>
      </c>
      <c r="X2723" t="s">
        <v>705</v>
      </c>
      <c r="Y2723" t="s">
        <v>907</v>
      </c>
      <c r="AA2723" t="s">
        <v>705</v>
      </c>
      <c r="AF2723" t="s">
        <v>401</v>
      </c>
      <c r="AJ2723">
        <v>1</v>
      </c>
      <c r="AM2723" t="str">
        <f t="shared" si="316"/>
        <v>Possession</v>
      </c>
      <c r="AN2723" t="str">
        <f t="shared" si="317"/>
        <v>PuckRecovery</v>
      </c>
      <c r="AP2723" t="str">
        <f t="shared" si="318"/>
        <v>Offensive</v>
      </c>
    </row>
    <row r="2724" spans="1:42" x14ac:dyDescent="0.2">
      <c r="A2724">
        <v>1413</v>
      </c>
      <c r="H2724">
        <f t="shared" si="314"/>
        <v>3</v>
      </c>
      <c r="R2724">
        <v>84</v>
      </c>
      <c r="T2724" t="str">
        <f t="shared" si="315"/>
        <v>o</v>
      </c>
      <c r="Y2724" t="s">
        <v>910</v>
      </c>
      <c r="AA2724" t="s">
        <v>705</v>
      </c>
      <c r="AJ2724">
        <v>1</v>
      </c>
      <c r="AM2724" t="str">
        <f t="shared" si="316"/>
        <v>Possession</v>
      </c>
      <c r="AN2724" t="str">
        <f t="shared" si="317"/>
        <v>PuckRecovery</v>
      </c>
      <c r="AP2724" t="str">
        <f t="shared" si="318"/>
        <v>Defensive</v>
      </c>
    </row>
    <row r="2725" spans="1:42" x14ac:dyDescent="0.2">
      <c r="A2725">
        <v>1414</v>
      </c>
      <c r="H2725">
        <f t="shared" si="314"/>
        <v>3</v>
      </c>
      <c r="I2725" s="5" t="s">
        <v>897</v>
      </c>
      <c r="J2725" s="5" t="s">
        <v>637</v>
      </c>
      <c r="K2725" s="5" t="s">
        <v>897</v>
      </c>
      <c r="L2725" s="7" t="s">
        <v>751</v>
      </c>
      <c r="Q2725" t="s">
        <v>620</v>
      </c>
      <c r="R2725">
        <v>84</v>
      </c>
      <c r="S2725">
        <v>1</v>
      </c>
      <c r="T2725" t="str">
        <f t="shared" si="315"/>
        <v>e</v>
      </c>
      <c r="U2725" t="s">
        <v>257</v>
      </c>
      <c r="V2725" t="s">
        <v>201</v>
      </c>
      <c r="W2725" t="s">
        <v>90</v>
      </c>
      <c r="X2725" t="s">
        <v>706</v>
      </c>
      <c r="Y2725" t="s">
        <v>678</v>
      </c>
      <c r="AA2725" t="s">
        <v>706</v>
      </c>
      <c r="AF2725" t="s">
        <v>623</v>
      </c>
      <c r="AM2725" t="str">
        <f t="shared" si="316"/>
        <v>Zone_Entry_Exit</v>
      </c>
      <c r="AN2725" t="str">
        <f t="shared" si="317"/>
        <v>Zone_Exit</v>
      </c>
      <c r="AP2725" t="str">
        <f t="shared" si="318"/>
        <v>Offensive</v>
      </c>
    </row>
    <row r="2726" spans="1:42" x14ac:dyDescent="0.2">
      <c r="A2726">
        <v>1415</v>
      </c>
      <c r="H2726">
        <f t="shared" si="314"/>
        <v>3</v>
      </c>
      <c r="I2726" s="5" t="s">
        <v>897</v>
      </c>
      <c r="J2726" s="5" t="s">
        <v>788</v>
      </c>
      <c r="Q2726" t="s">
        <v>620</v>
      </c>
      <c r="R2726">
        <v>84</v>
      </c>
      <c r="S2726">
        <v>1</v>
      </c>
      <c r="T2726" t="str">
        <f t="shared" si="315"/>
        <v>e</v>
      </c>
      <c r="U2726" t="s">
        <v>8</v>
      </c>
      <c r="V2726" t="s">
        <v>189</v>
      </c>
      <c r="W2726" t="s">
        <v>70</v>
      </c>
      <c r="X2726" t="s">
        <v>706</v>
      </c>
      <c r="AF2726" t="s">
        <v>635</v>
      </c>
      <c r="AM2726" t="str">
        <f t="shared" si="316"/>
        <v>Pass</v>
      </c>
      <c r="AN2726" t="str">
        <f t="shared" si="317"/>
        <v>Pass_Completed</v>
      </c>
      <c r="AP2726" t="str">
        <f t="shared" si="318"/>
        <v>Offensive</v>
      </c>
    </row>
    <row r="2727" spans="1:42" x14ac:dyDescent="0.2">
      <c r="A2727">
        <v>1415</v>
      </c>
      <c r="H2727">
        <f t="shared" si="314"/>
        <v>3</v>
      </c>
      <c r="R2727">
        <v>55</v>
      </c>
      <c r="S2727">
        <v>1</v>
      </c>
      <c r="T2727" t="str">
        <f t="shared" si="315"/>
        <v>e</v>
      </c>
      <c r="AJ2727">
        <v>1</v>
      </c>
      <c r="AM2727" t="str">
        <f t="shared" si="316"/>
        <v>Pass</v>
      </c>
      <c r="AN2727" t="str">
        <f t="shared" si="317"/>
        <v>Pass_Completed</v>
      </c>
      <c r="AP2727" t="str">
        <f t="shared" si="318"/>
        <v>Offensive</v>
      </c>
    </row>
    <row r="2728" spans="1:42" x14ac:dyDescent="0.2">
      <c r="A2728">
        <v>1415</v>
      </c>
      <c r="H2728">
        <f t="shared" si="314"/>
        <v>3</v>
      </c>
      <c r="R2728">
        <v>13</v>
      </c>
      <c r="T2728" t="str">
        <f t="shared" si="315"/>
        <v>o</v>
      </c>
      <c r="Y2728" t="s">
        <v>715</v>
      </c>
      <c r="AJ2728">
        <v>1</v>
      </c>
      <c r="AM2728" t="str">
        <f t="shared" si="316"/>
        <v>Pass</v>
      </c>
      <c r="AN2728" t="str">
        <f t="shared" si="317"/>
        <v>Pass_Completed</v>
      </c>
      <c r="AP2728" t="str">
        <f t="shared" si="318"/>
        <v>Defensive</v>
      </c>
    </row>
    <row r="2729" spans="1:42" x14ac:dyDescent="0.2">
      <c r="A2729">
        <v>1416</v>
      </c>
      <c r="H2729">
        <f t="shared" si="314"/>
        <v>3</v>
      </c>
      <c r="I2729" s="5" t="s">
        <v>897</v>
      </c>
      <c r="J2729" s="5" t="s">
        <v>788</v>
      </c>
      <c r="Q2729" t="s">
        <v>620</v>
      </c>
      <c r="R2729">
        <v>55</v>
      </c>
      <c r="S2729">
        <v>1</v>
      </c>
      <c r="T2729" t="str">
        <f t="shared" si="315"/>
        <v>e</v>
      </c>
      <c r="U2729" t="s">
        <v>257</v>
      </c>
      <c r="V2729" t="s">
        <v>191</v>
      </c>
      <c r="W2729" t="s">
        <v>89</v>
      </c>
      <c r="X2729" t="s">
        <v>705</v>
      </c>
      <c r="Y2729" t="s">
        <v>718</v>
      </c>
      <c r="AA2729" t="s">
        <v>705</v>
      </c>
      <c r="AF2729" t="s">
        <v>635</v>
      </c>
      <c r="AJ2729">
        <v>1</v>
      </c>
      <c r="AM2729" t="str">
        <f t="shared" si="316"/>
        <v>Zone_Entry_Exit</v>
      </c>
      <c r="AN2729" t="str">
        <f t="shared" si="317"/>
        <v>Zone_Entry</v>
      </c>
      <c r="AP2729" t="str">
        <f t="shared" si="318"/>
        <v>Offensive</v>
      </c>
    </row>
    <row r="2730" spans="1:42" x14ac:dyDescent="0.2">
      <c r="A2730">
        <v>1416</v>
      </c>
      <c r="H2730">
        <f t="shared" si="314"/>
        <v>3</v>
      </c>
      <c r="R2730">
        <v>13</v>
      </c>
      <c r="T2730" t="str">
        <f t="shared" si="315"/>
        <v>o</v>
      </c>
      <c r="AJ2730">
        <v>1</v>
      </c>
      <c r="AM2730" t="str">
        <f t="shared" si="316"/>
        <v>Zone_Entry_Exit</v>
      </c>
      <c r="AN2730" t="str">
        <f t="shared" si="317"/>
        <v>Zone_Entry</v>
      </c>
      <c r="AP2730" t="str">
        <f t="shared" si="318"/>
        <v>Defensive</v>
      </c>
    </row>
    <row r="2731" spans="1:42" x14ac:dyDescent="0.2">
      <c r="A2731">
        <v>1417</v>
      </c>
      <c r="H2731">
        <f t="shared" si="314"/>
        <v>3</v>
      </c>
      <c r="I2731" s="5" t="s">
        <v>897</v>
      </c>
      <c r="J2731" s="5" t="s">
        <v>789</v>
      </c>
      <c r="Q2731" t="s">
        <v>619</v>
      </c>
      <c r="R2731">
        <v>44</v>
      </c>
      <c r="S2731">
        <v>1</v>
      </c>
      <c r="T2731" t="str">
        <f t="shared" si="315"/>
        <v>e</v>
      </c>
      <c r="U2731" t="s">
        <v>15</v>
      </c>
      <c r="V2731" t="s">
        <v>697</v>
      </c>
      <c r="X2731" t="s">
        <v>705</v>
      </c>
      <c r="Y2731" t="s">
        <v>720</v>
      </c>
      <c r="AA2731" t="s">
        <v>705</v>
      </c>
      <c r="AF2731" t="s">
        <v>623</v>
      </c>
      <c r="AJ2731">
        <v>1</v>
      </c>
      <c r="AM2731" t="str">
        <f t="shared" si="316"/>
        <v>Possession</v>
      </c>
      <c r="AN2731" t="str">
        <f t="shared" si="317"/>
        <v>PuckRetrieval</v>
      </c>
      <c r="AP2731" t="str">
        <f t="shared" si="318"/>
        <v>Offensive</v>
      </c>
    </row>
    <row r="2732" spans="1:42" x14ac:dyDescent="0.2">
      <c r="A2732">
        <v>1417</v>
      </c>
      <c r="H2732">
        <f t="shared" si="314"/>
        <v>3</v>
      </c>
      <c r="R2732">
        <v>55</v>
      </c>
      <c r="T2732" t="str">
        <f t="shared" si="315"/>
        <v>o</v>
      </c>
      <c r="Y2732" t="s">
        <v>761</v>
      </c>
      <c r="AA2732" t="s">
        <v>705</v>
      </c>
      <c r="AJ2732">
        <v>1</v>
      </c>
      <c r="AM2732" t="str">
        <f t="shared" si="316"/>
        <v>Possession</v>
      </c>
      <c r="AN2732" t="str">
        <f t="shared" si="317"/>
        <v>PuckRetrieval</v>
      </c>
      <c r="AP2732" t="str">
        <f t="shared" si="318"/>
        <v>Defensive</v>
      </c>
    </row>
    <row r="2733" spans="1:42" x14ac:dyDescent="0.2">
      <c r="A2733">
        <v>1418</v>
      </c>
      <c r="B2733">
        <v>218</v>
      </c>
      <c r="H2733">
        <f t="shared" si="314"/>
        <v>3</v>
      </c>
      <c r="I2733" s="5" t="s">
        <v>897</v>
      </c>
      <c r="J2733" s="5" t="s">
        <v>673</v>
      </c>
      <c r="Q2733" t="s">
        <v>619</v>
      </c>
      <c r="R2733">
        <v>44</v>
      </c>
      <c r="S2733">
        <v>1</v>
      </c>
      <c r="T2733" t="str">
        <f t="shared" si="315"/>
        <v>e</v>
      </c>
      <c r="U2733" t="s">
        <v>8</v>
      </c>
      <c r="V2733" t="s">
        <v>199</v>
      </c>
      <c r="W2733" t="s">
        <v>68</v>
      </c>
      <c r="X2733" t="s">
        <v>705</v>
      </c>
      <c r="Y2733" t="s">
        <v>814</v>
      </c>
      <c r="Z2733" t="s">
        <v>744</v>
      </c>
      <c r="AA2733" t="s">
        <v>705</v>
      </c>
      <c r="AF2733" t="s">
        <v>623</v>
      </c>
      <c r="AJ2733">
        <v>1</v>
      </c>
      <c r="AM2733" t="str">
        <f t="shared" si="316"/>
        <v>Pass</v>
      </c>
      <c r="AN2733" t="str">
        <f t="shared" si="317"/>
        <v>Pass_Missed</v>
      </c>
      <c r="AP2733" t="str">
        <f t="shared" si="318"/>
        <v>Offensive</v>
      </c>
    </row>
    <row r="2734" spans="1:42" x14ac:dyDescent="0.2">
      <c r="A2734">
        <v>1418</v>
      </c>
      <c r="B2734">
        <v>218</v>
      </c>
      <c r="H2734">
        <f t="shared" si="314"/>
        <v>3</v>
      </c>
      <c r="R2734">
        <v>68</v>
      </c>
      <c r="S2734">
        <v>1</v>
      </c>
      <c r="T2734" t="str">
        <f t="shared" si="315"/>
        <v>e</v>
      </c>
      <c r="AJ2734">
        <v>1</v>
      </c>
      <c r="AM2734" t="str">
        <f t="shared" si="316"/>
        <v>Pass</v>
      </c>
      <c r="AN2734" t="str">
        <f t="shared" si="317"/>
        <v>Pass_Missed</v>
      </c>
      <c r="AP2734" t="str">
        <f t="shared" si="318"/>
        <v>Offensive</v>
      </c>
    </row>
    <row r="2735" spans="1:42" x14ac:dyDescent="0.2">
      <c r="A2735">
        <v>1418</v>
      </c>
      <c r="B2735">
        <v>218</v>
      </c>
      <c r="H2735">
        <f t="shared" si="314"/>
        <v>3</v>
      </c>
      <c r="R2735">
        <v>55</v>
      </c>
      <c r="T2735" t="str">
        <f t="shared" si="315"/>
        <v>o</v>
      </c>
      <c r="AJ2735">
        <v>1</v>
      </c>
      <c r="AM2735" t="str">
        <f t="shared" si="316"/>
        <v>Pass</v>
      </c>
      <c r="AN2735" t="str">
        <f t="shared" si="317"/>
        <v>Pass_Missed</v>
      </c>
      <c r="AP2735" t="str">
        <f t="shared" si="318"/>
        <v>Defensive</v>
      </c>
    </row>
    <row r="2736" spans="1:42" x14ac:dyDescent="0.2">
      <c r="A2736">
        <v>1418</v>
      </c>
      <c r="B2736">
        <v>218</v>
      </c>
      <c r="H2736">
        <f t="shared" si="314"/>
        <v>3</v>
      </c>
      <c r="R2736">
        <v>61</v>
      </c>
      <c r="T2736" t="str">
        <f t="shared" si="315"/>
        <v>o</v>
      </c>
      <c r="AJ2736">
        <v>1</v>
      </c>
      <c r="AM2736" t="str">
        <f t="shared" si="316"/>
        <v>Pass</v>
      </c>
      <c r="AN2736" t="str">
        <f t="shared" si="317"/>
        <v>Pass_Missed</v>
      </c>
      <c r="AP2736" t="str">
        <f t="shared" si="318"/>
        <v>Defensive</v>
      </c>
    </row>
    <row r="2737" spans="1:42" x14ac:dyDescent="0.2">
      <c r="A2737">
        <v>1419</v>
      </c>
      <c r="B2737">
        <v>218</v>
      </c>
      <c r="H2737">
        <f t="shared" si="314"/>
        <v>3</v>
      </c>
      <c r="I2737" s="5" t="s">
        <v>897</v>
      </c>
      <c r="J2737" s="5" t="s">
        <v>673</v>
      </c>
      <c r="Q2737" t="s">
        <v>619</v>
      </c>
      <c r="R2737">
        <v>44</v>
      </c>
      <c r="S2737">
        <v>1</v>
      </c>
      <c r="T2737" t="str">
        <f t="shared" ref="T2737:T2740" si="319">IF(S2737="x","",IF(S2737=1,"e","o"))</f>
        <v>e</v>
      </c>
      <c r="U2737" t="s">
        <v>10</v>
      </c>
      <c r="V2737" t="s">
        <v>190</v>
      </c>
      <c r="W2737" t="s">
        <v>76</v>
      </c>
      <c r="X2737" t="s">
        <v>705</v>
      </c>
      <c r="Y2737" t="s">
        <v>814</v>
      </c>
      <c r="Z2737" t="s">
        <v>744</v>
      </c>
      <c r="AA2737" t="s">
        <v>705</v>
      </c>
      <c r="AF2737" t="s">
        <v>623</v>
      </c>
      <c r="AJ2737">
        <v>1</v>
      </c>
      <c r="AM2737" t="str">
        <f t="shared" si="316"/>
        <v>Turnover</v>
      </c>
      <c r="AN2737" t="str">
        <f t="shared" si="317"/>
        <v>Turnover_Giveaway</v>
      </c>
      <c r="AP2737" t="str">
        <f t="shared" si="318"/>
        <v>Offensive</v>
      </c>
    </row>
    <row r="2738" spans="1:42" x14ac:dyDescent="0.2">
      <c r="A2738">
        <v>1419</v>
      </c>
      <c r="B2738">
        <v>218</v>
      </c>
      <c r="H2738">
        <f t="shared" si="314"/>
        <v>3</v>
      </c>
      <c r="R2738">
        <v>68</v>
      </c>
      <c r="S2738">
        <v>1</v>
      </c>
      <c r="T2738" t="str">
        <f t="shared" si="319"/>
        <v>e</v>
      </c>
      <c r="AJ2738">
        <v>1</v>
      </c>
      <c r="AM2738" t="str">
        <f t="shared" si="316"/>
        <v>Turnover</v>
      </c>
      <c r="AN2738" t="str">
        <f t="shared" si="317"/>
        <v>Turnover_Giveaway</v>
      </c>
      <c r="AP2738" t="str">
        <f t="shared" si="318"/>
        <v>Offensive</v>
      </c>
    </row>
    <row r="2739" spans="1:42" x14ac:dyDescent="0.2">
      <c r="A2739">
        <v>1419</v>
      </c>
      <c r="B2739">
        <v>218</v>
      </c>
      <c r="H2739">
        <f t="shared" si="314"/>
        <v>3</v>
      </c>
      <c r="R2739">
        <v>55</v>
      </c>
      <c r="T2739" t="str">
        <f t="shared" si="319"/>
        <v>o</v>
      </c>
      <c r="AJ2739">
        <v>1</v>
      </c>
      <c r="AM2739" t="str">
        <f t="shared" si="316"/>
        <v>Turnover</v>
      </c>
      <c r="AN2739" t="str">
        <f t="shared" si="317"/>
        <v>Turnover_Giveaway</v>
      </c>
      <c r="AP2739" t="str">
        <f t="shared" si="318"/>
        <v>Defensive</v>
      </c>
    </row>
    <row r="2740" spans="1:42" x14ac:dyDescent="0.2">
      <c r="A2740">
        <v>1419</v>
      </c>
      <c r="B2740">
        <v>218</v>
      </c>
      <c r="H2740">
        <f t="shared" si="314"/>
        <v>3</v>
      </c>
      <c r="R2740">
        <v>61</v>
      </c>
      <c r="T2740" t="str">
        <f t="shared" si="319"/>
        <v>o</v>
      </c>
      <c r="AJ2740">
        <v>1</v>
      </c>
      <c r="AM2740" t="str">
        <f t="shared" si="316"/>
        <v>Turnover</v>
      </c>
      <c r="AN2740" t="str">
        <f t="shared" si="317"/>
        <v>Turnover_Giveaway</v>
      </c>
      <c r="AP2740" t="str">
        <f t="shared" si="318"/>
        <v>Defensive</v>
      </c>
    </row>
    <row r="2741" spans="1:42" x14ac:dyDescent="0.2">
      <c r="A2741">
        <v>1420</v>
      </c>
      <c r="B2741">
        <v>219</v>
      </c>
      <c r="H2741">
        <f t="shared" si="314"/>
        <v>3</v>
      </c>
      <c r="I2741" s="5" t="s">
        <v>897</v>
      </c>
      <c r="J2741" s="5" t="s">
        <v>672</v>
      </c>
      <c r="Q2741" t="s">
        <v>620</v>
      </c>
      <c r="R2741">
        <v>61</v>
      </c>
      <c r="S2741">
        <v>1</v>
      </c>
      <c r="T2741" t="str">
        <f t="shared" si="315"/>
        <v>e</v>
      </c>
      <c r="U2741" t="s">
        <v>15</v>
      </c>
      <c r="V2741" t="s">
        <v>697</v>
      </c>
      <c r="X2741" t="s">
        <v>706</v>
      </c>
      <c r="Y2741" t="s">
        <v>725</v>
      </c>
      <c r="AA2741" t="s">
        <v>706</v>
      </c>
      <c r="AF2741" t="s">
        <v>401</v>
      </c>
      <c r="AJ2741">
        <v>1</v>
      </c>
      <c r="AM2741" t="str">
        <f t="shared" si="316"/>
        <v>Possession</v>
      </c>
      <c r="AN2741" t="str">
        <f t="shared" si="317"/>
        <v>PuckRetrieval</v>
      </c>
      <c r="AP2741" t="str">
        <f t="shared" si="318"/>
        <v>Offensive</v>
      </c>
    </row>
    <row r="2742" spans="1:42" x14ac:dyDescent="0.2">
      <c r="A2742">
        <v>1420</v>
      </c>
      <c r="B2742">
        <v>219</v>
      </c>
      <c r="H2742">
        <f t="shared" si="314"/>
        <v>3</v>
      </c>
      <c r="R2742">
        <v>68</v>
      </c>
      <c r="T2742" t="str">
        <f t="shared" si="315"/>
        <v>o</v>
      </c>
      <c r="Y2742" t="s">
        <v>853</v>
      </c>
      <c r="AA2742" t="s">
        <v>705</v>
      </c>
      <c r="AJ2742">
        <v>1</v>
      </c>
      <c r="AM2742" t="str">
        <f t="shared" si="316"/>
        <v>Possession</v>
      </c>
      <c r="AN2742" t="str">
        <f t="shared" si="317"/>
        <v>PuckRetrieval</v>
      </c>
      <c r="AP2742" t="str">
        <f t="shared" si="318"/>
        <v>Defensive</v>
      </c>
    </row>
    <row r="2743" spans="1:42" x14ac:dyDescent="0.2">
      <c r="A2743">
        <v>1421</v>
      </c>
      <c r="B2743">
        <v>219</v>
      </c>
      <c r="H2743">
        <f t="shared" si="314"/>
        <v>3</v>
      </c>
      <c r="I2743" s="5" t="s">
        <v>897</v>
      </c>
      <c r="J2743" s="5" t="s">
        <v>672</v>
      </c>
      <c r="Q2743" t="s">
        <v>620</v>
      </c>
      <c r="R2743">
        <v>61</v>
      </c>
      <c r="S2743">
        <v>1</v>
      </c>
      <c r="T2743" t="str">
        <f t="shared" si="315"/>
        <v>e</v>
      </c>
      <c r="U2743" t="s">
        <v>257</v>
      </c>
      <c r="V2743" t="s">
        <v>210</v>
      </c>
      <c r="W2743" t="s">
        <v>93</v>
      </c>
      <c r="X2743" t="s">
        <v>706</v>
      </c>
      <c r="AF2743" t="s">
        <v>401</v>
      </c>
      <c r="AJ2743">
        <v>1</v>
      </c>
      <c r="AM2743" t="str">
        <f t="shared" si="316"/>
        <v>Zone_Entry_Exit</v>
      </c>
      <c r="AN2743" t="str">
        <f t="shared" si="317"/>
        <v>Zone_Keepin</v>
      </c>
      <c r="AP2743" t="str">
        <f t="shared" si="318"/>
        <v>Offensive</v>
      </c>
    </row>
    <row r="2744" spans="1:42" x14ac:dyDescent="0.2">
      <c r="A2744">
        <v>1421</v>
      </c>
      <c r="B2744">
        <v>219</v>
      </c>
      <c r="H2744">
        <f t="shared" si="314"/>
        <v>3</v>
      </c>
      <c r="R2744">
        <v>68</v>
      </c>
      <c r="T2744" t="str">
        <f t="shared" si="315"/>
        <v>o</v>
      </c>
      <c r="AJ2744">
        <v>1</v>
      </c>
      <c r="AM2744" t="str">
        <f t="shared" si="316"/>
        <v>Zone_Entry_Exit</v>
      </c>
      <c r="AN2744" t="str">
        <f t="shared" si="317"/>
        <v>Zone_Keepin</v>
      </c>
      <c r="AP2744" t="str">
        <f t="shared" si="318"/>
        <v>Defensive</v>
      </c>
    </row>
    <row r="2745" spans="1:42" x14ac:dyDescent="0.2">
      <c r="A2745">
        <v>1422</v>
      </c>
      <c r="H2745">
        <f t="shared" si="314"/>
        <v>3</v>
      </c>
      <c r="I2745" s="5" t="s">
        <v>897</v>
      </c>
      <c r="J2745" s="5" t="s">
        <v>672</v>
      </c>
      <c r="K2745" s="5" t="s">
        <v>897</v>
      </c>
      <c r="L2745" s="7" t="s">
        <v>682</v>
      </c>
      <c r="Q2745" t="s">
        <v>620</v>
      </c>
      <c r="R2745">
        <v>61</v>
      </c>
      <c r="S2745">
        <v>1</v>
      </c>
      <c r="T2745" t="str">
        <f t="shared" si="315"/>
        <v>e</v>
      </c>
      <c r="U2745" t="s">
        <v>15</v>
      </c>
      <c r="AF2745" t="s">
        <v>401</v>
      </c>
      <c r="AJ2745">
        <v>1</v>
      </c>
      <c r="AM2745" t="str">
        <f t="shared" si="316"/>
        <v>Possession</v>
      </c>
      <c r="AN2745" t="str">
        <f t="shared" si="317"/>
        <v/>
      </c>
      <c r="AP2745" t="str">
        <f t="shared" si="318"/>
        <v>Offensive</v>
      </c>
    </row>
    <row r="2746" spans="1:42" x14ac:dyDescent="0.2">
      <c r="A2746">
        <v>1422</v>
      </c>
      <c r="H2746">
        <f t="shared" si="314"/>
        <v>3</v>
      </c>
      <c r="R2746">
        <v>68</v>
      </c>
      <c r="T2746" t="str">
        <f t="shared" si="315"/>
        <v>o</v>
      </c>
      <c r="AJ2746">
        <v>1</v>
      </c>
      <c r="AM2746" t="str">
        <f t="shared" si="316"/>
        <v>Possession</v>
      </c>
      <c r="AN2746" t="str">
        <f t="shared" si="317"/>
        <v/>
      </c>
      <c r="AP2746" t="str">
        <f t="shared" si="318"/>
        <v>Defensive</v>
      </c>
    </row>
    <row r="2747" spans="1:42" x14ac:dyDescent="0.2">
      <c r="A2747">
        <v>1423</v>
      </c>
      <c r="B2747">
        <v>220</v>
      </c>
      <c r="H2747">
        <f t="shared" si="314"/>
        <v>3</v>
      </c>
      <c r="I2747" s="5" t="s">
        <v>897</v>
      </c>
      <c r="J2747" s="5" t="s">
        <v>711</v>
      </c>
      <c r="Q2747" t="s">
        <v>620</v>
      </c>
      <c r="R2747">
        <v>61</v>
      </c>
      <c r="S2747">
        <v>1</v>
      </c>
      <c r="T2747" t="str">
        <f t="shared" si="315"/>
        <v>e</v>
      </c>
      <c r="U2747" t="s">
        <v>7</v>
      </c>
      <c r="V2747" t="s">
        <v>222</v>
      </c>
      <c r="W2747" t="s">
        <v>53</v>
      </c>
      <c r="X2747" t="s">
        <v>706</v>
      </c>
      <c r="AF2747" t="s">
        <v>401</v>
      </c>
      <c r="AJ2747">
        <v>1</v>
      </c>
      <c r="AM2747" t="str">
        <f t="shared" si="316"/>
        <v>Shot</v>
      </c>
      <c r="AN2747" t="str">
        <f t="shared" si="317"/>
        <v>Shot_OnNetSaved</v>
      </c>
      <c r="AP2747" t="str">
        <f t="shared" si="318"/>
        <v>Offensive</v>
      </c>
    </row>
    <row r="2748" spans="1:42" x14ac:dyDescent="0.2">
      <c r="A2748">
        <v>1423</v>
      </c>
      <c r="B2748">
        <v>220</v>
      </c>
      <c r="H2748">
        <f t="shared" si="314"/>
        <v>3</v>
      </c>
      <c r="R2748">
        <v>30</v>
      </c>
      <c r="T2748" t="str">
        <f t="shared" si="315"/>
        <v>o</v>
      </c>
      <c r="AM2748" t="str">
        <f t="shared" si="316"/>
        <v>Shot</v>
      </c>
      <c r="AN2748" t="str">
        <f t="shared" si="317"/>
        <v>Shot_OnNetSaved</v>
      </c>
      <c r="AP2748" t="str">
        <f t="shared" si="318"/>
        <v>Defensive</v>
      </c>
    </row>
    <row r="2749" spans="1:42" x14ac:dyDescent="0.2">
      <c r="A2749">
        <v>1423</v>
      </c>
      <c r="B2749">
        <v>220</v>
      </c>
      <c r="H2749">
        <f t="shared" si="314"/>
        <v>3</v>
      </c>
      <c r="R2749">
        <v>68</v>
      </c>
      <c r="T2749" t="str">
        <f t="shared" si="315"/>
        <v>o</v>
      </c>
      <c r="Y2749" t="s">
        <v>715</v>
      </c>
      <c r="AJ2749">
        <v>1</v>
      </c>
      <c r="AM2749" t="str">
        <f t="shared" si="316"/>
        <v>Shot</v>
      </c>
      <c r="AN2749" t="str">
        <f t="shared" si="317"/>
        <v>Shot_OnNetSaved</v>
      </c>
      <c r="AP2749" t="str">
        <f t="shared" si="318"/>
        <v>Defensive</v>
      </c>
    </row>
    <row r="2750" spans="1:42" x14ac:dyDescent="0.2">
      <c r="A2750">
        <v>1424</v>
      </c>
      <c r="B2750">
        <v>220</v>
      </c>
      <c r="H2750">
        <f t="shared" si="314"/>
        <v>3</v>
      </c>
      <c r="I2750" s="5" t="s">
        <v>897</v>
      </c>
      <c r="J2750" s="5" t="s">
        <v>711</v>
      </c>
      <c r="Q2750" t="s">
        <v>619</v>
      </c>
      <c r="R2750">
        <v>30</v>
      </c>
      <c r="S2750">
        <v>1</v>
      </c>
      <c r="T2750" t="str">
        <f t="shared" si="315"/>
        <v>e</v>
      </c>
      <c r="U2750" t="s">
        <v>17</v>
      </c>
      <c r="V2750" t="s">
        <v>206</v>
      </c>
      <c r="W2750" t="s">
        <v>102</v>
      </c>
      <c r="AF2750" t="s">
        <v>623</v>
      </c>
      <c r="AM2750" t="str">
        <f t="shared" si="316"/>
        <v>Save</v>
      </c>
      <c r="AN2750" t="str">
        <f t="shared" si="317"/>
        <v>Save_Freeze</v>
      </c>
      <c r="AP2750" t="str">
        <f t="shared" si="318"/>
        <v>Defensive</v>
      </c>
    </row>
    <row r="2751" spans="1:42" x14ac:dyDescent="0.2">
      <c r="A2751">
        <v>1424</v>
      </c>
      <c r="B2751">
        <v>220</v>
      </c>
      <c r="H2751">
        <f t="shared" si="314"/>
        <v>3</v>
      </c>
      <c r="R2751">
        <v>68</v>
      </c>
      <c r="S2751">
        <v>1</v>
      </c>
      <c r="T2751" t="str">
        <f t="shared" si="315"/>
        <v>e</v>
      </c>
      <c r="Y2751" t="s">
        <v>715</v>
      </c>
      <c r="AJ2751">
        <v>1</v>
      </c>
      <c r="AM2751" t="str">
        <f t="shared" si="316"/>
        <v>Save</v>
      </c>
      <c r="AN2751" t="str">
        <f t="shared" si="317"/>
        <v>Save_Freeze</v>
      </c>
      <c r="AP2751" t="str">
        <f t="shared" si="318"/>
        <v>Defensive</v>
      </c>
    </row>
    <row r="2752" spans="1:42" x14ac:dyDescent="0.2">
      <c r="A2752">
        <v>1424</v>
      </c>
      <c r="B2752">
        <v>220</v>
      </c>
      <c r="H2752">
        <f t="shared" si="314"/>
        <v>3</v>
      </c>
      <c r="R2752">
        <v>61</v>
      </c>
      <c r="T2752" t="str">
        <f t="shared" si="315"/>
        <v>o</v>
      </c>
      <c r="AJ2752">
        <v>1</v>
      </c>
      <c r="AM2752" t="str">
        <f t="shared" si="316"/>
        <v>Save</v>
      </c>
      <c r="AN2752" t="str">
        <f t="shared" si="317"/>
        <v>Save_Freeze</v>
      </c>
      <c r="AP2752" t="str">
        <f t="shared" si="318"/>
        <v>Offensive</v>
      </c>
    </row>
    <row r="2753" spans="1:42" x14ac:dyDescent="0.2">
      <c r="A2753">
        <v>1425</v>
      </c>
      <c r="B2753">
        <v>220</v>
      </c>
      <c r="H2753">
        <f t="shared" si="314"/>
        <v>3</v>
      </c>
      <c r="I2753" s="5" t="s">
        <v>897</v>
      </c>
      <c r="J2753" s="5" t="s">
        <v>713</v>
      </c>
      <c r="Q2753" t="s">
        <v>619</v>
      </c>
      <c r="R2753">
        <v>30</v>
      </c>
      <c r="S2753">
        <v>1</v>
      </c>
      <c r="T2753" t="str">
        <f t="shared" si="315"/>
        <v>e</v>
      </c>
      <c r="U2753" t="s">
        <v>13</v>
      </c>
      <c r="V2753" t="s">
        <v>204</v>
      </c>
      <c r="W2753" t="s">
        <v>110</v>
      </c>
      <c r="AF2753" t="s">
        <v>623</v>
      </c>
      <c r="AM2753" t="str">
        <f t="shared" si="316"/>
        <v>Stoppage</v>
      </c>
      <c r="AN2753" t="str">
        <f t="shared" si="317"/>
        <v>Stoppage_Play</v>
      </c>
      <c r="AP2753" t="str">
        <f t="shared" si="318"/>
        <v/>
      </c>
    </row>
    <row r="2754" spans="1:42" x14ac:dyDescent="0.2">
      <c r="A2754">
        <v>1426</v>
      </c>
      <c r="B2754">
        <v>220</v>
      </c>
      <c r="H2754">
        <f t="shared" si="314"/>
        <v>3</v>
      </c>
      <c r="I2754" s="5" t="s">
        <v>897</v>
      </c>
      <c r="J2754" s="5" t="s">
        <v>713</v>
      </c>
      <c r="K2754" s="5" t="s">
        <v>897</v>
      </c>
      <c r="L2754" s="7" t="s">
        <v>731</v>
      </c>
      <c r="Q2754" t="s">
        <v>619</v>
      </c>
      <c r="R2754">
        <v>30</v>
      </c>
      <c r="S2754">
        <v>1</v>
      </c>
      <c r="T2754" t="str">
        <f t="shared" si="315"/>
        <v>e</v>
      </c>
      <c r="U2754" t="s">
        <v>262</v>
      </c>
      <c r="AF2754" t="s">
        <v>623</v>
      </c>
      <c r="AM2754" t="str">
        <f t="shared" si="316"/>
        <v>DeadIce</v>
      </c>
      <c r="AN2754" t="str">
        <f t="shared" si="317"/>
        <v/>
      </c>
      <c r="AP2754" t="str">
        <f t="shared" si="318"/>
        <v/>
      </c>
    </row>
    <row r="2755" spans="1:42" x14ac:dyDescent="0.2">
      <c r="A2755">
        <v>1427</v>
      </c>
      <c r="H2755">
        <f t="shared" si="314"/>
        <v>3</v>
      </c>
      <c r="I2755" s="5" t="s">
        <v>897</v>
      </c>
      <c r="J2755" s="5" t="s">
        <v>731</v>
      </c>
      <c r="Q2755" t="s">
        <v>619</v>
      </c>
      <c r="R2755">
        <v>91</v>
      </c>
      <c r="S2755">
        <v>1</v>
      </c>
      <c r="T2755" t="str">
        <f t="shared" si="315"/>
        <v>e</v>
      </c>
      <c r="U2755" t="s">
        <v>6</v>
      </c>
      <c r="V2755" t="s">
        <v>255</v>
      </c>
      <c r="AF2755" t="s">
        <v>623</v>
      </c>
      <c r="AM2755" t="str">
        <f t="shared" si="316"/>
        <v>Faceoff</v>
      </c>
      <c r="AN2755" t="str">
        <f t="shared" si="317"/>
        <v>Faceoff_AfterStoppage</v>
      </c>
      <c r="AP2755" t="str">
        <f t="shared" si="318"/>
        <v>Offensive</v>
      </c>
    </row>
    <row r="2756" spans="1:42" x14ac:dyDescent="0.2">
      <c r="A2756">
        <v>1427</v>
      </c>
      <c r="H2756">
        <f t="shared" si="314"/>
        <v>3</v>
      </c>
      <c r="R2756">
        <v>44</v>
      </c>
      <c r="S2756">
        <v>1</v>
      </c>
      <c r="T2756" t="str">
        <f t="shared" si="315"/>
        <v>e</v>
      </c>
      <c r="AM2756" t="str">
        <f t="shared" si="316"/>
        <v>Faceoff</v>
      </c>
      <c r="AN2756" t="str">
        <f t="shared" si="317"/>
        <v>Faceoff_AfterStoppage</v>
      </c>
      <c r="AP2756" t="str">
        <f t="shared" si="318"/>
        <v>Offensive</v>
      </c>
    </row>
    <row r="2757" spans="1:42" x14ac:dyDescent="0.2">
      <c r="A2757">
        <v>1427</v>
      </c>
      <c r="H2757">
        <f t="shared" ref="H2757:H2820" si="320">IF(U2757="Intermission",H2756+1,H2756)</f>
        <v>3</v>
      </c>
      <c r="R2757">
        <v>42</v>
      </c>
      <c r="T2757" t="str">
        <f t="shared" si="315"/>
        <v>o</v>
      </c>
      <c r="AM2757" t="str">
        <f t="shared" si="316"/>
        <v>Faceoff</v>
      </c>
      <c r="AN2757" t="str">
        <f t="shared" si="317"/>
        <v>Faceoff_AfterStoppage</v>
      </c>
      <c r="AP2757" t="str">
        <f t="shared" si="318"/>
        <v>Defensive</v>
      </c>
    </row>
    <row r="2758" spans="1:42" x14ac:dyDescent="0.2">
      <c r="A2758">
        <v>1428</v>
      </c>
      <c r="H2758">
        <f t="shared" si="320"/>
        <v>3</v>
      </c>
      <c r="I2758" s="5" t="s">
        <v>897</v>
      </c>
      <c r="J2758" s="5" t="s">
        <v>782</v>
      </c>
      <c r="K2758" s="5" t="s">
        <v>897</v>
      </c>
      <c r="L2758" s="7" t="s">
        <v>448</v>
      </c>
      <c r="Q2758" t="s">
        <v>619</v>
      </c>
      <c r="R2758">
        <v>44</v>
      </c>
      <c r="S2758">
        <v>1</v>
      </c>
      <c r="T2758" t="str">
        <f t="shared" si="315"/>
        <v>e</v>
      </c>
      <c r="U2758" t="s">
        <v>15</v>
      </c>
      <c r="AF2758" t="s">
        <v>623</v>
      </c>
      <c r="AM2758" t="str">
        <f t="shared" si="316"/>
        <v>Possession</v>
      </c>
      <c r="AN2758" t="str">
        <f t="shared" si="317"/>
        <v/>
      </c>
      <c r="AP2758" t="str">
        <f t="shared" si="318"/>
        <v>Offensive</v>
      </c>
    </row>
    <row r="2759" spans="1:42" x14ac:dyDescent="0.2">
      <c r="A2759">
        <v>1429</v>
      </c>
      <c r="B2759">
        <v>221</v>
      </c>
      <c r="H2759">
        <f t="shared" si="320"/>
        <v>3</v>
      </c>
      <c r="I2759" s="5" t="s">
        <v>897</v>
      </c>
      <c r="J2759" s="5" t="s">
        <v>448</v>
      </c>
      <c r="Q2759" t="s">
        <v>619</v>
      </c>
      <c r="R2759">
        <v>44</v>
      </c>
      <c r="S2759">
        <v>1</v>
      </c>
      <c r="T2759" t="str">
        <f t="shared" si="315"/>
        <v>e</v>
      </c>
      <c r="U2759" t="s">
        <v>8</v>
      </c>
      <c r="V2759" t="s">
        <v>199</v>
      </c>
      <c r="W2759" t="s">
        <v>480</v>
      </c>
      <c r="X2759" t="s">
        <v>705</v>
      </c>
      <c r="Y2759" t="s">
        <v>744</v>
      </c>
      <c r="AF2759" t="s">
        <v>623</v>
      </c>
      <c r="AM2759" t="str">
        <f t="shared" si="316"/>
        <v>Pass</v>
      </c>
      <c r="AN2759" t="str">
        <f t="shared" si="317"/>
        <v>Pass_Missed</v>
      </c>
      <c r="AP2759" t="str">
        <f t="shared" si="318"/>
        <v>Offensive</v>
      </c>
    </row>
    <row r="2760" spans="1:42" x14ac:dyDescent="0.2">
      <c r="A2760">
        <v>1429</v>
      </c>
      <c r="B2760">
        <v>221</v>
      </c>
      <c r="H2760">
        <f t="shared" si="320"/>
        <v>3</v>
      </c>
      <c r="R2760">
        <v>89</v>
      </c>
      <c r="S2760">
        <v>1</v>
      </c>
      <c r="T2760" t="str">
        <f t="shared" si="315"/>
        <v>e</v>
      </c>
      <c r="Y2760" t="s">
        <v>754</v>
      </c>
      <c r="Z2760" t="s">
        <v>744</v>
      </c>
      <c r="AM2760" t="str">
        <f t="shared" si="316"/>
        <v>Pass</v>
      </c>
      <c r="AN2760" t="str">
        <f t="shared" si="317"/>
        <v>Pass_Missed</v>
      </c>
      <c r="AP2760" t="str">
        <f t="shared" si="318"/>
        <v>Offensive</v>
      </c>
    </row>
    <row r="2761" spans="1:42" x14ac:dyDescent="0.2">
      <c r="A2761">
        <v>1430</v>
      </c>
      <c r="B2761">
        <v>221</v>
      </c>
      <c r="H2761">
        <f t="shared" si="320"/>
        <v>3</v>
      </c>
      <c r="I2761" s="5" t="s">
        <v>897</v>
      </c>
      <c r="J2761" s="5" t="s">
        <v>448</v>
      </c>
      <c r="Q2761" t="s">
        <v>619</v>
      </c>
      <c r="R2761">
        <v>44</v>
      </c>
      <c r="S2761">
        <v>1</v>
      </c>
      <c r="T2761" t="str">
        <f t="shared" si="315"/>
        <v>e</v>
      </c>
      <c r="U2761" t="s">
        <v>10</v>
      </c>
      <c r="V2761" t="s">
        <v>190</v>
      </c>
      <c r="W2761" t="s">
        <v>76</v>
      </c>
      <c r="Y2761" t="s">
        <v>744</v>
      </c>
      <c r="AF2761" t="s">
        <v>623</v>
      </c>
      <c r="AM2761" t="str">
        <f t="shared" si="316"/>
        <v>Turnover</v>
      </c>
      <c r="AN2761" t="str">
        <f t="shared" si="317"/>
        <v>Turnover_Giveaway</v>
      </c>
      <c r="AP2761" t="str">
        <f t="shared" si="318"/>
        <v>Offensive</v>
      </c>
    </row>
    <row r="2762" spans="1:42" x14ac:dyDescent="0.2">
      <c r="A2762">
        <v>1430</v>
      </c>
      <c r="B2762">
        <v>221</v>
      </c>
      <c r="H2762">
        <f t="shared" si="320"/>
        <v>3</v>
      </c>
      <c r="R2762">
        <v>89</v>
      </c>
      <c r="S2762">
        <v>1</v>
      </c>
      <c r="T2762" t="str">
        <f t="shared" si="315"/>
        <v>e</v>
      </c>
      <c r="Y2762" t="s">
        <v>754</v>
      </c>
      <c r="Z2762" t="s">
        <v>744</v>
      </c>
      <c r="AM2762" t="str">
        <f t="shared" si="316"/>
        <v>Turnover</v>
      </c>
      <c r="AN2762" t="str">
        <f t="shared" si="317"/>
        <v>Turnover_Giveaway</v>
      </c>
      <c r="AP2762" t="str">
        <f t="shared" si="318"/>
        <v>Offensive</v>
      </c>
    </row>
    <row r="2763" spans="1:42" x14ac:dyDescent="0.2">
      <c r="A2763">
        <v>1431</v>
      </c>
      <c r="B2763">
        <v>222</v>
      </c>
      <c r="H2763">
        <f t="shared" si="320"/>
        <v>3</v>
      </c>
      <c r="I2763" s="5" t="s">
        <v>897</v>
      </c>
      <c r="J2763" s="5" t="s">
        <v>733</v>
      </c>
      <c r="Q2763" t="s">
        <v>620</v>
      </c>
      <c r="R2763">
        <v>91</v>
      </c>
      <c r="S2763">
        <v>1</v>
      </c>
      <c r="T2763" t="str">
        <f t="shared" si="315"/>
        <v>e</v>
      </c>
      <c r="U2763" t="s">
        <v>257</v>
      </c>
      <c r="V2763" t="s">
        <v>210</v>
      </c>
      <c r="W2763" t="s">
        <v>93</v>
      </c>
      <c r="X2763" t="s">
        <v>706</v>
      </c>
      <c r="AF2763" t="s">
        <v>401</v>
      </c>
      <c r="AM2763" t="str">
        <f t="shared" si="316"/>
        <v>Zone_Entry_Exit</v>
      </c>
      <c r="AN2763" t="str">
        <f t="shared" si="317"/>
        <v>Zone_Keepin</v>
      </c>
      <c r="AP2763" t="str">
        <f t="shared" si="318"/>
        <v>Offensive</v>
      </c>
    </row>
    <row r="2764" spans="1:42" x14ac:dyDescent="0.2">
      <c r="A2764">
        <v>1432</v>
      </c>
      <c r="B2764">
        <v>222</v>
      </c>
      <c r="H2764">
        <f t="shared" si="320"/>
        <v>3</v>
      </c>
      <c r="I2764" s="5" t="s">
        <v>897</v>
      </c>
      <c r="J2764" s="5" t="s">
        <v>733</v>
      </c>
      <c r="K2764" s="5" t="s">
        <v>897</v>
      </c>
      <c r="L2764" s="7" t="s">
        <v>734</v>
      </c>
      <c r="Q2764" t="s">
        <v>620</v>
      </c>
      <c r="R2764">
        <v>91</v>
      </c>
      <c r="S2764">
        <v>1</v>
      </c>
      <c r="T2764" t="str">
        <f t="shared" ref="T2764:T2827" si="321">IF(S2764="x","",IF(S2764=1,"e","o"))</f>
        <v>e</v>
      </c>
      <c r="U2764" t="s">
        <v>15</v>
      </c>
      <c r="V2764" t="s">
        <v>697</v>
      </c>
      <c r="X2764" t="s">
        <v>706</v>
      </c>
      <c r="Y2764" t="s">
        <v>712</v>
      </c>
      <c r="AA2764" t="s">
        <v>706</v>
      </c>
      <c r="AF2764" t="s">
        <v>401</v>
      </c>
      <c r="AM2764" t="str">
        <f t="shared" si="316"/>
        <v>Possession</v>
      </c>
      <c r="AN2764" t="str">
        <f t="shared" si="317"/>
        <v>PuckRetrieval</v>
      </c>
      <c r="AP2764" t="str">
        <f t="shared" si="318"/>
        <v>Offensive</v>
      </c>
    </row>
    <row r="2765" spans="1:42" x14ac:dyDescent="0.2">
      <c r="A2765">
        <v>1433</v>
      </c>
      <c r="H2765">
        <f t="shared" si="320"/>
        <v>3</v>
      </c>
      <c r="I2765" s="5" t="s">
        <v>897</v>
      </c>
      <c r="J2765" s="5" t="s">
        <v>734</v>
      </c>
      <c r="Q2765" t="s">
        <v>620</v>
      </c>
      <c r="R2765">
        <v>91</v>
      </c>
      <c r="S2765">
        <v>1</v>
      </c>
      <c r="T2765" t="str">
        <f t="shared" si="321"/>
        <v>e</v>
      </c>
      <c r="U2765" t="s">
        <v>8</v>
      </c>
      <c r="V2765" t="s">
        <v>189</v>
      </c>
      <c r="W2765" t="s">
        <v>70</v>
      </c>
      <c r="X2765" t="s">
        <v>706</v>
      </c>
      <c r="Y2765" t="s">
        <v>838</v>
      </c>
      <c r="AF2765" t="s">
        <v>401</v>
      </c>
      <c r="AJ2765">
        <v>1</v>
      </c>
      <c r="AM2765" t="str">
        <f t="shared" si="316"/>
        <v>Pass</v>
      </c>
      <c r="AN2765" t="str">
        <f t="shared" si="317"/>
        <v>Pass_Completed</v>
      </c>
      <c r="AP2765" t="str">
        <f t="shared" si="318"/>
        <v>Offensive</v>
      </c>
    </row>
    <row r="2766" spans="1:42" x14ac:dyDescent="0.2">
      <c r="A2766">
        <v>1433</v>
      </c>
      <c r="H2766">
        <f t="shared" si="320"/>
        <v>3</v>
      </c>
      <c r="R2766">
        <v>42</v>
      </c>
      <c r="S2766">
        <v>1</v>
      </c>
      <c r="T2766" t="str">
        <f t="shared" si="321"/>
        <v>e</v>
      </c>
      <c r="AM2766" t="str">
        <f t="shared" si="316"/>
        <v>Pass</v>
      </c>
      <c r="AN2766" t="str">
        <f t="shared" si="317"/>
        <v>Pass_Completed</v>
      </c>
      <c r="AP2766" t="str">
        <f t="shared" si="318"/>
        <v>Offensive</v>
      </c>
    </row>
    <row r="2767" spans="1:42" x14ac:dyDescent="0.2">
      <c r="A2767">
        <v>1433</v>
      </c>
      <c r="H2767">
        <f t="shared" si="320"/>
        <v>3</v>
      </c>
      <c r="R2767">
        <v>91</v>
      </c>
      <c r="T2767" t="str">
        <f t="shared" si="321"/>
        <v>o</v>
      </c>
      <c r="Y2767" t="s">
        <v>715</v>
      </c>
      <c r="AJ2767">
        <v>1</v>
      </c>
      <c r="AM2767" t="str">
        <f t="shared" ref="AM2767:AM2830" si="322">IF(U2767&lt;&gt;"",U2767,IF($A2767=$A2766,AM2766,""))</f>
        <v>Pass</v>
      </c>
      <c r="AN2767" t="str">
        <f t="shared" ref="AN2767:AN2830" si="323">IF(V2767&lt;&gt;"",V2767,IF($A2767=$A2766,AN2766,""))</f>
        <v>Pass_Completed</v>
      </c>
      <c r="AP2767" t="str">
        <f t="shared" ref="AP2767:AP2830" si="324">IF(AND(T2767="e",OR(AM2767="Save",AN2767="Turnover_Takeaway",AN2767="Play_Defensive")),"Defensive",IF(AND(T2767="o",OR(AM2767="Save",AN2767="Turnover_Takeaway",AN2767="Play_Defensive")),"Offensive",IF(OR(AM2767="Deadice",AM2767="Stoppage",AM2767="Intermission"),"",IF(T2767="e","Offensive",IF(T2767="o","Defensive","")))))</f>
        <v>Defensive</v>
      </c>
    </row>
    <row r="2768" spans="1:42" x14ac:dyDescent="0.2">
      <c r="A2768">
        <v>1434</v>
      </c>
      <c r="H2768">
        <f t="shared" si="320"/>
        <v>3</v>
      </c>
      <c r="I2768" s="5" t="s">
        <v>897</v>
      </c>
      <c r="J2768" s="5" t="s">
        <v>735</v>
      </c>
      <c r="K2768" s="5" t="s">
        <v>897</v>
      </c>
      <c r="L2768" s="7" t="s">
        <v>741</v>
      </c>
      <c r="Q2768" t="s">
        <v>620</v>
      </c>
      <c r="R2768">
        <v>42</v>
      </c>
      <c r="S2768">
        <v>1</v>
      </c>
      <c r="T2768" t="str">
        <f t="shared" si="321"/>
        <v>e</v>
      </c>
      <c r="U2768" t="s">
        <v>15</v>
      </c>
      <c r="AF2768" t="s">
        <v>401</v>
      </c>
      <c r="AJ2768">
        <v>1</v>
      </c>
      <c r="AM2768" t="str">
        <f t="shared" si="322"/>
        <v>Possession</v>
      </c>
      <c r="AN2768" t="str">
        <f t="shared" si="323"/>
        <v/>
      </c>
      <c r="AP2768" t="str">
        <f t="shared" si="324"/>
        <v>Offensive</v>
      </c>
    </row>
    <row r="2769" spans="1:42" x14ac:dyDescent="0.2">
      <c r="A2769">
        <v>1434</v>
      </c>
      <c r="H2769">
        <f t="shared" si="320"/>
        <v>3</v>
      </c>
      <c r="R2769">
        <v>44</v>
      </c>
      <c r="T2769" t="str">
        <f t="shared" si="321"/>
        <v>o</v>
      </c>
      <c r="AJ2769">
        <v>1</v>
      </c>
      <c r="AM2769" t="str">
        <f t="shared" si="322"/>
        <v>Possession</v>
      </c>
      <c r="AN2769" t="str">
        <f t="shared" si="323"/>
        <v/>
      </c>
      <c r="AP2769" t="str">
        <f t="shared" si="324"/>
        <v>Defensive</v>
      </c>
    </row>
    <row r="2770" spans="1:42" x14ac:dyDescent="0.2">
      <c r="A2770">
        <v>1435</v>
      </c>
      <c r="H2770">
        <f t="shared" si="320"/>
        <v>3</v>
      </c>
      <c r="I2770" s="5" t="s">
        <v>897</v>
      </c>
      <c r="J2770" s="5" t="s">
        <v>741</v>
      </c>
      <c r="K2770" s="5" t="s">
        <v>897</v>
      </c>
      <c r="L2770" s="7" t="s">
        <v>446</v>
      </c>
      <c r="Q2770" t="s">
        <v>620</v>
      </c>
      <c r="R2770">
        <v>42</v>
      </c>
      <c r="S2770">
        <v>1</v>
      </c>
      <c r="T2770" t="str">
        <f t="shared" si="321"/>
        <v>e</v>
      </c>
      <c r="U2770" t="s">
        <v>15</v>
      </c>
      <c r="AF2770" t="s">
        <v>401</v>
      </c>
      <c r="AJ2770">
        <v>1</v>
      </c>
      <c r="AM2770" t="str">
        <f t="shared" si="322"/>
        <v>Possession</v>
      </c>
      <c r="AN2770" t="str">
        <f t="shared" si="323"/>
        <v/>
      </c>
      <c r="AP2770" t="str">
        <f t="shared" si="324"/>
        <v>Offensive</v>
      </c>
    </row>
    <row r="2771" spans="1:42" x14ac:dyDescent="0.2">
      <c r="A2771">
        <v>1435</v>
      </c>
      <c r="H2771">
        <f t="shared" si="320"/>
        <v>3</v>
      </c>
      <c r="R2771">
        <v>89</v>
      </c>
      <c r="T2771" t="str">
        <f t="shared" si="321"/>
        <v>o</v>
      </c>
      <c r="AJ2771">
        <v>1</v>
      </c>
      <c r="AM2771" t="str">
        <f t="shared" si="322"/>
        <v>Possession</v>
      </c>
      <c r="AN2771" t="str">
        <f t="shared" si="323"/>
        <v/>
      </c>
      <c r="AP2771" t="str">
        <f t="shared" si="324"/>
        <v>Defensive</v>
      </c>
    </row>
    <row r="2772" spans="1:42" x14ac:dyDescent="0.2">
      <c r="A2772">
        <v>1435</v>
      </c>
      <c r="H2772">
        <f t="shared" si="320"/>
        <v>3</v>
      </c>
      <c r="R2772">
        <v>91</v>
      </c>
      <c r="T2772" t="str">
        <f t="shared" si="321"/>
        <v>o</v>
      </c>
      <c r="AJ2772">
        <v>1</v>
      </c>
      <c r="AM2772" t="str">
        <f t="shared" si="322"/>
        <v>Possession</v>
      </c>
      <c r="AN2772" t="str">
        <f t="shared" si="323"/>
        <v/>
      </c>
      <c r="AP2772" t="str">
        <f t="shared" si="324"/>
        <v>Defensive</v>
      </c>
    </row>
    <row r="2773" spans="1:42" x14ac:dyDescent="0.2">
      <c r="A2773">
        <v>1436</v>
      </c>
      <c r="H2773">
        <f t="shared" si="320"/>
        <v>3</v>
      </c>
      <c r="I2773" s="5" t="s">
        <v>897</v>
      </c>
      <c r="J2773" s="5" t="s">
        <v>446</v>
      </c>
      <c r="K2773" s="5" t="s">
        <v>816</v>
      </c>
      <c r="L2773" s="7" t="s">
        <v>637</v>
      </c>
      <c r="Q2773" t="s">
        <v>620</v>
      </c>
      <c r="R2773">
        <v>42</v>
      </c>
      <c r="S2773">
        <v>1</v>
      </c>
      <c r="T2773" t="str">
        <f t="shared" si="321"/>
        <v>e</v>
      </c>
      <c r="U2773" t="s">
        <v>15</v>
      </c>
      <c r="AJ2773">
        <v>1</v>
      </c>
      <c r="AM2773" t="str">
        <f t="shared" si="322"/>
        <v>Possession</v>
      </c>
      <c r="AN2773" t="str">
        <f t="shared" si="323"/>
        <v/>
      </c>
      <c r="AP2773" t="str">
        <f t="shared" si="324"/>
        <v>Offensive</v>
      </c>
    </row>
    <row r="2774" spans="1:42" x14ac:dyDescent="0.2">
      <c r="A2774">
        <v>1436</v>
      </c>
      <c r="H2774">
        <f t="shared" si="320"/>
        <v>3</v>
      </c>
      <c r="R2774">
        <v>91</v>
      </c>
      <c r="T2774" t="str">
        <f t="shared" si="321"/>
        <v>o</v>
      </c>
      <c r="AJ2774">
        <v>1</v>
      </c>
      <c r="AM2774" t="str">
        <f t="shared" si="322"/>
        <v>Possession</v>
      </c>
      <c r="AN2774" t="str">
        <f t="shared" si="323"/>
        <v/>
      </c>
      <c r="AP2774" t="str">
        <f t="shared" si="324"/>
        <v>Defensive</v>
      </c>
    </row>
    <row r="2775" spans="1:42" x14ac:dyDescent="0.2">
      <c r="A2775">
        <v>1437</v>
      </c>
      <c r="H2775">
        <f t="shared" si="320"/>
        <v>3</v>
      </c>
      <c r="I2775" s="5" t="s">
        <v>816</v>
      </c>
      <c r="J2775" s="5" t="s">
        <v>637</v>
      </c>
      <c r="Q2775">
        <v>4</v>
      </c>
      <c r="R2775">
        <v>42</v>
      </c>
      <c r="S2775">
        <v>1</v>
      </c>
      <c r="T2775" t="str">
        <f t="shared" si="321"/>
        <v>e</v>
      </c>
      <c r="U2775" t="s">
        <v>8</v>
      </c>
      <c r="V2775" t="s">
        <v>189</v>
      </c>
      <c r="W2775" t="s">
        <v>70</v>
      </c>
      <c r="X2775" t="s">
        <v>706</v>
      </c>
      <c r="Y2775" t="s">
        <v>837</v>
      </c>
      <c r="AF2775" t="s">
        <v>401</v>
      </c>
      <c r="AJ2775">
        <v>1</v>
      </c>
      <c r="AM2775" t="str">
        <f t="shared" si="322"/>
        <v>Pass</v>
      </c>
      <c r="AN2775" t="str">
        <f t="shared" si="323"/>
        <v>Pass_Completed</v>
      </c>
      <c r="AP2775" t="str">
        <f t="shared" si="324"/>
        <v>Offensive</v>
      </c>
    </row>
    <row r="2776" spans="1:42" x14ac:dyDescent="0.2">
      <c r="A2776">
        <v>1437</v>
      </c>
      <c r="H2776">
        <f t="shared" si="320"/>
        <v>3</v>
      </c>
      <c r="R2776">
        <v>61</v>
      </c>
      <c r="S2776">
        <v>1</v>
      </c>
      <c r="T2776" t="str">
        <f t="shared" si="321"/>
        <v>e</v>
      </c>
      <c r="AM2776" t="str">
        <f t="shared" si="322"/>
        <v>Pass</v>
      </c>
      <c r="AN2776" t="str">
        <f t="shared" si="323"/>
        <v>Pass_Completed</v>
      </c>
      <c r="AP2776" t="str">
        <f t="shared" si="324"/>
        <v>Offensive</v>
      </c>
    </row>
    <row r="2777" spans="1:42" x14ac:dyDescent="0.2">
      <c r="A2777">
        <v>1437</v>
      </c>
      <c r="H2777">
        <f t="shared" si="320"/>
        <v>3</v>
      </c>
      <c r="R2777">
        <v>91</v>
      </c>
      <c r="T2777" t="str">
        <f t="shared" si="321"/>
        <v>o</v>
      </c>
      <c r="AJ2777">
        <v>1</v>
      </c>
      <c r="AM2777" t="str">
        <f t="shared" si="322"/>
        <v>Pass</v>
      </c>
      <c r="AN2777" t="str">
        <f t="shared" si="323"/>
        <v>Pass_Completed</v>
      </c>
      <c r="AP2777" t="str">
        <f t="shared" si="324"/>
        <v>Defensive</v>
      </c>
    </row>
    <row r="2778" spans="1:42" x14ac:dyDescent="0.2">
      <c r="A2778">
        <v>1438</v>
      </c>
      <c r="B2778">
        <v>223</v>
      </c>
      <c r="H2778">
        <f t="shared" si="320"/>
        <v>3</v>
      </c>
      <c r="I2778" s="5" t="s">
        <v>816</v>
      </c>
      <c r="J2778" s="5" t="s">
        <v>637</v>
      </c>
      <c r="Q2778" t="s">
        <v>620</v>
      </c>
      <c r="R2778">
        <v>61</v>
      </c>
      <c r="S2778">
        <v>1</v>
      </c>
      <c r="T2778" t="str">
        <f t="shared" si="321"/>
        <v>e</v>
      </c>
      <c r="U2778" t="s">
        <v>7</v>
      </c>
      <c r="V2778" t="s">
        <v>261</v>
      </c>
      <c r="AF2778" t="s">
        <v>401</v>
      </c>
      <c r="AM2778" t="str">
        <f t="shared" si="322"/>
        <v>Shot</v>
      </c>
      <c r="AN2778" t="str">
        <f t="shared" si="323"/>
        <v>Shot_Goal</v>
      </c>
      <c r="AP2778" t="str">
        <f t="shared" si="324"/>
        <v>Offensive</v>
      </c>
    </row>
    <row r="2779" spans="1:42" x14ac:dyDescent="0.2">
      <c r="A2779">
        <v>1438</v>
      </c>
      <c r="B2779">
        <v>223</v>
      </c>
      <c r="H2779">
        <f t="shared" si="320"/>
        <v>3</v>
      </c>
      <c r="R2779">
        <v>30</v>
      </c>
      <c r="T2779" t="str">
        <f t="shared" si="321"/>
        <v>o</v>
      </c>
      <c r="AM2779" t="str">
        <f t="shared" si="322"/>
        <v>Shot</v>
      </c>
      <c r="AN2779" t="str">
        <f t="shared" si="323"/>
        <v>Shot_Goal</v>
      </c>
      <c r="AP2779" t="str">
        <f t="shared" si="324"/>
        <v>Defensive</v>
      </c>
    </row>
    <row r="2780" spans="1:42" x14ac:dyDescent="0.2">
      <c r="A2780">
        <v>1439</v>
      </c>
      <c r="B2780">
        <v>223</v>
      </c>
      <c r="H2780">
        <f t="shared" si="320"/>
        <v>3</v>
      </c>
      <c r="I2780" s="5" t="s">
        <v>816</v>
      </c>
      <c r="J2780" s="5" t="s">
        <v>637</v>
      </c>
      <c r="Q2780" t="s">
        <v>620</v>
      </c>
      <c r="R2780">
        <v>61</v>
      </c>
      <c r="S2780">
        <v>1</v>
      </c>
      <c r="T2780" t="str">
        <f t="shared" si="321"/>
        <v>e</v>
      </c>
      <c r="U2780" t="s">
        <v>9</v>
      </c>
      <c r="V2780" t="s">
        <v>230</v>
      </c>
      <c r="W2780" t="s">
        <v>233</v>
      </c>
      <c r="AF2780" t="s">
        <v>401</v>
      </c>
      <c r="AM2780" t="str">
        <f t="shared" si="322"/>
        <v>Goal</v>
      </c>
      <c r="AN2780" t="str">
        <f t="shared" si="323"/>
        <v>Goal_Scored</v>
      </c>
      <c r="AP2780" t="str">
        <f t="shared" si="324"/>
        <v>Offensive</v>
      </c>
    </row>
    <row r="2781" spans="1:42" x14ac:dyDescent="0.2">
      <c r="A2781">
        <v>1439</v>
      </c>
      <c r="B2781">
        <v>223</v>
      </c>
      <c r="H2781">
        <f t="shared" si="320"/>
        <v>3</v>
      </c>
      <c r="R2781">
        <v>30</v>
      </c>
      <c r="T2781" t="str">
        <f t="shared" si="321"/>
        <v>o</v>
      </c>
      <c r="AM2781" t="str">
        <f t="shared" si="322"/>
        <v>Goal</v>
      </c>
      <c r="AN2781" t="str">
        <f t="shared" si="323"/>
        <v>Goal_Scored</v>
      </c>
      <c r="AP2781" t="str">
        <f t="shared" si="324"/>
        <v>Defensive</v>
      </c>
    </row>
    <row r="2782" spans="1:42" x14ac:dyDescent="0.2">
      <c r="A2782">
        <v>1440</v>
      </c>
      <c r="B2782">
        <v>223</v>
      </c>
      <c r="H2782">
        <f t="shared" si="320"/>
        <v>3</v>
      </c>
      <c r="I2782" s="5" t="s">
        <v>816</v>
      </c>
      <c r="J2782" s="5" t="s">
        <v>637</v>
      </c>
      <c r="Q2782" t="s">
        <v>620</v>
      </c>
      <c r="R2782">
        <v>61</v>
      </c>
      <c r="S2782">
        <v>1</v>
      </c>
      <c r="T2782" t="str">
        <f t="shared" si="321"/>
        <v>e</v>
      </c>
      <c r="U2782" t="s">
        <v>13</v>
      </c>
      <c r="V2782" t="s">
        <v>204</v>
      </c>
      <c r="W2782" t="s">
        <v>42</v>
      </c>
      <c r="AF2782" t="s">
        <v>401</v>
      </c>
      <c r="AJ2782">
        <v>1</v>
      </c>
      <c r="AM2782" t="str">
        <f t="shared" si="322"/>
        <v>Stoppage</v>
      </c>
      <c r="AN2782" t="str">
        <f t="shared" si="323"/>
        <v>Stoppage_Play</v>
      </c>
      <c r="AP2782" t="str">
        <f t="shared" si="324"/>
        <v/>
      </c>
    </row>
    <row r="2783" spans="1:42" x14ac:dyDescent="0.2">
      <c r="A2783">
        <v>1441</v>
      </c>
      <c r="B2783">
        <v>223</v>
      </c>
      <c r="H2783">
        <f t="shared" si="320"/>
        <v>3</v>
      </c>
      <c r="I2783" s="5" t="s">
        <v>816</v>
      </c>
      <c r="J2783" s="5" t="s">
        <v>637</v>
      </c>
      <c r="K2783" s="5" t="s">
        <v>816</v>
      </c>
      <c r="L2783" s="7" t="s">
        <v>791</v>
      </c>
      <c r="Q2783" t="s">
        <v>620</v>
      </c>
      <c r="R2783">
        <v>61</v>
      </c>
      <c r="S2783">
        <v>1</v>
      </c>
      <c r="T2783" t="str">
        <f t="shared" si="321"/>
        <v>e</v>
      </c>
      <c r="U2783" t="s">
        <v>262</v>
      </c>
      <c r="AF2783" t="s">
        <v>401</v>
      </c>
      <c r="AJ2783">
        <v>1</v>
      </c>
      <c r="AM2783" t="str">
        <f t="shared" si="322"/>
        <v>DeadIce</v>
      </c>
      <c r="AN2783" t="str">
        <f t="shared" si="323"/>
        <v/>
      </c>
      <c r="AP2783" t="str">
        <f t="shared" si="324"/>
        <v/>
      </c>
    </row>
    <row r="2784" spans="1:42" x14ac:dyDescent="0.2">
      <c r="A2784">
        <v>1442</v>
      </c>
      <c r="H2784">
        <f t="shared" si="320"/>
        <v>3</v>
      </c>
      <c r="I2784" s="5" t="s">
        <v>816</v>
      </c>
      <c r="J2784" s="5" t="s">
        <v>791</v>
      </c>
      <c r="Q2784" t="s">
        <v>619</v>
      </c>
      <c r="R2784">
        <v>91</v>
      </c>
      <c r="S2784">
        <v>1</v>
      </c>
      <c r="T2784" t="str">
        <f t="shared" si="321"/>
        <v>e</v>
      </c>
      <c r="U2784" t="s">
        <v>6</v>
      </c>
      <c r="V2784" t="s">
        <v>207</v>
      </c>
      <c r="AF2784" t="s">
        <v>635</v>
      </c>
      <c r="AM2784" t="str">
        <f t="shared" si="322"/>
        <v>Faceoff</v>
      </c>
      <c r="AN2784" t="str">
        <f t="shared" si="323"/>
        <v>Faceoff_AfterGoal</v>
      </c>
      <c r="AP2784" t="str">
        <f t="shared" si="324"/>
        <v>Offensive</v>
      </c>
    </row>
    <row r="2785" spans="1:42" x14ac:dyDescent="0.2">
      <c r="A2785">
        <v>1442</v>
      </c>
      <c r="H2785">
        <f t="shared" si="320"/>
        <v>3</v>
      </c>
      <c r="R2785">
        <v>42</v>
      </c>
      <c r="T2785" t="str">
        <f t="shared" si="321"/>
        <v>o</v>
      </c>
      <c r="AM2785" t="str">
        <f t="shared" si="322"/>
        <v>Faceoff</v>
      </c>
      <c r="AN2785" t="str">
        <f t="shared" si="323"/>
        <v>Faceoff_AfterGoal</v>
      </c>
      <c r="AP2785" t="str">
        <f t="shared" si="324"/>
        <v>Defensive</v>
      </c>
    </row>
    <row r="2786" spans="1:42" x14ac:dyDescent="0.2">
      <c r="A2786">
        <v>1443</v>
      </c>
      <c r="H2786">
        <f t="shared" si="320"/>
        <v>3</v>
      </c>
      <c r="I2786" s="5" t="s">
        <v>816</v>
      </c>
      <c r="J2786" s="5" t="s">
        <v>724</v>
      </c>
      <c r="Q2786" t="s">
        <v>619</v>
      </c>
      <c r="R2786">
        <v>80</v>
      </c>
      <c r="S2786">
        <v>1</v>
      </c>
      <c r="T2786" t="str">
        <f t="shared" si="321"/>
        <v>e</v>
      </c>
      <c r="U2786" t="s">
        <v>15</v>
      </c>
      <c r="V2786" t="s">
        <v>698</v>
      </c>
      <c r="X2786" t="s">
        <v>705</v>
      </c>
      <c r="Y2786" t="s">
        <v>907</v>
      </c>
      <c r="AA2786" t="s">
        <v>705</v>
      </c>
      <c r="AF2786" t="s">
        <v>635</v>
      </c>
      <c r="AM2786" t="str">
        <f t="shared" si="322"/>
        <v>Possession</v>
      </c>
      <c r="AN2786" t="str">
        <f t="shared" si="323"/>
        <v>PuckRecovery</v>
      </c>
      <c r="AP2786" t="str">
        <f t="shared" si="324"/>
        <v>Offensive</v>
      </c>
    </row>
    <row r="2787" spans="1:42" x14ac:dyDescent="0.2">
      <c r="A2787">
        <v>1444</v>
      </c>
      <c r="H2787">
        <f t="shared" si="320"/>
        <v>3</v>
      </c>
      <c r="I2787" s="5" t="s">
        <v>816</v>
      </c>
      <c r="J2787" s="5" t="s">
        <v>812</v>
      </c>
      <c r="Q2787" t="s">
        <v>619</v>
      </c>
      <c r="R2787">
        <v>80</v>
      </c>
      <c r="S2787">
        <v>1</v>
      </c>
      <c r="T2787" t="str">
        <f t="shared" si="321"/>
        <v>e</v>
      </c>
      <c r="U2787" t="s">
        <v>257</v>
      </c>
      <c r="V2787" t="s">
        <v>191</v>
      </c>
      <c r="W2787" t="s">
        <v>89</v>
      </c>
      <c r="X2787" t="s">
        <v>705</v>
      </c>
      <c r="AF2787" t="s">
        <v>635</v>
      </c>
      <c r="AM2787" t="str">
        <f t="shared" si="322"/>
        <v>Zone_Entry_Exit</v>
      </c>
      <c r="AN2787" t="str">
        <f t="shared" si="323"/>
        <v>Zone_Entry</v>
      </c>
      <c r="AP2787" t="str">
        <f t="shared" si="324"/>
        <v>Offensive</v>
      </c>
    </row>
    <row r="2788" spans="1:42" x14ac:dyDescent="0.2">
      <c r="A2788">
        <v>1445</v>
      </c>
      <c r="H2788">
        <f t="shared" si="320"/>
        <v>3</v>
      </c>
      <c r="I2788" s="5" t="s">
        <v>816</v>
      </c>
      <c r="J2788" s="5" t="s">
        <v>759</v>
      </c>
      <c r="Q2788" t="s">
        <v>619</v>
      </c>
      <c r="R2788">
        <v>91</v>
      </c>
      <c r="S2788">
        <v>1</v>
      </c>
      <c r="T2788" t="str">
        <f t="shared" si="321"/>
        <v>e</v>
      </c>
      <c r="U2788" t="s">
        <v>15</v>
      </c>
      <c r="V2788" t="s">
        <v>698</v>
      </c>
      <c r="X2788" t="s">
        <v>705</v>
      </c>
      <c r="Y2788" t="s">
        <v>858</v>
      </c>
      <c r="AA2788" t="s">
        <v>705</v>
      </c>
      <c r="AF2788" t="s">
        <v>401</v>
      </c>
      <c r="AJ2788">
        <v>1</v>
      </c>
      <c r="AM2788" t="str">
        <f t="shared" si="322"/>
        <v>Possession</v>
      </c>
      <c r="AN2788" t="str">
        <f t="shared" si="323"/>
        <v>PuckRecovery</v>
      </c>
      <c r="AP2788" t="str">
        <f t="shared" si="324"/>
        <v>Offensive</v>
      </c>
    </row>
    <row r="2789" spans="1:42" x14ac:dyDescent="0.2">
      <c r="A2789">
        <v>1445</v>
      </c>
      <c r="H2789">
        <f t="shared" si="320"/>
        <v>3</v>
      </c>
      <c r="R2789">
        <v>84</v>
      </c>
      <c r="T2789" t="str">
        <f t="shared" si="321"/>
        <v>o</v>
      </c>
      <c r="Y2789" t="s">
        <v>845</v>
      </c>
      <c r="AA2789" t="s">
        <v>705</v>
      </c>
      <c r="AJ2789">
        <v>1</v>
      </c>
      <c r="AM2789" t="str">
        <f t="shared" si="322"/>
        <v>Possession</v>
      </c>
      <c r="AN2789" t="str">
        <f t="shared" si="323"/>
        <v>PuckRecovery</v>
      </c>
      <c r="AP2789" t="str">
        <f t="shared" si="324"/>
        <v>Defensive</v>
      </c>
    </row>
    <row r="2790" spans="1:42" x14ac:dyDescent="0.2">
      <c r="A2790">
        <v>1446</v>
      </c>
      <c r="H2790">
        <f t="shared" si="320"/>
        <v>3</v>
      </c>
      <c r="I2790" s="5" t="s">
        <v>816</v>
      </c>
      <c r="J2790" s="5" t="s">
        <v>727</v>
      </c>
      <c r="Q2790" t="s">
        <v>619</v>
      </c>
      <c r="R2790">
        <v>91</v>
      </c>
      <c r="S2790">
        <v>1</v>
      </c>
      <c r="T2790" t="str">
        <f t="shared" si="321"/>
        <v>e</v>
      </c>
      <c r="U2790" t="s">
        <v>10</v>
      </c>
      <c r="V2790" t="s">
        <v>190</v>
      </c>
      <c r="W2790" t="s">
        <v>424</v>
      </c>
      <c r="X2790" t="s">
        <v>705</v>
      </c>
      <c r="Y2790" t="s">
        <v>680</v>
      </c>
      <c r="AA2790" t="s">
        <v>705</v>
      </c>
      <c r="AF2790" t="s">
        <v>401</v>
      </c>
      <c r="AM2790" t="str">
        <f t="shared" si="322"/>
        <v>Turnover</v>
      </c>
      <c r="AN2790" t="str">
        <f t="shared" si="323"/>
        <v>Turnover_Giveaway</v>
      </c>
      <c r="AP2790" t="str">
        <f t="shared" si="324"/>
        <v>Offensive</v>
      </c>
    </row>
    <row r="2791" spans="1:42" x14ac:dyDescent="0.2">
      <c r="A2791">
        <v>1447</v>
      </c>
      <c r="H2791">
        <f t="shared" si="320"/>
        <v>3</v>
      </c>
      <c r="I2791" s="5" t="s">
        <v>816</v>
      </c>
      <c r="J2791" s="5" t="s">
        <v>760</v>
      </c>
      <c r="K2791" s="5" t="s">
        <v>816</v>
      </c>
      <c r="L2791" s="7" t="s">
        <v>621</v>
      </c>
      <c r="Q2791" t="s">
        <v>620</v>
      </c>
      <c r="R2791">
        <v>91</v>
      </c>
      <c r="S2791">
        <v>1</v>
      </c>
      <c r="T2791" t="str">
        <f t="shared" si="321"/>
        <v>e</v>
      </c>
      <c r="U2791" t="s">
        <v>15</v>
      </c>
      <c r="V2791" t="s">
        <v>697</v>
      </c>
      <c r="X2791" t="s">
        <v>706</v>
      </c>
      <c r="Y2791" t="s">
        <v>720</v>
      </c>
      <c r="AA2791" t="s">
        <v>706</v>
      </c>
      <c r="AF2791" t="s">
        <v>623</v>
      </c>
      <c r="AJ2791">
        <v>1</v>
      </c>
      <c r="AM2791" t="str">
        <f t="shared" si="322"/>
        <v>Possession</v>
      </c>
      <c r="AN2791" t="str">
        <f t="shared" si="323"/>
        <v>PuckRetrieval</v>
      </c>
      <c r="AP2791" t="str">
        <f t="shared" si="324"/>
        <v>Offensive</v>
      </c>
    </row>
    <row r="2792" spans="1:42" x14ac:dyDescent="0.2">
      <c r="A2792">
        <v>1447</v>
      </c>
      <c r="H2792">
        <f t="shared" si="320"/>
        <v>3</v>
      </c>
      <c r="R2792">
        <v>80</v>
      </c>
      <c r="T2792" t="str">
        <f t="shared" si="321"/>
        <v>o</v>
      </c>
      <c r="Y2792" t="s">
        <v>761</v>
      </c>
      <c r="AA2792" t="s">
        <v>705</v>
      </c>
      <c r="AJ2792">
        <v>1</v>
      </c>
      <c r="AM2792" t="str">
        <f t="shared" si="322"/>
        <v>Possession</v>
      </c>
      <c r="AN2792" t="str">
        <f t="shared" si="323"/>
        <v>PuckRetrieval</v>
      </c>
      <c r="AP2792" t="str">
        <f t="shared" si="324"/>
        <v>Defensive</v>
      </c>
    </row>
    <row r="2793" spans="1:42" x14ac:dyDescent="0.2">
      <c r="A2793">
        <v>1448</v>
      </c>
      <c r="H2793">
        <f t="shared" si="320"/>
        <v>3</v>
      </c>
      <c r="I2793" s="5" t="s">
        <v>816</v>
      </c>
      <c r="J2793" s="5" t="s">
        <v>621</v>
      </c>
      <c r="K2793" s="5" t="s">
        <v>816</v>
      </c>
      <c r="L2793" s="7" t="s">
        <v>448</v>
      </c>
      <c r="Q2793" t="s">
        <v>620</v>
      </c>
      <c r="R2793">
        <v>91</v>
      </c>
      <c r="S2793">
        <v>1</v>
      </c>
      <c r="T2793" t="str">
        <f t="shared" si="321"/>
        <v>e</v>
      </c>
      <c r="U2793" t="s">
        <v>15</v>
      </c>
      <c r="V2793" t="s">
        <v>684</v>
      </c>
      <c r="AF2793" t="s">
        <v>623</v>
      </c>
      <c r="AM2793" t="str">
        <f t="shared" si="322"/>
        <v>Possession</v>
      </c>
      <c r="AN2793" t="str">
        <f t="shared" si="323"/>
        <v>Regroup</v>
      </c>
      <c r="AP2793" t="str">
        <f t="shared" si="324"/>
        <v>Offensive</v>
      </c>
    </row>
    <row r="2794" spans="1:42" x14ac:dyDescent="0.2">
      <c r="A2794">
        <v>1449</v>
      </c>
      <c r="H2794">
        <f t="shared" si="320"/>
        <v>3</v>
      </c>
      <c r="I2794" s="5" t="s">
        <v>816</v>
      </c>
      <c r="J2794" s="5" t="s">
        <v>448</v>
      </c>
      <c r="K2794" s="5" t="s">
        <v>816</v>
      </c>
      <c r="L2794" s="7" t="s">
        <v>733</v>
      </c>
      <c r="Q2794" t="s">
        <v>620</v>
      </c>
      <c r="R2794">
        <v>91</v>
      </c>
      <c r="S2794">
        <v>1</v>
      </c>
      <c r="T2794" t="str">
        <f t="shared" si="321"/>
        <v>e</v>
      </c>
      <c r="U2794" t="s">
        <v>15</v>
      </c>
      <c r="AF2794" t="s">
        <v>623</v>
      </c>
      <c r="AM2794" t="str">
        <f t="shared" si="322"/>
        <v>Possession</v>
      </c>
      <c r="AN2794" t="str">
        <f t="shared" si="323"/>
        <v/>
      </c>
      <c r="AP2794" t="str">
        <f t="shared" si="324"/>
        <v>Offensive</v>
      </c>
    </row>
    <row r="2795" spans="1:42" x14ac:dyDescent="0.2">
      <c r="A2795">
        <v>1450</v>
      </c>
      <c r="H2795">
        <f t="shared" si="320"/>
        <v>3</v>
      </c>
      <c r="I2795" s="5" t="s">
        <v>816</v>
      </c>
      <c r="J2795" s="5" t="s">
        <v>733</v>
      </c>
      <c r="K2795" s="5" t="s">
        <v>816</v>
      </c>
      <c r="L2795" s="7" t="s">
        <v>742</v>
      </c>
      <c r="Q2795" t="s">
        <v>620</v>
      </c>
      <c r="R2795">
        <v>91</v>
      </c>
      <c r="S2795">
        <v>1</v>
      </c>
      <c r="T2795" t="str">
        <f t="shared" si="321"/>
        <v>e</v>
      </c>
      <c r="U2795" t="s">
        <v>257</v>
      </c>
      <c r="V2795" t="s">
        <v>201</v>
      </c>
      <c r="W2795" t="s">
        <v>90</v>
      </c>
      <c r="X2795" t="s">
        <v>706</v>
      </c>
      <c r="AF2795" t="s">
        <v>623</v>
      </c>
      <c r="AM2795" t="str">
        <f t="shared" si="322"/>
        <v>Zone_Entry_Exit</v>
      </c>
      <c r="AN2795" t="str">
        <f t="shared" si="323"/>
        <v>Zone_Exit</v>
      </c>
      <c r="AP2795" t="str">
        <f t="shared" si="324"/>
        <v>Offensive</v>
      </c>
    </row>
    <row r="2796" spans="1:42" x14ac:dyDescent="0.2">
      <c r="A2796">
        <v>1451</v>
      </c>
      <c r="H2796">
        <f t="shared" si="320"/>
        <v>3</v>
      </c>
      <c r="I2796" s="5" t="s">
        <v>816</v>
      </c>
      <c r="J2796" s="5" t="s">
        <v>742</v>
      </c>
      <c r="K2796" s="5" t="s">
        <v>816</v>
      </c>
      <c r="L2796" s="7" t="s">
        <v>735</v>
      </c>
      <c r="Q2796" t="s">
        <v>620</v>
      </c>
      <c r="R2796">
        <v>91</v>
      </c>
      <c r="S2796">
        <v>1</v>
      </c>
      <c r="T2796" t="str">
        <f t="shared" si="321"/>
        <v>e</v>
      </c>
      <c r="U2796" t="s">
        <v>15</v>
      </c>
      <c r="Y2796" t="s">
        <v>767</v>
      </c>
      <c r="AA2796" t="s">
        <v>706</v>
      </c>
      <c r="AF2796" t="s">
        <v>635</v>
      </c>
      <c r="AJ2796">
        <v>1</v>
      </c>
      <c r="AM2796" t="str">
        <f t="shared" si="322"/>
        <v>Possession</v>
      </c>
      <c r="AN2796" t="str">
        <f t="shared" si="323"/>
        <v/>
      </c>
      <c r="AP2796" t="str">
        <f t="shared" si="324"/>
        <v>Offensive</v>
      </c>
    </row>
    <row r="2797" spans="1:42" x14ac:dyDescent="0.2">
      <c r="A2797">
        <v>1451</v>
      </c>
      <c r="H2797">
        <f t="shared" si="320"/>
        <v>3</v>
      </c>
      <c r="R2797">
        <v>89</v>
      </c>
      <c r="T2797" t="str">
        <f t="shared" si="321"/>
        <v>o</v>
      </c>
      <c r="Y2797" t="s">
        <v>764</v>
      </c>
      <c r="AA2797" t="s">
        <v>705</v>
      </c>
      <c r="AF2797" t="s">
        <v>635</v>
      </c>
      <c r="AJ2797">
        <v>1</v>
      </c>
      <c r="AM2797" t="str">
        <f t="shared" si="322"/>
        <v>Possession</v>
      </c>
      <c r="AN2797" t="str">
        <f t="shared" si="323"/>
        <v/>
      </c>
      <c r="AP2797" t="str">
        <f t="shared" si="324"/>
        <v>Defensive</v>
      </c>
    </row>
    <row r="2798" spans="1:42" x14ac:dyDescent="0.2">
      <c r="A2798">
        <v>1452</v>
      </c>
      <c r="H2798">
        <f t="shared" si="320"/>
        <v>3</v>
      </c>
      <c r="I2798" s="5" t="s">
        <v>816</v>
      </c>
      <c r="J2798" s="5" t="s">
        <v>735</v>
      </c>
      <c r="K2798" s="5" t="s">
        <v>816</v>
      </c>
      <c r="L2798" s="7" t="s">
        <v>738</v>
      </c>
      <c r="Q2798" t="s">
        <v>620</v>
      </c>
      <c r="R2798">
        <v>91</v>
      </c>
      <c r="S2798">
        <v>1</v>
      </c>
      <c r="T2798" t="str">
        <f t="shared" si="321"/>
        <v>e</v>
      </c>
      <c r="U2798" t="s">
        <v>257</v>
      </c>
      <c r="V2798" t="s">
        <v>191</v>
      </c>
      <c r="W2798" t="s">
        <v>87</v>
      </c>
      <c r="Y2798" t="s">
        <v>728</v>
      </c>
      <c r="AF2798" t="s">
        <v>401</v>
      </c>
      <c r="AJ2798">
        <v>1</v>
      </c>
      <c r="AM2798" t="str">
        <f t="shared" si="322"/>
        <v>Zone_Entry_Exit</v>
      </c>
      <c r="AN2798" t="str">
        <f t="shared" si="323"/>
        <v>Zone_Entry</v>
      </c>
      <c r="AP2798" t="str">
        <f t="shared" si="324"/>
        <v>Offensive</v>
      </c>
    </row>
    <row r="2799" spans="1:42" x14ac:dyDescent="0.2">
      <c r="A2799">
        <v>1452</v>
      </c>
      <c r="H2799">
        <f t="shared" si="320"/>
        <v>3</v>
      </c>
      <c r="R2799">
        <v>91</v>
      </c>
      <c r="T2799" t="str">
        <f t="shared" si="321"/>
        <v>o</v>
      </c>
      <c r="Y2799" t="s">
        <v>715</v>
      </c>
      <c r="AJ2799">
        <v>1</v>
      </c>
      <c r="AM2799" t="str">
        <f t="shared" si="322"/>
        <v>Zone_Entry_Exit</v>
      </c>
      <c r="AN2799" t="str">
        <f t="shared" si="323"/>
        <v>Zone_Entry</v>
      </c>
      <c r="AP2799" t="str">
        <f t="shared" si="324"/>
        <v>Defensive</v>
      </c>
    </row>
    <row r="2800" spans="1:42" x14ac:dyDescent="0.2">
      <c r="A2800">
        <v>1452</v>
      </c>
      <c r="H2800">
        <f t="shared" si="320"/>
        <v>3</v>
      </c>
      <c r="R2800">
        <v>44</v>
      </c>
      <c r="T2800" t="str">
        <f t="shared" si="321"/>
        <v>o</v>
      </c>
      <c r="Y2800" t="s">
        <v>893</v>
      </c>
      <c r="AM2800" t="str">
        <f t="shared" si="322"/>
        <v>Zone_Entry_Exit</v>
      </c>
      <c r="AN2800" t="str">
        <f t="shared" si="323"/>
        <v>Zone_Entry</v>
      </c>
      <c r="AP2800" t="str">
        <f t="shared" si="324"/>
        <v>Defensive</v>
      </c>
    </row>
    <row r="2801" spans="1:42" x14ac:dyDescent="0.2">
      <c r="A2801">
        <v>1453</v>
      </c>
      <c r="H2801">
        <f t="shared" si="320"/>
        <v>3</v>
      </c>
      <c r="I2801" s="5" t="s">
        <v>816</v>
      </c>
      <c r="J2801" s="5" t="s">
        <v>738</v>
      </c>
      <c r="Q2801" t="s">
        <v>620</v>
      </c>
      <c r="R2801">
        <v>91</v>
      </c>
      <c r="S2801">
        <v>1</v>
      </c>
      <c r="T2801" t="str">
        <f t="shared" si="321"/>
        <v>e</v>
      </c>
      <c r="U2801" t="s">
        <v>8</v>
      </c>
      <c r="V2801" t="s">
        <v>209</v>
      </c>
      <c r="W2801" t="s">
        <v>69</v>
      </c>
      <c r="X2801" t="s">
        <v>705</v>
      </c>
      <c r="AF2801" t="s">
        <v>401</v>
      </c>
      <c r="AM2801" t="str">
        <f t="shared" si="322"/>
        <v>Pass</v>
      </c>
      <c r="AN2801" t="str">
        <f t="shared" si="323"/>
        <v>Pass_Deflected</v>
      </c>
      <c r="AP2801" t="str">
        <f t="shared" si="324"/>
        <v>Offensive</v>
      </c>
    </row>
    <row r="2802" spans="1:42" x14ac:dyDescent="0.2">
      <c r="A2802">
        <v>1453</v>
      </c>
      <c r="H2802">
        <f t="shared" si="320"/>
        <v>3</v>
      </c>
      <c r="R2802">
        <v>42</v>
      </c>
      <c r="S2802">
        <v>1</v>
      </c>
      <c r="T2802" t="str">
        <f t="shared" si="321"/>
        <v>e</v>
      </c>
      <c r="AM2802" t="str">
        <f t="shared" si="322"/>
        <v>Pass</v>
      </c>
      <c r="AN2802" t="str">
        <f t="shared" si="323"/>
        <v>Pass_Deflected</v>
      </c>
      <c r="AP2802" t="str">
        <f t="shared" si="324"/>
        <v>Offensive</v>
      </c>
    </row>
    <row r="2803" spans="1:42" x14ac:dyDescent="0.2">
      <c r="A2803">
        <v>1453</v>
      </c>
      <c r="H2803">
        <f t="shared" si="320"/>
        <v>3</v>
      </c>
      <c r="R2803">
        <v>44</v>
      </c>
      <c r="T2803" t="str">
        <f t="shared" si="321"/>
        <v>o</v>
      </c>
      <c r="Y2803" t="s">
        <v>916</v>
      </c>
      <c r="AA2803" t="s">
        <v>706</v>
      </c>
      <c r="AM2803" t="str">
        <f t="shared" si="322"/>
        <v>Pass</v>
      </c>
      <c r="AN2803" t="str">
        <f t="shared" si="323"/>
        <v>Pass_Deflected</v>
      </c>
      <c r="AP2803" t="str">
        <f t="shared" si="324"/>
        <v>Defensive</v>
      </c>
    </row>
    <row r="2804" spans="1:42" x14ac:dyDescent="0.2">
      <c r="A2804">
        <v>1454</v>
      </c>
      <c r="H2804">
        <f t="shared" si="320"/>
        <v>3</v>
      </c>
      <c r="I2804" s="5" t="s">
        <v>816</v>
      </c>
      <c r="J2804" s="5" t="s">
        <v>738</v>
      </c>
      <c r="K2804" s="5" t="s">
        <v>816</v>
      </c>
      <c r="L2804" s="7" t="s">
        <v>741</v>
      </c>
      <c r="Q2804" t="s">
        <v>620</v>
      </c>
      <c r="R2804">
        <v>42</v>
      </c>
      <c r="S2804">
        <v>1</v>
      </c>
      <c r="T2804" t="str">
        <f t="shared" si="321"/>
        <v>e</v>
      </c>
      <c r="U2804" t="s">
        <v>15</v>
      </c>
      <c r="V2804" t="s">
        <v>698</v>
      </c>
      <c r="X2804" t="s">
        <v>706</v>
      </c>
      <c r="Y2804" t="s">
        <v>756</v>
      </c>
      <c r="AA2804" t="s">
        <v>706</v>
      </c>
      <c r="AF2804" t="s">
        <v>401</v>
      </c>
      <c r="AM2804" t="str">
        <f t="shared" si="322"/>
        <v>Possession</v>
      </c>
      <c r="AN2804" t="str">
        <f t="shared" si="323"/>
        <v>PuckRecovery</v>
      </c>
      <c r="AP2804" t="str">
        <f t="shared" si="324"/>
        <v>Offensive</v>
      </c>
    </row>
    <row r="2805" spans="1:42" x14ac:dyDescent="0.2">
      <c r="A2805">
        <v>1455</v>
      </c>
      <c r="H2805">
        <f t="shared" si="320"/>
        <v>3</v>
      </c>
      <c r="I2805" s="5" t="s">
        <v>816</v>
      </c>
      <c r="J2805" s="5" t="s">
        <v>741</v>
      </c>
      <c r="K2805" s="5" t="s">
        <v>816</v>
      </c>
      <c r="L2805" s="7" t="s">
        <v>786</v>
      </c>
      <c r="Q2805" t="s">
        <v>620</v>
      </c>
      <c r="R2805">
        <v>42</v>
      </c>
      <c r="S2805">
        <v>1</v>
      </c>
      <c r="T2805" t="str">
        <f t="shared" si="321"/>
        <v>e</v>
      </c>
      <c r="U2805" t="s">
        <v>15</v>
      </c>
      <c r="Y2805" t="s">
        <v>767</v>
      </c>
      <c r="AA2805" t="s">
        <v>706</v>
      </c>
      <c r="AF2805" t="s">
        <v>401</v>
      </c>
      <c r="AJ2805">
        <v>1</v>
      </c>
      <c r="AM2805" t="str">
        <f t="shared" si="322"/>
        <v>Possession</v>
      </c>
      <c r="AN2805" t="str">
        <f t="shared" si="323"/>
        <v/>
      </c>
      <c r="AP2805" t="str">
        <f t="shared" si="324"/>
        <v>Offensive</v>
      </c>
    </row>
    <row r="2806" spans="1:42" x14ac:dyDescent="0.2">
      <c r="A2806">
        <v>1455</v>
      </c>
      <c r="H2806">
        <f t="shared" si="320"/>
        <v>3</v>
      </c>
      <c r="R2806">
        <v>91</v>
      </c>
      <c r="T2806" t="str">
        <f t="shared" si="321"/>
        <v>o</v>
      </c>
      <c r="Y2806" t="s">
        <v>764</v>
      </c>
      <c r="AA2806" t="s">
        <v>705</v>
      </c>
      <c r="AJ2806">
        <v>1</v>
      </c>
      <c r="AM2806" t="str">
        <f t="shared" si="322"/>
        <v>Possession</v>
      </c>
      <c r="AN2806" t="str">
        <f t="shared" si="323"/>
        <v/>
      </c>
      <c r="AP2806" t="str">
        <f t="shared" si="324"/>
        <v>Defensive</v>
      </c>
    </row>
    <row r="2807" spans="1:42" x14ac:dyDescent="0.2">
      <c r="A2807">
        <v>1456</v>
      </c>
      <c r="B2807">
        <v>224</v>
      </c>
      <c r="H2807">
        <f t="shared" si="320"/>
        <v>3</v>
      </c>
      <c r="I2807" s="5" t="s">
        <v>816</v>
      </c>
      <c r="J2807" s="5" t="s">
        <v>786</v>
      </c>
      <c r="Q2807" t="s">
        <v>620</v>
      </c>
      <c r="R2807">
        <v>42</v>
      </c>
      <c r="S2807">
        <v>1</v>
      </c>
      <c r="T2807" t="str">
        <f t="shared" si="321"/>
        <v>e</v>
      </c>
      <c r="U2807" t="s">
        <v>7</v>
      </c>
      <c r="V2807" t="s">
        <v>222</v>
      </c>
      <c r="W2807" t="s">
        <v>53</v>
      </c>
      <c r="X2807" t="s">
        <v>706</v>
      </c>
      <c r="AF2807" t="s">
        <v>401</v>
      </c>
      <c r="AM2807" t="str">
        <f t="shared" si="322"/>
        <v>Shot</v>
      </c>
      <c r="AN2807" t="str">
        <f t="shared" si="323"/>
        <v>Shot_OnNetSaved</v>
      </c>
      <c r="AP2807" t="str">
        <f t="shared" si="324"/>
        <v>Offensive</v>
      </c>
    </row>
    <row r="2808" spans="1:42" x14ac:dyDescent="0.2">
      <c r="A2808">
        <v>1456</v>
      </c>
      <c r="B2808">
        <v>224</v>
      </c>
      <c r="H2808">
        <f t="shared" si="320"/>
        <v>3</v>
      </c>
      <c r="R2808">
        <v>30</v>
      </c>
      <c r="T2808" t="str">
        <f t="shared" si="321"/>
        <v>o</v>
      </c>
      <c r="AM2808" t="str">
        <f t="shared" si="322"/>
        <v>Shot</v>
      </c>
      <c r="AN2808" t="str">
        <f t="shared" si="323"/>
        <v>Shot_OnNetSaved</v>
      </c>
      <c r="AP2808" t="str">
        <f t="shared" si="324"/>
        <v>Defensive</v>
      </c>
    </row>
    <row r="2809" spans="1:42" x14ac:dyDescent="0.2">
      <c r="A2809">
        <v>1457</v>
      </c>
      <c r="B2809">
        <v>224</v>
      </c>
      <c r="H2809">
        <f t="shared" si="320"/>
        <v>3</v>
      </c>
      <c r="I2809" s="5" t="s">
        <v>816</v>
      </c>
      <c r="J2809" s="5" t="s">
        <v>786</v>
      </c>
      <c r="Q2809" t="s">
        <v>619</v>
      </c>
      <c r="R2809">
        <v>30</v>
      </c>
      <c r="S2809">
        <v>1</v>
      </c>
      <c r="T2809" t="str">
        <f t="shared" si="321"/>
        <v>e</v>
      </c>
      <c r="U2809" t="s">
        <v>17</v>
      </c>
      <c r="V2809" t="s">
        <v>206</v>
      </c>
      <c r="W2809" t="s">
        <v>102</v>
      </c>
      <c r="AF2809" t="s">
        <v>623</v>
      </c>
      <c r="AM2809" t="str">
        <f t="shared" si="322"/>
        <v>Save</v>
      </c>
      <c r="AN2809" t="str">
        <f t="shared" si="323"/>
        <v>Save_Freeze</v>
      </c>
      <c r="AP2809" t="str">
        <f t="shared" si="324"/>
        <v>Defensive</v>
      </c>
    </row>
    <row r="2810" spans="1:42" x14ac:dyDescent="0.2">
      <c r="A2810">
        <v>1457</v>
      </c>
      <c r="B2810">
        <v>224</v>
      </c>
      <c r="H2810">
        <f t="shared" si="320"/>
        <v>3</v>
      </c>
      <c r="R2810">
        <v>42</v>
      </c>
      <c r="T2810" t="str">
        <f t="shared" si="321"/>
        <v>o</v>
      </c>
      <c r="AM2810" t="str">
        <f t="shared" si="322"/>
        <v>Save</v>
      </c>
      <c r="AN2810" t="str">
        <f t="shared" si="323"/>
        <v>Save_Freeze</v>
      </c>
      <c r="AP2810" t="str">
        <f t="shared" si="324"/>
        <v>Offensive</v>
      </c>
    </row>
    <row r="2811" spans="1:42" x14ac:dyDescent="0.2">
      <c r="A2811">
        <v>1458</v>
      </c>
      <c r="B2811">
        <v>224</v>
      </c>
      <c r="H2811">
        <f t="shared" si="320"/>
        <v>3</v>
      </c>
      <c r="I2811" s="5" t="s">
        <v>816</v>
      </c>
      <c r="J2811" s="5" t="s">
        <v>786</v>
      </c>
      <c r="Q2811" t="s">
        <v>619</v>
      </c>
      <c r="R2811">
        <v>30</v>
      </c>
      <c r="S2811">
        <v>1</v>
      </c>
      <c r="T2811" t="str">
        <f t="shared" si="321"/>
        <v>e</v>
      </c>
      <c r="U2811" t="s">
        <v>13</v>
      </c>
      <c r="V2811" t="s">
        <v>204</v>
      </c>
      <c r="W2811" t="s">
        <v>110</v>
      </c>
      <c r="AF2811" t="s">
        <v>623</v>
      </c>
      <c r="AM2811" t="str">
        <f t="shared" si="322"/>
        <v>Stoppage</v>
      </c>
      <c r="AN2811" t="str">
        <f t="shared" si="323"/>
        <v>Stoppage_Play</v>
      </c>
      <c r="AP2811" t="str">
        <f t="shared" si="324"/>
        <v/>
      </c>
    </row>
    <row r="2812" spans="1:42" x14ac:dyDescent="0.2">
      <c r="A2812">
        <v>1459</v>
      </c>
      <c r="B2812">
        <v>224</v>
      </c>
      <c r="H2812">
        <f t="shared" si="320"/>
        <v>3</v>
      </c>
      <c r="I2812" s="5" t="s">
        <v>816</v>
      </c>
      <c r="J2812" s="5" t="s">
        <v>786</v>
      </c>
      <c r="K2812" s="5" t="s">
        <v>899</v>
      </c>
      <c r="L2812" s="7" t="s">
        <v>717</v>
      </c>
      <c r="Q2812" t="s">
        <v>619</v>
      </c>
      <c r="R2812">
        <v>30</v>
      </c>
      <c r="S2812">
        <v>1</v>
      </c>
      <c r="T2812" t="str">
        <f t="shared" si="321"/>
        <v>e</v>
      </c>
      <c r="U2812" t="s">
        <v>262</v>
      </c>
      <c r="AF2812" t="s">
        <v>623</v>
      </c>
      <c r="AM2812" t="str">
        <f t="shared" si="322"/>
        <v>DeadIce</v>
      </c>
      <c r="AN2812" t="str">
        <f t="shared" si="323"/>
        <v/>
      </c>
      <c r="AP2812" t="str">
        <f t="shared" si="324"/>
        <v/>
      </c>
    </row>
    <row r="2813" spans="1:42" x14ac:dyDescent="0.2">
      <c r="A2813">
        <v>1460</v>
      </c>
      <c r="H2813">
        <f t="shared" si="320"/>
        <v>3</v>
      </c>
      <c r="I2813" s="5" t="s">
        <v>899</v>
      </c>
      <c r="J2813" s="5" t="s">
        <v>717</v>
      </c>
      <c r="Q2813" t="s">
        <v>620</v>
      </c>
      <c r="R2813">
        <v>70</v>
      </c>
      <c r="S2813">
        <v>1</v>
      </c>
      <c r="T2813" t="str">
        <f t="shared" si="321"/>
        <v>e</v>
      </c>
      <c r="U2813" t="s">
        <v>6</v>
      </c>
      <c r="V2813" t="s">
        <v>255</v>
      </c>
      <c r="AF2813" t="s">
        <v>401</v>
      </c>
      <c r="AM2813" t="str">
        <f t="shared" si="322"/>
        <v>Faceoff</v>
      </c>
      <c r="AN2813" t="str">
        <f t="shared" si="323"/>
        <v>Faceoff_AfterStoppage</v>
      </c>
      <c r="AP2813" t="str">
        <f t="shared" si="324"/>
        <v>Offensive</v>
      </c>
    </row>
    <row r="2814" spans="1:42" x14ac:dyDescent="0.2">
      <c r="A2814">
        <v>1460</v>
      </c>
      <c r="H2814">
        <f t="shared" si="320"/>
        <v>3</v>
      </c>
      <c r="R2814">
        <v>9</v>
      </c>
      <c r="S2814">
        <v>1</v>
      </c>
      <c r="T2814" t="str">
        <f t="shared" si="321"/>
        <v>e</v>
      </c>
      <c r="AM2814" t="str">
        <f t="shared" si="322"/>
        <v>Faceoff</v>
      </c>
      <c r="AN2814" t="str">
        <f t="shared" si="323"/>
        <v>Faceoff_AfterStoppage</v>
      </c>
      <c r="AP2814" t="str">
        <f t="shared" si="324"/>
        <v>Offensive</v>
      </c>
    </row>
    <row r="2815" spans="1:42" x14ac:dyDescent="0.2">
      <c r="A2815">
        <v>1460</v>
      </c>
      <c r="H2815">
        <f t="shared" si="320"/>
        <v>3</v>
      </c>
      <c r="R2815">
        <v>3</v>
      </c>
      <c r="T2815" t="str">
        <f t="shared" si="321"/>
        <v>o</v>
      </c>
      <c r="AM2815" t="str">
        <f t="shared" si="322"/>
        <v>Faceoff</v>
      </c>
      <c r="AN2815" t="str">
        <f t="shared" si="323"/>
        <v>Faceoff_AfterStoppage</v>
      </c>
      <c r="AP2815" t="str">
        <f t="shared" si="324"/>
        <v>Defensive</v>
      </c>
    </row>
    <row r="2816" spans="1:42" x14ac:dyDescent="0.2">
      <c r="A2816">
        <v>1461</v>
      </c>
      <c r="H2816">
        <f t="shared" si="320"/>
        <v>3</v>
      </c>
      <c r="I2816" s="5" t="s">
        <v>899</v>
      </c>
      <c r="J2816" s="5" t="s">
        <v>778</v>
      </c>
      <c r="Q2816" t="s">
        <v>620</v>
      </c>
      <c r="R2816">
        <v>9</v>
      </c>
      <c r="S2816">
        <v>1</v>
      </c>
      <c r="T2816" t="str">
        <f t="shared" si="321"/>
        <v>e</v>
      </c>
      <c r="U2816" t="s">
        <v>8</v>
      </c>
      <c r="V2816" t="s">
        <v>189</v>
      </c>
      <c r="W2816" t="s">
        <v>68</v>
      </c>
      <c r="X2816" t="s">
        <v>706</v>
      </c>
      <c r="Y2816" t="s">
        <v>814</v>
      </c>
      <c r="AF2816" t="s">
        <v>401</v>
      </c>
      <c r="AM2816" t="str">
        <f t="shared" si="322"/>
        <v>Pass</v>
      </c>
      <c r="AN2816" t="str">
        <f t="shared" si="323"/>
        <v>Pass_Completed</v>
      </c>
      <c r="AP2816" t="str">
        <f t="shared" si="324"/>
        <v>Offensive</v>
      </c>
    </row>
    <row r="2817" spans="1:42" x14ac:dyDescent="0.2">
      <c r="A2817">
        <v>1461</v>
      </c>
      <c r="H2817">
        <f t="shared" si="320"/>
        <v>3</v>
      </c>
      <c r="R2817">
        <v>75</v>
      </c>
      <c r="S2817">
        <v>1</v>
      </c>
      <c r="T2817" t="str">
        <f t="shared" si="321"/>
        <v>e</v>
      </c>
      <c r="AM2817" t="str">
        <f t="shared" si="322"/>
        <v>Pass</v>
      </c>
      <c r="AN2817" t="str">
        <f t="shared" si="323"/>
        <v>Pass_Completed</v>
      </c>
      <c r="AP2817" t="str">
        <f t="shared" si="324"/>
        <v>Offensive</v>
      </c>
    </row>
    <row r="2818" spans="1:42" x14ac:dyDescent="0.2">
      <c r="A2818">
        <v>1462</v>
      </c>
      <c r="H2818">
        <f t="shared" si="320"/>
        <v>3</v>
      </c>
      <c r="I2818" s="5" t="s">
        <v>899</v>
      </c>
      <c r="J2818" s="5" t="s">
        <v>726</v>
      </c>
      <c r="Q2818" t="s">
        <v>620</v>
      </c>
      <c r="R2818">
        <v>75</v>
      </c>
      <c r="S2818">
        <v>1</v>
      </c>
      <c r="T2818" t="str">
        <f t="shared" si="321"/>
        <v>e</v>
      </c>
      <c r="U2818" t="s">
        <v>8</v>
      </c>
      <c r="V2818" t="s">
        <v>189</v>
      </c>
      <c r="W2818" t="s">
        <v>70</v>
      </c>
      <c r="X2818" t="s">
        <v>706</v>
      </c>
      <c r="Y2818" t="s">
        <v>814</v>
      </c>
      <c r="AF2818" t="s">
        <v>401</v>
      </c>
      <c r="AM2818" t="str">
        <f t="shared" si="322"/>
        <v>Pass</v>
      </c>
      <c r="AN2818" t="str">
        <f t="shared" si="323"/>
        <v>Pass_Completed</v>
      </c>
      <c r="AP2818" t="str">
        <f t="shared" si="324"/>
        <v>Offensive</v>
      </c>
    </row>
    <row r="2819" spans="1:42" x14ac:dyDescent="0.2">
      <c r="A2819">
        <v>1462</v>
      </c>
      <c r="H2819">
        <f t="shared" si="320"/>
        <v>3</v>
      </c>
      <c r="R2819">
        <v>22</v>
      </c>
      <c r="S2819">
        <v>1</v>
      </c>
      <c r="T2819" t="str">
        <f t="shared" si="321"/>
        <v>e</v>
      </c>
      <c r="AM2819" t="str">
        <f t="shared" si="322"/>
        <v>Pass</v>
      </c>
      <c r="AN2819" t="str">
        <f t="shared" si="323"/>
        <v>Pass_Completed</v>
      </c>
      <c r="AP2819" t="str">
        <f t="shared" si="324"/>
        <v>Offensive</v>
      </c>
    </row>
    <row r="2820" spans="1:42" x14ac:dyDescent="0.2">
      <c r="A2820">
        <v>1463</v>
      </c>
      <c r="B2820">
        <v>225</v>
      </c>
      <c r="H2820">
        <f t="shared" si="320"/>
        <v>3</v>
      </c>
      <c r="I2820" s="5" t="s">
        <v>899</v>
      </c>
      <c r="J2820" s="5" t="s">
        <v>780</v>
      </c>
      <c r="Q2820" t="s">
        <v>620</v>
      </c>
      <c r="R2820">
        <v>22</v>
      </c>
      <c r="S2820">
        <v>1</v>
      </c>
      <c r="T2820" t="str">
        <f t="shared" si="321"/>
        <v>e</v>
      </c>
      <c r="U2820" t="s">
        <v>7</v>
      </c>
      <c r="V2820" t="s">
        <v>222</v>
      </c>
      <c r="W2820" t="s">
        <v>53</v>
      </c>
      <c r="X2820" t="s">
        <v>706</v>
      </c>
      <c r="AF2820" t="s">
        <v>401</v>
      </c>
      <c r="AJ2820">
        <v>1</v>
      </c>
      <c r="AM2820" t="str">
        <f t="shared" si="322"/>
        <v>Shot</v>
      </c>
      <c r="AN2820" t="str">
        <f t="shared" si="323"/>
        <v>Shot_OnNetSaved</v>
      </c>
      <c r="AP2820" t="str">
        <f t="shared" si="324"/>
        <v>Offensive</v>
      </c>
    </row>
    <row r="2821" spans="1:42" x14ac:dyDescent="0.2">
      <c r="A2821">
        <v>1463</v>
      </c>
      <c r="B2821">
        <v>225</v>
      </c>
      <c r="H2821">
        <f t="shared" ref="H2821:H2884" si="325">IF(U2821="Intermission",H2820+1,H2820)</f>
        <v>3</v>
      </c>
      <c r="R2821">
        <v>14</v>
      </c>
      <c r="S2821">
        <v>1</v>
      </c>
      <c r="T2821" t="str">
        <f t="shared" si="321"/>
        <v>e</v>
      </c>
      <c r="Y2821" t="s">
        <v>846</v>
      </c>
      <c r="AM2821" t="str">
        <f t="shared" si="322"/>
        <v>Shot</v>
      </c>
      <c r="AN2821" t="str">
        <f t="shared" si="323"/>
        <v>Shot_OnNetSaved</v>
      </c>
      <c r="AP2821" t="str">
        <f t="shared" si="324"/>
        <v>Offensive</v>
      </c>
    </row>
    <row r="2822" spans="1:42" x14ac:dyDescent="0.2">
      <c r="A2822">
        <v>1463</v>
      </c>
      <c r="B2822">
        <v>225</v>
      </c>
      <c r="H2822">
        <f t="shared" si="325"/>
        <v>3</v>
      </c>
      <c r="R2822">
        <v>30</v>
      </c>
      <c r="T2822" t="str">
        <f t="shared" si="321"/>
        <v>o</v>
      </c>
      <c r="AM2822" t="str">
        <f t="shared" si="322"/>
        <v>Shot</v>
      </c>
      <c r="AN2822" t="str">
        <f t="shared" si="323"/>
        <v>Shot_OnNetSaved</v>
      </c>
      <c r="AP2822" t="str">
        <f t="shared" si="324"/>
        <v>Defensive</v>
      </c>
    </row>
    <row r="2823" spans="1:42" x14ac:dyDescent="0.2">
      <c r="A2823">
        <v>1463</v>
      </c>
      <c r="B2823">
        <v>225</v>
      </c>
      <c r="H2823">
        <f t="shared" si="325"/>
        <v>3</v>
      </c>
      <c r="R2823">
        <v>12</v>
      </c>
      <c r="T2823" t="str">
        <f t="shared" si="321"/>
        <v>o</v>
      </c>
      <c r="Y2823" t="s">
        <v>715</v>
      </c>
      <c r="AJ2823">
        <v>1</v>
      </c>
      <c r="AM2823" t="str">
        <f t="shared" si="322"/>
        <v>Shot</v>
      </c>
      <c r="AN2823" t="str">
        <f t="shared" si="323"/>
        <v>Shot_OnNetSaved</v>
      </c>
      <c r="AP2823" t="str">
        <f t="shared" si="324"/>
        <v>Defensive</v>
      </c>
    </row>
    <row r="2824" spans="1:42" x14ac:dyDescent="0.2">
      <c r="A2824">
        <v>1464</v>
      </c>
      <c r="B2824">
        <v>225</v>
      </c>
      <c r="H2824">
        <f t="shared" si="325"/>
        <v>3</v>
      </c>
      <c r="I2824" s="5" t="s">
        <v>899</v>
      </c>
      <c r="J2824" s="5" t="s">
        <v>780</v>
      </c>
      <c r="Q2824" t="s">
        <v>619</v>
      </c>
      <c r="R2824">
        <v>30</v>
      </c>
      <c r="S2824">
        <v>1</v>
      </c>
      <c r="T2824" t="str">
        <f t="shared" si="321"/>
        <v>e</v>
      </c>
      <c r="U2824" t="s">
        <v>17</v>
      </c>
      <c r="V2824" t="s">
        <v>206</v>
      </c>
      <c r="W2824" t="s">
        <v>102</v>
      </c>
      <c r="AF2824" t="s">
        <v>623</v>
      </c>
      <c r="AM2824" t="str">
        <f t="shared" si="322"/>
        <v>Save</v>
      </c>
      <c r="AN2824" t="str">
        <f t="shared" si="323"/>
        <v>Save_Freeze</v>
      </c>
      <c r="AP2824" t="str">
        <f t="shared" si="324"/>
        <v>Defensive</v>
      </c>
    </row>
    <row r="2825" spans="1:42" x14ac:dyDescent="0.2">
      <c r="A2825">
        <v>1464</v>
      </c>
      <c r="B2825">
        <v>225</v>
      </c>
      <c r="H2825">
        <f t="shared" si="325"/>
        <v>3</v>
      </c>
      <c r="R2825">
        <v>12</v>
      </c>
      <c r="S2825">
        <v>1</v>
      </c>
      <c r="T2825" t="str">
        <f t="shared" si="321"/>
        <v>e</v>
      </c>
      <c r="Y2825" t="s">
        <v>715</v>
      </c>
      <c r="AJ2825">
        <v>1</v>
      </c>
      <c r="AM2825" t="str">
        <f t="shared" si="322"/>
        <v>Save</v>
      </c>
      <c r="AN2825" t="str">
        <f t="shared" si="323"/>
        <v>Save_Freeze</v>
      </c>
      <c r="AP2825" t="str">
        <f t="shared" si="324"/>
        <v>Defensive</v>
      </c>
    </row>
    <row r="2826" spans="1:42" x14ac:dyDescent="0.2">
      <c r="A2826">
        <v>1464</v>
      </c>
      <c r="B2826">
        <v>225</v>
      </c>
      <c r="H2826">
        <f t="shared" si="325"/>
        <v>3</v>
      </c>
      <c r="R2826">
        <v>22</v>
      </c>
      <c r="T2826" t="str">
        <f t="shared" si="321"/>
        <v>o</v>
      </c>
      <c r="AJ2826">
        <v>1</v>
      </c>
      <c r="AM2826" t="str">
        <f t="shared" si="322"/>
        <v>Save</v>
      </c>
      <c r="AN2826" t="str">
        <f t="shared" si="323"/>
        <v>Save_Freeze</v>
      </c>
      <c r="AP2826" t="str">
        <f t="shared" si="324"/>
        <v>Offensive</v>
      </c>
    </row>
    <row r="2827" spans="1:42" x14ac:dyDescent="0.2">
      <c r="A2827">
        <v>1464</v>
      </c>
      <c r="B2827">
        <v>225</v>
      </c>
      <c r="H2827">
        <f t="shared" si="325"/>
        <v>3</v>
      </c>
      <c r="R2827">
        <v>14</v>
      </c>
      <c r="T2827" t="str">
        <f t="shared" si="321"/>
        <v>o</v>
      </c>
      <c r="Y2827" t="s">
        <v>846</v>
      </c>
      <c r="AM2827" t="str">
        <f t="shared" si="322"/>
        <v>Save</v>
      </c>
      <c r="AN2827" t="str">
        <f t="shared" si="323"/>
        <v>Save_Freeze</v>
      </c>
      <c r="AP2827" t="str">
        <f t="shared" si="324"/>
        <v>Offensive</v>
      </c>
    </row>
    <row r="2828" spans="1:42" x14ac:dyDescent="0.2">
      <c r="A2828">
        <v>1465</v>
      </c>
      <c r="B2828">
        <v>225</v>
      </c>
      <c r="H2828">
        <f t="shared" si="325"/>
        <v>3</v>
      </c>
      <c r="I2828" s="5" t="s">
        <v>899</v>
      </c>
      <c r="J2828" s="5" t="s">
        <v>780</v>
      </c>
      <c r="Q2828" t="s">
        <v>619</v>
      </c>
      <c r="R2828">
        <v>30</v>
      </c>
      <c r="S2828">
        <v>1</v>
      </c>
      <c r="T2828" t="str">
        <f t="shared" ref="T2828:T2891" si="326">IF(S2828="x","",IF(S2828=1,"e","o"))</f>
        <v>e</v>
      </c>
      <c r="U2828" t="s">
        <v>13</v>
      </c>
      <c r="V2828" t="s">
        <v>204</v>
      </c>
      <c r="W2828" t="s">
        <v>110</v>
      </c>
      <c r="AF2828" t="s">
        <v>623</v>
      </c>
      <c r="AM2828" t="str">
        <f t="shared" si="322"/>
        <v>Stoppage</v>
      </c>
      <c r="AN2828" t="str">
        <f t="shared" si="323"/>
        <v>Stoppage_Play</v>
      </c>
      <c r="AP2828" t="str">
        <f t="shared" si="324"/>
        <v/>
      </c>
    </row>
    <row r="2829" spans="1:42" x14ac:dyDescent="0.2">
      <c r="A2829">
        <v>1466</v>
      </c>
      <c r="B2829">
        <v>225</v>
      </c>
      <c r="H2829">
        <f t="shared" si="325"/>
        <v>3</v>
      </c>
      <c r="I2829" s="5" t="s">
        <v>899</v>
      </c>
      <c r="J2829" s="5" t="s">
        <v>780</v>
      </c>
      <c r="K2829" s="5" t="s">
        <v>899</v>
      </c>
      <c r="L2829" s="7" t="s">
        <v>733</v>
      </c>
      <c r="Q2829" t="s">
        <v>619</v>
      </c>
      <c r="R2829">
        <v>30</v>
      </c>
      <c r="S2829">
        <v>1</v>
      </c>
      <c r="T2829" t="str">
        <f t="shared" si="326"/>
        <v>e</v>
      </c>
      <c r="U2829" t="s">
        <v>262</v>
      </c>
      <c r="AF2829" t="s">
        <v>623</v>
      </c>
      <c r="AM2829" t="str">
        <f t="shared" si="322"/>
        <v>DeadIce</v>
      </c>
      <c r="AN2829" t="str">
        <f t="shared" si="323"/>
        <v/>
      </c>
      <c r="AP2829" t="str">
        <f t="shared" si="324"/>
        <v/>
      </c>
    </row>
    <row r="2830" spans="1:42" x14ac:dyDescent="0.2">
      <c r="A2830">
        <v>1467</v>
      </c>
      <c r="H2830">
        <f t="shared" si="325"/>
        <v>3</v>
      </c>
      <c r="I2830" s="5" t="s">
        <v>899</v>
      </c>
      <c r="J2830" s="5" t="s">
        <v>733</v>
      </c>
      <c r="Q2830" t="s">
        <v>619</v>
      </c>
      <c r="R2830">
        <v>3</v>
      </c>
      <c r="S2830">
        <v>1</v>
      </c>
      <c r="T2830" t="str">
        <f t="shared" si="326"/>
        <v>e</v>
      </c>
      <c r="U2830" t="s">
        <v>6</v>
      </c>
      <c r="V2830" t="s">
        <v>255</v>
      </c>
      <c r="AF2830" t="s">
        <v>623</v>
      </c>
      <c r="AM2830" t="str">
        <f t="shared" si="322"/>
        <v>Faceoff</v>
      </c>
      <c r="AN2830" t="str">
        <f t="shared" si="323"/>
        <v>Faceoff_AfterStoppage</v>
      </c>
      <c r="AP2830" t="str">
        <f t="shared" si="324"/>
        <v>Offensive</v>
      </c>
    </row>
    <row r="2831" spans="1:42" x14ac:dyDescent="0.2">
      <c r="A2831">
        <v>1467</v>
      </c>
      <c r="H2831">
        <f t="shared" si="325"/>
        <v>3</v>
      </c>
      <c r="R2831">
        <v>4</v>
      </c>
      <c r="S2831">
        <v>1</v>
      </c>
      <c r="T2831" t="str">
        <f t="shared" si="326"/>
        <v>e</v>
      </c>
      <c r="AM2831" t="str">
        <f t="shared" ref="AM2831:AM2894" si="327">IF(U2831&lt;&gt;"",U2831,IF($A2831=$A2830,AM2830,""))</f>
        <v>Faceoff</v>
      </c>
      <c r="AN2831" t="str">
        <f t="shared" ref="AN2831:AN2894" si="328">IF(V2831&lt;&gt;"",V2831,IF($A2831=$A2830,AN2830,""))</f>
        <v>Faceoff_AfterStoppage</v>
      </c>
      <c r="AP2831" t="str">
        <f t="shared" ref="AP2831:AP2894" si="329">IF(AND(T2831="e",OR(AM2831="Save",AN2831="Turnover_Takeaway",AN2831="Play_Defensive")),"Defensive",IF(AND(T2831="o",OR(AM2831="Save",AN2831="Turnover_Takeaway",AN2831="Play_Defensive")),"Offensive",IF(OR(AM2831="Deadice",AM2831="Stoppage",AM2831="Intermission"),"",IF(T2831="e","Offensive",IF(T2831="o","Defensive","")))))</f>
        <v>Offensive</v>
      </c>
    </row>
    <row r="2832" spans="1:42" x14ac:dyDescent="0.2">
      <c r="A2832">
        <v>1467</v>
      </c>
      <c r="H2832">
        <f t="shared" si="325"/>
        <v>3</v>
      </c>
      <c r="R2832">
        <v>70</v>
      </c>
      <c r="T2832" t="str">
        <f t="shared" si="326"/>
        <v>o</v>
      </c>
      <c r="AM2832" t="str">
        <f t="shared" si="327"/>
        <v>Faceoff</v>
      </c>
      <c r="AN2832" t="str">
        <f t="shared" si="328"/>
        <v>Faceoff_AfterStoppage</v>
      </c>
      <c r="AP2832" t="str">
        <f t="shared" si="329"/>
        <v>Defensive</v>
      </c>
    </row>
    <row r="2833" spans="1:42" x14ac:dyDescent="0.2">
      <c r="A2833">
        <v>1468</v>
      </c>
      <c r="H2833">
        <f t="shared" si="325"/>
        <v>3</v>
      </c>
      <c r="I2833" s="5" t="s">
        <v>899</v>
      </c>
      <c r="J2833" s="5" t="s">
        <v>742</v>
      </c>
      <c r="Q2833" t="s">
        <v>619</v>
      </c>
      <c r="R2833">
        <v>4</v>
      </c>
      <c r="S2833">
        <v>1</v>
      </c>
      <c r="T2833" t="str">
        <f t="shared" si="326"/>
        <v>e</v>
      </c>
      <c r="U2833" t="s">
        <v>10</v>
      </c>
      <c r="V2833" t="s">
        <v>190</v>
      </c>
      <c r="W2833" t="s">
        <v>398</v>
      </c>
      <c r="X2833" t="s">
        <v>705</v>
      </c>
      <c r="Y2833" t="s">
        <v>746</v>
      </c>
      <c r="AA2833" t="s">
        <v>705</v>
      </c>
      <c r="AF2833" t="s">
        <v>623</v>
      </c>
      <c r="AM2833" t="str">
        <f t="shared" si="327"/>
        <v>Turnover</v>
      </c>
      <c r="AN2833" t="str">
        <f t="shared" si="328"/>
        <v>Turnover_Giveaway</v>
      </c>
      <c r="AP2833" t="str">
        <f t="shared" si="329"/>
        <v>Offensive</v>
      </c>
    </row>
    <row r="2834" spans="1:42" x14ac:dyDescent="0.2">
      <c r="A2834">
        <v>1469</v>
      </c>
      <c r="B2834">
        <v>226</v>
      </c>
      <c r="H2834">
        <f t="shared" si="325"/>
        <v>3</v>
      </c>
      <c r="I2834" s="5" t="s">
        <v>899</v>
      </c>
      <c r="J2834" s="5" t="s">
        <v>735</v>
      </c>
      <c r="Q2834" t="s">
        <v>620</v>
      </c>
      <c r="R2834">
        <v>22</v>
      </c>
      <c r="S2834">
        <v>1</v>
      </c>
      <c r="T2834" t="str">
        <f t="shared" si="326"/>
        <v>e</v>
      </c>
      <c r="U2834" t="s">
        <v>257</v>
      </c>
      <c r="V2834" t="s">
        <v>210</v>
      </c>
      <c r="W2834" t="s">
        <v>93</v>
      </c>
      <c r="X2834" t="s">
        <v>706</v>
      </c>
      <c r="AF2834" t="s">
        <v>401</v>
      </c>
      <c r="AM2834" t="str">
        <f t="shared" si="327"/>
        <v>Zone_Entry_Exit</v>
      </c>
      <c r="AN2834" t="str">
        <f t="shared" si="328"/>
        <v>Zone_Keepin</v>
      </c>
      <c r="AP2834" t="str">
        <f t="shared" si="329"/>
        <v>Offensive</v>
      </c>
    </row>
    <row r="2835" spans="1:42" x14ac:dyDescent="0.2">
      <c r="A2835">
        <v>1470</v>
      </c>
      <c r="B2835">
        <v>226</v>
      </c>
      <c r="H2835">
        <f t="shared" si="325"/>
        <v>3</v>
      </c>
      <c r="I2835" s="5" t="s">
        <v>899</v>
      </c>
      <c r="J2835" s="5" t="s">
        <v>736</v>
      </c>
      <c r="Q2835" t="s">
        <v>620</v>
      </c>
      <c r="R2835">
        <v>75</v>
      </c>
      <c r="S2835">
        <v>1</v>
      </c>
      <c r="T2835" t="str">
        <f t="shared" si="326"/>
        <v>e</v>
      </c>
      <c r="U2835" t="s">
        <v>15</v>
      </c>
      <c r="V2835" t="s">
        <v>697</v>
      </c>
      <c r="X2835" t="s">
        <v>706</v>
      </c>
      <c r="Y2835" t="s">
        <v>720</v>
      </c>
      <c r="AA2835" t="s">
        <v>706</v>
      </c>
      <c r="AF2835" t="s">
        <v>401</v>
      </c>
      <c r="AM2835" t="str">
        <f t="shared" si="327"/>
        <v>Possession</v>
      </c>
      <c r="AN2835" t="str">
        <f t="shared" si="328"/>
        <v>PuckRetrieval</v>
      </c>
      <c r="AP2835" t="str">
        <f t="shared" si="329"/>
        <v>Offensive</v>
      </c>
    </row>
    <row r="2836" spans="1:42" x14ac:dyDescent="0.2">
      <c r="A2836">
        <v>1471</v>
      </c>
      <c r="H2836">
        <f t="shared" si="325"/>
        <v>3</v>
      </c>
      <c r="I2836" s="5" t="s">
        <v>899</v>
      </c>
      <c r="J2836" s="5" t="s">
        <v>447</v>
      </c>
      <c r="Q2836" t="s">
        <v>620</v>
      </c>
      <c r="R2836">
        <v>75</v>
      </c>
      <c r="S2836">
        <v>1</v>
      </c>
      <c r="T2836" t="str">
        <f t="shared" si="326"/>
        <v>e</v>
      </c>
      <c r="U2836" t="s">
        <v>7</v>
      </c>
      <c r="V2836" t="s">
        <v>198</v>
      </c>
      <c r="W2836" t="s">
        <v>53</v>
      </c>
      <c r="X2836" t="s">
        <v>705</v>
      </c>
      <c r="AF2836" t="s">
        <v>401</v>
      </c>
      <c r="AM2836" t="str">
        <f t="shared" si="327"/>
        <v>Shot</v>
      </c>
      <c r="AN2836" t="str">
        <f t="shared" si="328"/>
        <v>Shot_Missed</v>
      </c>
      <c r="AP2836" t="str">
        <f t="shared" si="329"/>
        <v>Offensive</v>
      </c>
    </row>
    <row r="2837" spans="1:42" x14ac:dyDescent="0.2">
      <c r="A2837">
        <v>1472</v>
      </c>
      <c r="H2837">
        <f t="shared" si="325"/>
        <v>3</v>
      </c>
      <c r="I2837" s="5" t="s">
        <v>899</v>
      </c>
      <c r="J2837" s="5" t="s">
        <v>740</v>
      </c>
      <c r="Q2837" t="s">
        <v>619</v>
      </c>
      <c r="R2837">
        <v>4</v>
      </c>
      <c r="S2837">
        <v>1</v>
      </c>
      <c r="T2837" t="str">
        <f t="shared" si="326"/>
        <v>e</v>
      </c>
      <c r="U2837" t="s">
        <v>247</v>
      </c>
      <c r="V2837" t="s">
        <v>422</v>
      </c>
      <c r="W2837" t="s">
        <v>483</v>
      </c>
      <c r="X2837" t="s">
        <v>705</v>
      </c>
      <c r="Y2837" t="s">
        <v>746</v>
      </c>
      <c r="AA2837" t="s">
        <v>705</v>
      </c>
      <c r="AF2837" t="s">
        <v>623</v>
      </c>
      <c r="AM2837" t="str">
        <f t="shared" si="327"/>
        <v>Play</v>
      </c>
      <c r="AN2837" t="str">
        <f t="shared" si="328"/>
        <v>Play_Defensive</v>
      </c>
      <c r="AP2837" t="str">
        <f t="shared" si="329"/>
        <v>Defensive</v>
      </c>
    </row>
    <row r="2838" spans="1:42" x14ac:dyDescent="0.2">
      <c r="A2838">
        <v>1473</v>
      </c>
      <c r="H2838">
        <f t="shared" si="325"/>
        <v>3</v>
      </c>
      <c r="I2838" s="5" t="s">
        <v>899</v>
      </c>
      <c r="J2838" s="5" t="s">
        <v>786</v>
      </c>
      <c r="Q2838" t="s">
        <v>620</v>
      </c>
      <c r="R2838">
        <v>14</v>
      </c>
      <c r="S2838">
        <v>1</v>
      </c>
      <c r="T2838" t="str">
        <f t="shared" si="326"/>
        <v>e</v>
      </c>
      <c r="U2838" t="s">
        <v>257</v>
      </c>
      <c r="V2838" t="s">
        <v>820</v>
      </c>
      <c r="X2838" t="s">
        <v>705</v>
      </c>
      <c r="Y2838" t="s">
        <v>737</v>
      </c>
      <c r="AA2838" t="s">
        <v>705</v>
      </c>
      <c r="AF2838" t="s">
        <v>401</v>
      </c>
      <c r="AM2838" t="str">
        <f t="shared" si="327"/>
        <v>Zone_Entry_Exit</v>
      </c>
      <c r="AN2838" t="str">
        <f t="shared" si="328"/>
        <v>Zone_KeepinFailed</v>
      </c>
      <c r="AP2838" t="str">
        <f t="shared" si="329"/>
        <v>Offensive</v>
      </c>
    </row>
    <row r="2839" spans="1:42" x14ac:dyDescent="0.2">
      <c r="A2839">
        <v>1474</v>
      </c>
      <c r="H2839">
        <f t="shared" si="325"/>
        <v>3</v>
      </c>
      <c r="I2839" s="5" t="s">
        <v>899</v>
      </c>
      <c r="J2839" s="5" t="s">
        <v>446</v>
      </c>
      <c r="Q2839" t="s">
        <v>619</v>
      </c>
      <c r="R2839">
        <v>56</v>
      </c>
      <c r="S2839">
        <v>1</v>
      </c>
      <c r="T2839" t="str">
        <f t="shared" si="326"/>
        <v>e</v>
      </c>
      <c r="U2839" t="s">
        <v>15</v>
      </c>
      <c r="V2839" t="s">
        <v>697</v>
      </c>
      <c r="X2839" t="s">
        <v>706</v>
      </c>
      <c r="Y2839" t="s">
        <v>712</v>
      </c>
      <c r="AA2839" t="s">
        <v>706</v>
      </c>
      <c r="AF2839" t="s">
        <v>623</v>
      </c>
      <c r="AM2839" t="str">
        <f t="shared" si="327"/>
        <v>Possession</v>
      </c>
      <c r="AN2839" t="str">
        <f t="shared" si="328"/>
        <v>PuckRetrieval</v>
      </c>
      <c r="AP2839" t="str">
        <f t="shared" si="329"/>
        <v>Offensive</v>
      </c>
    </row>
    <row r="2840" spans="1:42" x14ac:dyDescent="0.2">
      <c r="A2840">
        <v>1475</v>
      </c>
      <c r="H2840">
        <f t="shared" si="325"/>
        <v>3</v>
      </c>
      <c r="I2840" s="5" t="s">
        <v>899</v>
      </c>
      <c r="J2840" s="5" t="s">
        <v>446</v>
      </c>
      <c r="K2840" s="5" t="s">
        <v>898</v>
      </c>
      <c r="L2840" s="7" t="s">
        <v>622</v>
      </c>
      <c r="Q2840" t="s">
        <v>619</v>
      </c>
      <c r="R2840">
        <v>56</v>
      </c>
      <c r="S2840">
        <v>1</v>
      </c>
      <c r="T2840" t="str">
        <f t="shared" si="326"/>
        <v>e</v>
      </c>
      <c r="U2840" t="s">
        <v>257</v>
      </c>
      <c r="V2840" t="s">
        <v>201</v>
      </c>
      <c r="W2840" t="s">
        <v>90</v>
      </c>
      <c r="X2840" t="s">
        <v>706</v>
      </c>
      <c r="AF2840" t="s">
        <v>623</v>
      </c>
      <c r="AM2840" t="str">
        <f t="shared" si="327"/>
        <v>Zone_Entry_Exit</v>
      </c>
      <c r="AN2840" t="str">
        <f t="shared" si="328"/>
        <v>Zone_Exit</v>
      </c>
      <c r="AP2840" t="str">
        <f t="shared" si="329"/>
        <v>Offensive</v>
      </c>
    </row>
    <row r="2841" spans="1:42" x14ac:dyDescent="0.2">
      <c r="A2841">
        <v>1476</v>
      </c>
      <c r="H2841">
        <f t="shared" si="325"/>
        <v>3</v>
      </c>
      <c r="I2841" s="5" t="s">
        <v>898</v>
      </c>
      <c r="J2841" s="5" t="s">
        <v>622</v>
      </c>
      <c r="K2841" s="5" t="s">
        <v>898</v>
      </c>
      <c r="L2841" s="7" t="s">
        <v>750</v>
      </c>
      <c r="Q2841" t="s">
        <v>619</v>
      </c>
      <c r="R2841">
        <v>56</v>
      </c>
      <c r="S2841">
        <v>1</v>
      </c>
      <c r="T2841" t="str">
        <f t="shared" si="326"/>
        <v>e</v>
      </c>
      <c r="U2841" t="s">
        <v>15</v>
      </c>
      <c r="AF2841" t="s">
        <v>635</v>
      </c>
      <c r="AM2841" t="str">
        <f t="shared" si="327"/>
        <v>Possession</v>
      </c>
      <c r="AN2841" t="str">
        <f t="shared" si="328"/>
        <v/>
      </c>
      <c r="AP2841" t="str">
        <f t="shared" si="329"/>
        <v>Offensive</v>
      </c>
    </row>
    <row r="2842" spans="1:42" x14ac:dyDescent="0.2">
      <c r="A2842">
        <v>1477</v>
      </c>
      <c r="H2842">
        <f t="shared" si="325"/>
        <v>3</v>
      </c>
      <c r="I2842" s="5" t="s">
        <v>898</v>
      </c>
      <c r="J2842" s="5" t="s">
        <v>750</v>
      </c>
      <c r="K2842" s="5" t="s">
        <v>898</v>
      </c>
      <c r="L2842" s="7" t="s">
        <v>788</v>
      </c>
      <c r="Q2842" t="s">
        <v>619</v>
      </c>
      <c r="R2842">
        <v>56</v>
      </c>
      <c r="S2842">
        <v>1</v>
      </c>
      <c r="T2842" t="str">
        <f t="shared" si="326"/>
        <v>e</v>
      </c>
      <c r="U2842" t="s">
        <v>257</v>
      </c>
      <c r="V2842" t="s">
        <v>191</v>
      </c>
      <c r="W2842" t="s">
        <v>87</v>
      </c>
      <c r="X2842" t="s">
        <v>705</v>
      </c>
      <c r="Y2842" t="s">
        <v>677</v>
      </c>
      <c r="AF2842" t="s">
        <v>401</v>
      </c>
      <c r="AJ2842">
        <v>1</v>
      </c>
      <c r="AM2842" t="str">
        <f t="shared" si="327"/>
        <v>Zone_Entry_Exit</v>
      </c>
      <c r="AN2842" t="str">
        <f t="shared" si="328"/>
        <v>Zone_Entry</v>
      </c>
      <c r="AP2842" t="str">
        <f t="shared" si="329"/>
        <v>Offensive</v>
      </c>
    </row>
    <row r="2843" spans="1:42" x14ac:dyDescent="0.2">
      <c r="A2843">
        <v>1477</v>
      </c>
      <c r="H2843">
        <f t="shared" si="325"/>
        <v>3</v>
      </c>
      <c r="R2843">
        <v>9</v>
      </c>
      <c r="T2843" t="str">
        <f t="shared" si="326"/>
        <v>o</v>
      </c>
      <c r="Y2843" t="s">
        <v>729</v>
      </c>
      <c r="AA2843" t="s">
        <v>706</v>
      </c>
      <c r="AJ2843">
        <v>1</v>
      </c>
      <c r="AM2843" t="str">
        <f t="shared" si="327"/>
        <v>Zone_Entry_Exit</v>
      </c>
      <c r="AN2843" t="str">
        <f t="shared" si="328"/>
        <v>Zone_Entry</v>
      </c>
      <c r="AP2843" t="str">
        <f t="shared" si="329"/>
        <v>Defensive</v>
      </c>
    </row>
    <row r="2844" spans="1:42" x14ac:dyDescent="0.2">
      <c r="A2844">
        <v>1477</v>
      </c>
      <c r="H2844">
        <f t="shared" si="325"/>
        <v>3</v>
      </c>
      <c r="R2844">
        <v>22</v>
      </c>
      <c r="T2844" t="str">
        <f t="shared" si="326"/>
        <v>o</v>
      </c>
      <c r="AM2844" t="str">
        <f t="shared" si="327"/>
        <v>Zone_Entry_Exit</v>
      </c>
      <c r="AN2844" t="str">
        <f t="shared" si="328"/>
        <v>Zone_Entry</v>
      </c>
      <c r="AP2844" t="str">
        <f t="shared" si="329"/>
        <v>Defensive</v>
      </c>
    </row>
    <row r="2845" spans="1:42" x14ac:dyDescent="0.2">
      <c r="A2845">
        <v>1478</v>
      </c>
      <c r="H2845">
        <f t="shared" si="325"/>
        <v>3</v>
      </c>
      <c r="I2845" s="5" t="s">
        <v>898</v>
      </c>
      <c r="J2845" s="5" t="s">
        <v>788</v>
      </c>
      <c r="Q2845" t="s">
        <v>619</v>
      </c>
      <c r="R2845">
        <v>56</v>
      </c>
      <c r="S2845">
        <v>1</v>
      </c>
      <c r="T2845" t="str">
        <f t="shared" si="326"/>
        <v>e</v>
      </c>
      <c r="U2845" t="s">
        <v>10</v>
      </c>
      <c r="V2845" t="s">
        <v>190</v>
      </c>
      <c r="W2845" t="s">
        <v>75</v>
      </c>
      <c r="X2845" t="s">
        <v>705</v>
      </c>
      <c r="AF2845" t="s">
        <v>401</v>
      </c>
      <c r="AJ2845">
        <v>1</v>
      </c>
      <c r="AM2845" t="str">
        <f t="shared" si="327"/>
        <v>Turnover</v>
      </c>
      <c r="AN2845" t="str">
        <f t="shared" si="328"/>
        <v>Turnover_Giveaway</v>
      </c>
      <c r="AP2845" t="str">
        <f t="shared" si="329"/>
        <v>Offensive</v>
      </c>
    </row>
    <row r="2846" spans="1:42" x14ac:dyDescent="0.2">
      <c r="A2846">
        <v>1478</v>
      </c>
      <c r="H2846">
        <f t="shared" si="325"/>
        <v>3</v>
      </c>
      <c r="R2846">
        <v>22</v>
      </c>
      <c r="T2846" t="str">
        <f t="shared" si="326"/>
        <v>o</v>
      </c>
      <c r="Y2846" t="s">
        <v>723</v>
      </c>
      <c r="AA2846" t="s">
        <v>706</v>
      </c>
      <c r="AJ2846">
        <v>1</v>
      </c>
      <c r="AM2846" t="str">
        <f t="shared" si="327"/>
        <v>Turnover</v>
      </c>
      <c r="AN2846" t="str">
        <f t="shared" si="328"/>
        <v>Turnover_Giveaway</v>
      </c>
      <c r="AP2846" t="str">
        <f t="shared" si="329"/>
        <v>Defensive</v>
      </c>
    </row>
    <row r="2847" spans="1:42" x14ac:dyDescent="0.2">
      <c r="A2847">
        <v>1478</v>
      </c>
      <c r="H2847">
        <f t="shared" si="325"/>
        <v>3</v>
      </c>
      <c r="R2847">
        <v>9</v>
      </c>
      <c r="T2847" t="str">
        <f t="shared" si="326"/>
        <v>o</v>
      </c>
      <c r="Y2847" t="s">
        <v>715</v>
      </c>
      <c r="AM2847" t="str">
        <f t="shared" si="327"/>
        <v>Turnover</v>
      </c>
      <c r="AN2847" t="str">
        <f t="shared" si="328"/>
        <v>Turnover_Giveaway</v>
      </c>
      <c r="AP2847" t="str">
        <f t="shared" si="329"/>
        <v>Defensive</v>
      </c>
    </row>
    <row r="2848" spans="1:42" x14ac:dyDescent="0.2">
      <c r="A2848">
        <v>1479</v>
      </c>
      <c r="H2848">
        <f t="shared" si="325"/>
        <v>3</v>
      </c>
      <c r="I2848" s="5" t="s">
        <v>898</v>
      </c>
      <c r="J2848" s="5" t="s">
        <v>788</v>
      </c>
      <c r="K2848" s="5" t="s">
        <v>898</v>
      </c>
      <c r="L2848" s="7" t="s">
        <v>753</v>
      </c>
      <c r="Q2848" t="s">
        <v>620</v>
      </c>
      <c r="R2848">
        <v>22</v>
      </c>
      <c r="S2848">
        <v>1</v>
      </c>
      <c r="T2848" t="str">
        <f t="shared" si="326"/>
        <v>e</v>
      </c>
      <c r="U2848" t="s">
        <v>15</v>
      </c>
      <c r="V2848" t="s">
        <v>697</v>
      </c>
      <c r="X2848" t="s">
        <v>706</v>
      </c>
      <c r="Y2848" t="s">
        <v>725</v>
      </c>
      <c r="AA2848" t="s">
        <v>706</v>
      </c>
      <c r="AF2848" t="s">
        <v>623</v>
      </c>
      <c r="AM2848" t="str">
        <f t="shared" si="327"/>
        <v>Possession</v>
      </c>
      <c r="AN2848" t="str">
        <f t="shared" si="328"/>
        <v>PuckRetrieval</v>
      </c>
      <c r="AP2848" t="str">
        <f t="shared" si="329"/>
        <v>Offensive</v>
      </c>
    </row>
    <row r="2849" spans="1:42" x14ac:dyDescent="0.2">
      <c r="A2849">
        <v>1480</v>
      </c>
      <c r="H2849">
        <f t="shared" si="325"/>
        <v>3</v>
      </c>
      <c r="I2849" s="5" t="s">
        <v>898</v>
      </c>
      <c r="J2849" s="5" t="s">
        <v>753</v>
      </c>
      <c r="Q2849" t="s">
        <v>620</v>
      </c>
      <c r="R2849">
        <v>22</v>
      </c>
      <c r="S2849">
        <v>1</v>
      </c>
      <c r="T2849" t="str">
        <f t="shared" si="326"/>
        <v>e</v>
      </c>
      <c r="U2849" t="s">
        <v>8</v>
      </c>
      <c r="V2849" t="s">
        <v>189</v>
      </c>
      <c r="W2849" t="s">
        <v>70</v>
      </c>
      <c r="X2849" t="s">
        <v>706</v>
      </c>
      <c r="Y2849" t="s">
        <v>678</v>
      </c>
      <c r="AA2849" t="s">
        <v>706</v>
      </c>
      <c r="AF2849" t="s">
        <v>623</v>
      </c>
      <c r="AM2849" t="str">
        <f t="shared" si="327"/>
        <v>Pass</v>
      </c>
      <c r="AN2849" t="str">
        <f t="shared" si="328"/>
        <v>Pass_Completed</v>
      </c>
      <c r="AP2849" t="str">
        <f t="shared" si="329"/>
        <v>Offensive</v>
      </c>
    </row>
    <row r="2850" spans="1:42" x14ac:dyDescent="0.2">
      <c r="A2850">
        <v>1480</v>
      </c>
      <c r="H2850">
        <f t="shared" si="325"/>
        <v>3</v>
      </c>
      <c r="R2850">
        <v>70</v>
      </c>
      <c r="S2850">
        <v>1</v>
      </c>
      <c r="T2850" t="str">
        <f t="shared" si="326"/>
        <v>e</v>
      </c>
      <c r="AM2850" t="str">
        <f t="shared" si="327"/>
        <v>Pass</v>
      </c>
      <c r="AN2850" t="str">
        <f t="shared" si="328"/>
        <v>Pass_Completed</v>
      </c>
      <c r="AP2850" t="str">
        <f t="shared" si="329"/>
        <v>Offensive</v>
      </c>
    </row>
    <row r="2851" spans="1:42" x14ac:dyDescent="0.2">
      <c r="A2851">
        <v>1481</v>
      </c>
      <c r="H2851">
        <f t="shared" si="325"/>
        <v>3</v>
      </c>
      <c r="I2851" s="5" t="s">
        <v>898</v>
      </c>
      <c r="J2851" s="5" t="s">
        <v>753</v>
      </c>
      <c r="Q2851" t="s">
        <v>620</v>
      </c>
      <c r="R2851">
        <v>22</v>
      </c>
      <c r="S2851">
        <v>1</v>
      </c>
      <c r="T2851" t="str">
        <f t="shared" si="326"/>
        <v>e</v>
      </c>
      <c r="U2851" t="s">
        <v>257</v>
      </c>
      <c r="V2851" t="s">
        <v>201</v>
      </c>
      <c r="W2851" t="s">
        <v>91</v>
      </c>
      <c r="X2851" t="s">
        <v>706</v>
      </c>
      <c r="Y2851" t="s">
        <v>678</v>
      </c>
      <c r="AF2851" t="s">
        <v>623</v>
      </c>
      <c r="AM2851" t="str">
        <f t="shared" si="327"/>
        <v>Zone_Entry_Exit</v>
      </c>
      <c r="AN2851" t="str">
        <f t="shared" si="328"/>
        <v>Zone_Exit</v>
      </c>
      <c r="AP2851" t="str">
        <f t="shared" si="329"/>
        <v>Offensive</v>
      </c>
    </row>
    <row r="2852" spans="1:42" x14ac:dyDescent="0.2">
      <c r="A2852">
        <v>1481</v>
      </c>
      <c r="H2852">
        <f t="shared" si="325"/>
        <v>3</v>
      </c>
      <c r="R2852">
        <v>70</v>
      </c>
      <c r="S2852">
        <v>1</v>
      </c>
      <c r="T2852" t="str">
        <f t="shared" si="326"/>
        <v>e</v>
      </c>
      <c r="AM2852" t="str">
        <f t="shared" si="327"/>
        <v>Zone_Entry_Exit</v>
      </c>
      <c r="AN2852" t="str">
        <f t="shared" si="328"/>
        <v>Zone_Exit</v>
      </c>
      <c r="AP2852" t="str">
        <f t="shared" si="329"/>
        <v>Offensive</v>
      </c>
    </row>
    <row r="2853" spans="1:42" x14ac:dyDescent="0.2">
      <c r="A2853">
        <v>1482</v>
      </c>
      <c r="H2853">
        <f t="shared" si="325"/>
        <v>3</v>
      </c>
      <c r="I2853" s="5" t="s">
        <v>898</v>
      </c>
      <c r="J2853" s="5" t="s">
        <v>672</v>
      </c>
      <c r="K2853" s="5" t="s">
        <v>898</v>
      </c>
      <c r="L2853" s="7" t="s">
        <v>810</v>
      </c>
      <c r="Q2853" t="s">
        <v>620</v>
      </c>
      <c r="R2853">
        <v>70</v>
      </c>
      <c r="S2853">
        <v>1</v>
      </c>
      <c r="T2853" t="str">
        <f t="shared" si="326"/>
        <v>e</v>
      </c>
      <c r="U2853" t="s">
        <v>257</v>
      </c>
      <c r="V2853" t="s">
        <v>191</v>
      </c>
      <c r="W2853" t="s">
        <v>87</v>
      </c>
      <c r="X2853" t="s">
        <v>706</v>
      </c>
      <c r="AF2853" t="s">
        <v>401</v>
      </c>
      <c r="AM2853" t="str">
        <f t="shared" si="327"/>
        <v>Zone_Entry_Exit</v>
      </c>
      <c r="AN2853" t="str">
        <f t="shared" si="328"/>
        <v>Zone_Entry</v>
      </c>
      <c r="AP2853" t="str">
        <f t="shared" si="329"/>
        <v>Offensive</v>
      </c>
    </row>
    <row r="2854" spans="1:42" x14ac:dyDescent="0.2">
      <c r="A2854">
        <v>1482</v>
      </c>
      <c r="H2854">
        <f t="shared" si="325"/>
        <v>3</v>
      </c>
      <c r="R2854">
        <v>25</v>
      </c>
      <c r="T2854" t="str">
        <f t="shared" si="326"/>
        <v>o</v>
      </c>
      <c r="AM2854" t="str">
        <f t="shared" si="327"/>
        <v>Zone_Entry_Exit</v>
      </c>
      <c r="AN2854" t="str">
        <f t="shared" si="328"/>
        <v>Zone_Entry</v>
      </c>
      <c r="AP2854" t="str">
        <f t="shared" si="329"/>
        <v>Defensive</v>
      </c>
    </row>
    <row r="2855" spans="1:42" x14ac:dyDescent="0.2">
      <c r="A2855">
        <v>1482</v>
      </c>
      <c r="H2855">
        <f t="shared" si="325"/>
        <v>3</v>
      </c>
      <c r="R2855">
        <v>4</v>
      </c>
      <c r="T2855" t="str">
        <f t="shared" si="326"/>
        <v>o</v>
      </c>
      <c r="AM2855" t="str">
        <f t="shared" si="327"/>
        <v>Zone_Entry_Exit</v>
      </c>
      <c r="AN2855" t="str">
        <f t="shared" si="328"/>
        <v>Zone_Entry</v>
      </c>
      <c r="AP2855" t="str">
        <f t="shared" si="329"/>
        <v>Defensive</v>
      </c>
    </row>
    <row r="2856" spans="1:42" x14ac:dyDescent="0.2">
      <c r="A2856">
        <v>1483</v>
      </c>
      <c r="B2856">
        <v>227</v>
      </c>
      <c r="H2856">
        <f t="shared" si="325"/>
        <v>3</v>
      </c>
      <c r="I2856" s="5" t="s">
        <v>898</v>
      </c>
      <c r="J2856" s="5" t="s">
        <v>810</v>
      </c>
      <c r="Q2856" t="s">
        <v>620</v>
      </c>
      <c r="R2856">
        <v>70</v>
      </c>
      <c r="S2856">
        <v>1</v>
      </c>
      <c r="T2856" t="str">
        <f t="shared" si="326"/>
        <v>e</v>
      </c>
      <c r="U2856" t="s">
        <v>7</v>
      </c>
      <c r="V2856" t="s">
        <v>222</v>
      </c>
      <c r="W2856" t="s">
        <v>53</v>
      </c>
      <c r="X2856" t="s">
        <v>706</v>
      </c>
      <c r="AF2856" t="s">
        <v>401</v>
      </c>
      <c r="AM2856" t="str">
        <f t="shared" si="327"/>
        <v>Shot</v>
      </c>
      <c r="AN2856" t="str">
        <f t="shared" si="328"/>
        <v>Shot_OnNetSaved</v>
      </c>
      <c r="AP2856" t="str">
        <f t="shared" si="329"/>
        <v>Offensive</v>
      </c>
    </row>
    <row r="2857" spans="1:42" x14ac:dyDescent="0.2">
      <c r="A2857">
        <v>1483</v>
      </c>
      <c r="B2857">
        <v>227</v>
      </c>
      <c r="H2857">
        <f t="shared" si="325"/>
        <v>3</v>
      </c>
      <c r="R2857">
        <v>30</v>
      </c>
      <c r="T2857" t="str">
        <f t="shared" si="326"/>
        <v>o</v>
      </c>
      <c r="AM2857" t="str">
        <f t="shared" si="327"/>
        <v>Shot</v>
      </c>
      <c r="AN2857" t="str">
        <f t="shared" si="328"/>
        <v>Shot_OnNetSaved</v>
      </c>
      <c r="AP2857" t="str">
        <f t="shared" si="329"/>
        <v>Defensive</v>
      </c>
    </row>
    <row r="2858" spans="1:42" x14ac:dyDescent="0.2">
      <c r="A2858">
        <v>1484</v>
      </c>
      <c r="B2858">
        <v>227</v>
      </c>
      <c r="H2858">
        <f t="shared" si="325"/>
        <v>3</v>
      </c>
      <c r="I2858" s="5" t="s">
        <v>898</v>
      </c>
      <c r="J2858" s="5" t="s">
        <v>810</v>
      </c>
      <c r="Q2858" t="s">
        <v>619</v>
      </c>
      <c r="R2858">
        <v>30</v>
      </c>
      <c r="S2858">
        <v>1</v>
      </c>
      <c r="T2858" t="str">
        <f t="shared" si="326"/>
        <v>e</v>
      </c>
      <c r="U2858" t="s">
        <v>17</v>
      </c>
      <c r="V2858" t="s">
        <v>206</v>
      </c>
      <c r="W2858" t="s">
        <v>103</v>
      </c>
      <c r="AF2858" t="s">
        <v>623</v>
      </c>
      <c r="AM2858" t="str">
        <f t="shared" si="327"/>
        <v>Save</v>
      </c>
      <c r="AN2858" t="str">
        <f t="shared" si="328"/>
        <v>Save_Freeze</v>
      </c>
      <c r="AP2858" t="str">
        <f t="shared" si="329"/>
        <v>Defensive</v>
      </c>
    </row>
    <row r="2859" spans="1:42" x14ac:dyDescent="0.2">
      <c r="A2859">
        <v>1484</v>
      </c>
      <c r="B2859">
        <v>227</v>
      </c>
      <c r="H2859">
        <f t="shared" si="325"/>
        <v>3</v>
      </c>
      <c r="R2859">
        <v>70</v>
      </c>
      <c r="T2859" t="str">
        <f t="shared" si="326"/>
        <v>o</v>
      </c>
      <c r="AM2859" t="str">
        <f t="shared" si="327"/>
        <v>Save</v>
      </c>
      <c r="AN2859" t="str">
        <f t="shared" si="328"/>
        <v>Save_Freeze</v>
      </c>
      <c r="AP2859" t="str">
        <f t="shared" si="329"/>
        <v>Offensive</v>
      </c>
    </row>
    <row r="2860" spans="1:42" x14ac:dyDescent="0.2">
      <c r="A2860">
        <v>1485</v>
      </c>
      <c r="B2860">
        <v>227</v>
      </c>
      <c r="H2860">
        <f t="shared" si="325"/>
        <v>3</v>
      </c>
      <c r="I2860" s="5" t="s">
        <v>898</v>
      </c>
      <c r="J2860" s="5" t="s">
        <v>682</v>
      </c>
      <c r="Q2860" t="s">
        <v>619</v>
      </c>
      <c r="R2860">
        <v>30</v>
      </c>
      <c r="S2860">
        <v>1</v>
      </c>
      <c r="T2860" t="str">
        <f t="shared" si="326"/>
        <v>e</v>
      </c>
      <c r="U2860" t="s">
        <v>13</v>
      </c>
      <c r="V2860" t="s">
        <v>204</v>
      </c>
      <c r="W2860" t="s">
        <v>110</v>
      </c>
      <c r="AF2860" t="s">
        <v>623</v>
      </c>
      <c r="AM2860" t="str">
        <f t="shared" si="327"/>
        <v>Stoppage</v>
      </c>
      <c r="AN2860" t="str">
        <f t="shared" si="328"/>
        <v>Stoppage_Play</v>
      </c>
      <c r="AP2860" t="str">
        <f t="shared" si="329"/>
        <v/>
      </c>
    </row>
    <row r="2861" spans="1:42" x14ac:dyDescent="0.2">
      <c r="A2861">
        <v>1486</v>
      </c>
      <c r="B2861">
        <v>227</v>
      </c>
      <c r="H2861">
        <f t="shared" si="325"/>
        <v>3</v>
      </c>
      <c r="I2861" s="5" t="s">
        <v>898</v>
      </c>
      <c r="J2861" s="5" t="s">
        <v>682</v>
      </c>
      <c r="K2861" s="5" t="s">
        <v>898</v>
      </c>
      <c r="L2861" s="7" t="s">
        <v>760</v>
      </c>
      <c r="Q2861" t="s">
        <v>619</v>
      </c>
      <c r="R2861">
        <v>30</v>
      </c>
      <c r="S2861">
        <v>1</v>
      </c>
      <c r="T2861" t="str">
        <f t="shared" si="326"/>
        <v>e</v>
      </c>
      <c r="U2861" t="s">
        <v>262</v>
      </c>
      <c r="AF2861" t="s">
        <v>623</v>
      </c>
      <c r="AM2861" t="str">
        <f t="shared" si="327"/>
        <v>DeadIce</v>
      </c>
      <c r="AN2861" t="str">
        <f t="shared" si="328"/>
        <v/>
      </c>
      <c r="AP2861" t="str">
        <f t="shared" si="329"/>
        <v/>
      </c>
    </row>
    <row r="2862" spans="1:42" x14ac:dyDescent="0.2">
      <c r="A2862">
        <v>1487</v>
      </c>
      <c r="H2862">
        <f t="shared" si="325"/>
        <v>3</v>
      </c>
      <c r="I2862" s="5" t="s">
        <v>898</v>
      </c>
      <c r="J2862" s="5" t="s">
        <v>760</v>
      </c>
      <c r="Q2862" t="s">
        <v>619</v>
      </c>
      <c r="R2862">
        <v>77</v>
      </c>
      <c r="S2862">
        <v>1</v>
      </c>
      <c r="T2862" t="str">
        <f t="shared" si="326"/>
        <v>e</v>
      </c>
      <c r="U2862" t="s">
        <v>6</v>
      </c>
      <c r="V2862" t="s">
        <v>255</v>
      </c>
      <c r="AF2862" t="s">
        <v>623</v>
      </c>
      <c r="AM2862" t="str">
        <f t="shared" si="327"/>
        <v>Faceoff</v>
      </c>
      <c r="AN2862" t="str">
        <f t="shared" si="328"/>
        <v>Faceoff_AfterStoppage</v>
      </c>
      <c r="AP2862" t="str">
        <f t="shared" si="329"/>
        <v>Offensive</v>
      </c>
    </row>
    <row r="2863" spans="1:42" x14ac:dyDescent="0.2">
      <c r="A2863">
        <v>1487</v>
      </c>
      <c r="H2863">
        <f t="shared" si="325"/>
        <v>3</v>
      </c>
      <c r="R2863">
        <v>70</v>
      </c>
      <c r="T2863" t="str">
        <f t="shared" si="326"/>
        <v>o</v>
      </c>
      <c r="AM2863" t="str">
        <f t="shared" si="327"/>
        <v>Faceoff</v>
      </c>
      <c r="AN2863" t="str">
        <f t="shared" si="328"/>
        <v>Faceoff_AfterStoppage</v>
      </c>
      <c r="AP2863" t="str">
        <f t="shared" si="329"/>
        <v>Defensive</v>
      </c>
    </row>
    <row r="2864" spans="1:42" x14ac:dyDescent="0.2">
      <c r="A2864">
        <v>1488</v>
      </c>
      <c r="H2864">
        <f t="shared" si="325"/>
        <v>3</v>
      </c>
      <c r="I2864" s="5" t="s">
        <v>898</v>
      </c>
      <c r="J2864" s="5" t="s">
        <v>731</v>
      </c>
      <c r="Q2864" t="s">
        <v>619</v>
      </c>
      <c r="R2864">
        <v>56</v>
      </c>
      <c r="S2864">
        <v>1</v>
      </c>
      <c r="T2864" t="str">
        <f t="shared" si="326"/>
        <v>e</v>
      </c>
      <c r="U2864" t="s">
        <v>15</v>
      </c>
      <c r="V2864" t="s">
        <v>698</v>
      </c>
      <c r="X2864" t="s">
        <v>706</v>
      </c>
      <c r="Y2864" t="s">
        <v>907</v>
      </c>
      <c r="AA2864" t="s">
        <v>706</v>
      </c>
      <c r="AF2864" t="s">
        <v>623</v>
      </c>
      <c r="AJ2864">
        <v>1</v>
      </c>
      <c r="AM2864" t="str">
        <f t="shared" si="327"/>
        <v>Possession</v>
      </c>
      <c r="AN2864" t="str">
        <f t="shared" si="328"/>
        <v>PuckRecovery</v>
      </c>
      <c r="AP2864" t="str">
        <f t="shared" si="329"/>
        <v>Offensive</v>
      </c>
    </row>
    <row r="2865" spans="1:42" x14ac:dyDescent="0.2">
      <c r="A2865">
        <v>1488</v>
      </c>
      <c r="H2865">
        <f t="shared" si="325"/>
        <v>3</v>
      </c>
      <c r="R2865">
        <v>55</v>
      </c>
      <c r="T2865" t="str">
        <f t="shared" si="326"/>
        <v>o</v>
      </c>
      <c r="AJ2865">
        <v>1</v>
      </c>
      <c r="AM2865" t="str">
        <f t="shared" si="327"/>
        <v>Possession</v>
      </c>
      <c r="AN2865" t="str">
        <f t="shared" si="328"/>
        <v>PuckRecovery</v>
      </c>
      <c r="AP2865" t="str">
        <f t="shared" si="329"/>
        <v>Defensive</v>
      </c>
    </row>
    <row r="2866" spans="1:42" x14ac:dyDescent="0.2">
      <c r="A2866">
        <v>1489</v>
      </c>
      <c r="H2866">
        <f t="shared" si="325"/>
        <v>3</v>
      </c>
      <c r="I2866" s="5" t="s">
        <v>898</v>
      </c>
      <c r="J2866" s="5" t="s">
        <v>743</v>
      </c>
      <c r="Q2866" t="s">
        <v>619</v>
      </c>
      <c r="R2866">
        <v>56</v>
      </c>
      <c r="S2866">
        <v>1</v>
      </c>
      <c r="T2866" t="str">
        <f t="shared" si="326"/>
        <v>e</v>
      </c>
      <c r="U2866" t="s">
        <v>8</v>
      </c>
      <c r="V2866" t="s">
        <v>189</v>
      </c>
      <c r="W2866" t="s">
        <v>70</v>
      </c>
      <c r="X2866" t="s">
        <v>706</v>
      </c>
      <c r="Y2866" t="s">
        <v>814</v>
      </c>
      <c r="AA2866" t="s">
        <v>706</v>
      </c>
      <c r="AF2866" t="s">
        <v>623</v>
      </c>
      <c r="AJ2866">
        <v>1</v>
      </c>
      <c r="AM2866" t="str">
        <f t="shared" si="327"/>
        <v>Pass</v>
      </c>
      <c r="AN2866" t="str">
        <f t="shared" si="328"/>
        <v>Pass_Completed</v>
      </c>
      <c r="AP2866" t="str">
        <f t="shared" si="329"/>
        <v>Offensive</v>
      </c>
    </row>
    <row r="2867" spans="1:42" x14ac:dyDescent="0.2">
      <c r="A2867">
        <v>1489</v>
      </c>
      <c r="H2867">
        <f t="shared" si="325"/>
        <v>3</v>
      </c>
      <c r="R2867">
        <v>77</v>
      </c>
      <c r="S2867">
        <v>1</v>
      </c>
      <c r="T2867" t="str">
        <f t="shared" si="326"/>
        <v>e</v>
      </c>
      <c r="AM2867" t="str">
        <f t="shared" si="327"/>
        <v>Pass</v>
      </c>
      <c r="AN2867" t="str">
        <f t="shared" si="328"/>
        <v>Pass_Completed</v>
      </c>
      <c r="AP2867" t="str">
        <f t="shared" si="329"/>
        <v>Offensive</v>
      </c>
    </row>
    <row r="2868" spans="1:42" x14ac:dyDescent="0.2">
      <c r="A2868">
        <v>1489</v>
      </c>
      <c r="H2868">
        <f t="shared" si="325"/>
        <v>3</v>
      </c>
      <c r="R2868">
        <v>55</v>
      </c>
      <c r="T2868" t="str">
        <f t="shared" si="326"/>
        <v>o</v>
      </c>
      <c r="AJ2868">
        <v>1</v>
      </c>
      <c r="AM2868" t="str">
        <f t="shared" si="327"/>
        <v>Pass</v>
      </c>
      <c r="AN2868" t="str">
        <f t="shared" si="328"/>
        <v>Pass_Completed</v>
      </c>
      <c r="AP2868" t="str">
        <f t="shared" si="329"/>
        <v>Defensive</v>
      </c>
    </row>
    <row r="2869" spans="1:42" x14ac:dyDescent="0.2">
      <c r="A2869">
        <v>1490</v>
      </c>
      <c r="B2869">
        <v>228</v>
      </c>
      <c r="H2869">
        <f t="shared" si="325"/>
        <v>3</v>
      </c>
      <c r="I2869" s="5" t="s">
        <v>898</v>
      </c>
      <c r="J2869" s="5" t="s">
        <v>448</v>
      </c>
      <c r="Q2869" t="s">
        <v>619</v>
      </c>
      <c r="R2869">
        <v>77</v>
      </c>
      <c r="S2869">
        <v>1</v>
      </c>
      <c r="T2869" t="str">
        <f t="shared" si="326"/>
        <v>e</v>
      </c>
      <c r="U2869" t="s">
        <v>8</v>
      </c>
      <c r="V2869" t="s">
        <v>216</v>
      </c>
      <c r="W2869" t="s">
        <v>70</v>
      </c>
      <c r="X2869" t="s">
        <v>705</v>
      </c>
      <c r="Y2869" t="s">
        <v>814</v>
      </c>
      <c r="AA2869" t="s">
        <v>705</v>
      </c>
      <c r="AF2869" t="s">
        <v>623</v>
      </c>
      <c r="AM2869" t="str">
        <f t="shared" si="327"/>
        <v>Pass</v>
      </c>
      <c r="AN2869" t="str">
        <f t="shared" si="328"/>
        <v>Pass_Intercepted</v>
      </c>
      <c r="AP2869" t="str">
        <f t="shared" si="329"/>
        <v>Offensive</v>
      </c>
    </row>
    <row r="2870" spans="1:42" x14ac:dyDescent="0.2">
      <c r="A2870">
        <v>1490</v>
      </c>
      <c r="B2870">
        <v>228</v>
      </c>
      <c r="H2870">
        <f t="shared" si="325"/>
        <v>3</v>
      </c>
      <c r="R2870">
        <v>12</v>
      </c>
      <c r="S2870">
        <v>1</v>
      </c>
      <c r="T2870" t="str">
        <f t="shared" si="326"/>
        <v>e</v>
      </c>
      <c r="AJ2870">
        <v>1</v>
      </c>
      <c r="AM2870" t="str">
        <f t="shared" si="327"/>
        <v>Pass</v>
      </c>
      <c r="AN2870" t="str">
        <f t="shared" si="328"/>
        <v>Pass_Intercepted</v>
      </c>
      <c r="AP2870" t="str">
        <f t="shared" si="329"/>
        <v>Offensive</v>
      </c>
    </row>
    <row r="2871" spans="1:42" x14ac:dyDescent="0.2">
      <c r="A2871">
        <v>1490</v>
      </c>
      <c r="B2871">
        <v>228</v>
      </c>
      <c r="H2871">
        <f t="shared" si="325"/>
        <v>3</v>
      </c>
      <c r="R2871">
        <v>22</v>
      </c>
      <c r="T2871" t="str">
        <f t="shared" si="326"/>
        <v>o</v>
      </c>
      <c r="Y2871" t="s">
        <v>723</v>
      </c>
      <c r="AA2871" t="s">
        <v>706</v>
      </c>
      <c r="AJ2871">
        <v>1</v>
      </c>
      <c r="AM2871" t="str">
        <f t="shared" si="327"/>
        <v>Pass</v>
      </c>
      <c r="AN2871" t="str">
        <f t="shared" si="328"/>
        <v>Pass_Intercepted</v>
      </c>
      <c r="AP2871" t="str">
        <f t="shared" si="329"/>
        <v>Defensive</v>
      </c>
    </row>
    <row r="2872" spans="1:42" x14ac:dyDescent="0.2">
      <c r="A2872">
        <v>1491</v>
      </c>
      <c r="B2872">
        <v>228</v>
      </c>
      <c r="H2872">
        <f t="shared" si="325"/>
        <v>3</v>
      </c>
      <c r="I2872" s="5" t="s">
        <v>898</v>
      </c>
      <c r="J2872" s="5" t="s">
        <v>448</v>
      </c>
      <c r="Q2872" t="s">
        <v>619</v>
      </c>
      <c r="R2872">
        <v>77</v>
      </c>
      <c r="S2872">
        <v>1</v>
      </c>
      <c r="T2872" t="str">
        <f t="shared" ref="T2872:T2874" si="330">IF(S2872="x","",IF(S2872=1,"e","o"))</f>
        <v>e</v>
      </c>
      <c r="U2872" t="s">
        <v>10</v>
      </c>
      <c r="V2872" t="s">
        <v>190</v>
      </c>
      <c r="W2872" t="s">
        <v>75</v>
      </c>
      <c r="X2872" t="s">
        <v>705</v>
      </c>
      <c r="Y2872" t="s">
        <v>814</v>
      </c>
      <c r="AA2872" t="s">
        <v>705</v>
      </c>
      <c r="AF2872" t="s">
        <v>623</v>
      </c>
      <c r="AM2872" t="str">
        <f t="shared" si="327"/>
        <v>Turnover</v>
      </c>
      <c r="AN2872" t="str">
        <f t="shared" si="328"/>
        <v>Turnover_Giveaway</v>
      </c>
      <c r="AP2872" t="str">
        <f t="shared" si="329"/>
        <v>Offensive</v>
      </c>
    </row>
    <row r="2873" spans="1:42" x14ac:dyDescent="0.2">
      <c r="A2873">
        <v>1491</v>
      </c>
      <c r="B2873">
        <v>228</v>
      </c>
      <c r="H2873">
        <f t="shared" si="325"/>
        <v>3</v>
      </c>
      <c r="R2873">
        <v>12</v>
      </c>
      <c r="S2873">
        <v>1</v>
      </c>
      <c r="T2873" t="str">
        <f t="shared" si="330"/>
        <v>e</v>
      </c>
      <c r="AJ2873">
        <v>1</v>
      </c>
      <c r="AM2873" t="str">
        <f t="shared" si="327"/>
        <v>Turnover</v>
      </c>
      <c r="AN2873" t="str">
        <f t="shared" si="328"/>
        <v>Turnover_Giveaway</v>
      </c>
      <c r="AP2873" t="str">
        <f t="shared" si="329"/>
        <v>Offensive</v>
      </c>
    </row>
    <row r="2874" spans="1:42" x14ac:dyDescent="0.2">
      <c r="A2874">
        <v>1491</v>
      </c>
      <c r="B2874">
        <v>228</v>
      </c>
      <c r="H2874">
        <f t="shared" si="325"/>
        <v>3</v>
      </c>
      <c r="R2874">
        <v>22</v>
      </c>
      <c r="T2874" t="str">
        <f t="shared" si="330"/>
        <v>o</v>
      </c>
      <c r="Y2874" t="s">
        <v>723</v>
      </c>
      <c r="AA2874" t="s">
        <v>706</v>
      </c>
      <c r="AJ2874">
        <v>1</v>
      </c>
      <c r="AM2874" t="str">
        <f t="shared" si="327"/>
        <v>Turnover</v>
      </c>
      <c r="AN2874" t="str">
        <f t="shared" si="328"/>
        <v>Turnover_Giveaway</v>
      </c>
      <c r="AP2874" t="str">
        <f t="shared" si="329"/>
        <v>Defensive</v>
      </c>
    </row>
    <row r="2875" spans="1:42" x14ac:dyDescent="0.2">
      <c r="A2875">
        <v>1492</v>
      </c>
      <c r="H2875">
        <f t="shared" si="325"/>
        <v>3</v>
      </c>
      <c r="I2875" s="5" t="s">
        <v>898</v>
      </c>
      <c r="J2875" s="5" t="s">
        <v>448</v>
      </c>
      <c r="Q2875" t="s">
        <v>620</v>
      </c>
      <c r="R2875">
        <v>22</v>
      </c>
      <c r="S2875">
        <v>1</v>
      </c>
      <c r="T2875" t="str">
        <f t="shared" si="326"/>
        <v>e</v>
      </c>
      <c r="U2875" t="s">
        <v>257</v>
      </c>
      <c r="V2875" t="s">
        <v>210</v>
      </c>
      <c r="W2875" t="s">
        <v>93</v>
      </c>
      <c r="X2875" t="s">
        <v>706</v>
      </c>
      <c r="AF2875" t="s">
        <v>401</v>
      </c>
      <c r="AJ2875">
        <v>1</v>
      </c>
      <c r="AM2875" t="str">
        <f t="shared" si="327"/>
        <v>Zone_Entry_Exit</v>
      </c>
      <c r="AN2875" t="str">
        <f t="shared" si="328"/>
        <v>Zone_Keepin</v>
      </c>
      <c r="AP2875" t="str">
        <f t="shared" si="329"/>
        <v>Offensive</v>
      </c>
    </row>
    <row r="2876" spans="1:42" x14ac:dyDescent="0.2">
      <c r="A2876">
        <v>1492</v>
      </c>
      <c r="H2876">
        <f t="shared" si="325"/>
        <v>3</v>
      </c>
      <c r="R2876">
        <v>12</v>
      </c>
      <c r="T2876" t="str">
        <f t="shared" si="326"/>
        <v>o</v>
      </c>
      <c r="Y2876" t="s">
        <v>715</v>
      </c>
      <c r="AA2876" t="s">
        <v>705</v>
      </c>
      <c r="AJ2876">
        <v>1</v>
      </c>
      <c r="AM2876" t="str">
        <f t="shared" si="327"/>
        <v>Zone_Entry_Exit</v>
      </c>
      <c r="AN2876" t="str">
        <f t="shared" si="328"/>
        <v>Zone_Keepin</v>
      </c>
      <c r="AP2876" t="str">
        <f t="shared" si="329"/>
        <v>Defensive</v>
      </c>
    </row>
    <row r="2877" spans="1:42" x14ac:dyDescent="0.2">
      <c r="A2877">
        <v>1493</v>
      </c>
      <c r="H2877">
        <f t="shared" si="325"/>
        <v>3</v>
      </c>
      <c r="I2877" s="5" t="s">
        <v>898</v>
      </c>
      <c r="J2877" s="5" t="s">
        <v>768</v>
      </c>
      <c r="Q2877" t="s">
        <v>620</v>
      </c>
      <c r="R2877">
        <v>70</v>
      </c>
      <c r="S2877">
        <v>1</v>
      </c>
      <c r="T2877" t="str">
        <f t="shared" si="326"/>
        <v>e</v>
      </c>
      <c r="U2877" t="s">
        <v>15</v>
      </c>
      <c r="V2877" t="s">
        <v>698</v>
      </c>
      <c r="X2877" t="s">
        <v>705</v>
      </c>
      <c r="Y2877" t="s">
        <v>752</v>
      </c>
      <c r="AA2877" t="s">
        <v>705</v>
      </c>
      <c r="AF2877" t="s">
        <v>401</v>
      </c>
      <c r="AJ2877">
        <v>1</v>
      </c>
      <c r="AM2877" t="str">
        <f t="shared" si="327"/>
        <v>Possession</v>
      </c>
      <c r="AN2877" t="str">
        <f t="shared" si="328"/>
        <v>PuckRecovery</v>
      </c>
      <c r="AP2877" t="str">
        <f t="shared" si="329"/>
        <v>Offensive</v>
      </c>
    </row>
    <row r="2878" spans="1:42" x14ac:dyDescent="0.2">
      <c r="A2878">
        <v>1493</v>
      </c>
      <c r="H2878">
        <f t="shared" si="325"/>
        <v>3</v>
      </c>
      <c r="R2878">
        <v>56</v>
      </c>
      <c r="T2878" t="str">
        <f t="shared" si="326"/>
        <v>o</v>
      </c>
      <c r="AJ2878">
        <v>1</v>
      </c>
      <c r="AM2878" t="str">
        <f t="shared" si="327"/>
        <v>Possession</v>
      </c>
      <c r="AN2878" t="str">
        <f t="shared" si="328"/>
        <v>PuckRecovery</v>
      </c>
      <c r="AP2878" t="str">
        <f t="shared" si="329"/>
        <v>Defensive</v>
      </c>
    </row>
    <row r="2879" spans="1:42" x14ac:dyDescent="0.2">
      <c r="A2879">
        <v>1494</v>
      </c>
      <c r="B2879">
        <v>229</v>
      </c>
      <c r="H2879">
        <f t="shared" si="325"/>
        <v>3</v>
      </c>
      <c r="I2879" s="5" t="s">
        <v>898</v>
      </c>
      <c r="J2879" s="5" t="s">
        <v>733</v>
      </c>
      <c r="Q2879" t="s">
        <v>620</v>
      </c>
      <c r="R2879">
        <v>70</v>
      </c>
      <c r="S2879">
        <v>1</v>
      </c>
      <c r="T2879" t="str">
        <f t="shared" si="326"/>
        <v>e</v>
      </c>
      <c r="U2879" t="s">
        <v>8</v>
      </c>
      <c r="V2879" t="s">
        <v>199</v>
      </c>
      <c r="W2879" t="s">
        <v>72</v>
      </c>
      <c r="X2879" t="s">
        <v>705</v>
      </c>
      <c r="Y2879" t="s">
        <v>814</v>
      </c>
      <c r="AA2879" t="s">
        <v>705</v>
      </c>
      <c r="AF2879" t="s">
        <v>401</v>
      </c>
      <c r="AJ2879">
        <v>1</v>
      </c>
      <c r="AM2879" t="str">
        <f t="shared" si="327"/>
        <v>Pass</v>
      </c>
      <c r="AN2879" t="str">
        <f t="shared" si="328"/>
        <v>Pass_Missed</v>
      </c>
      <c r="AP2879" t="str">
        <f t="shared" si="329"/>
        <v>Offensive</v>
      </c>
    </row>
    <row r="2880" spans="1:42" x14ac:dyDescent="0.2">
      <c r="A2880">
        <v>1494</v>
      </c>
      <c r="B2880">
        <v>229</v>
      </c>
      <c r="H2880">
        <f t="shared" si="325"/>
        <v>3</v>
      </c>
      <c r="R2880">
        <v>75</v>
      </c>
      <c r="S2880">
        <v>1</v>
      </c>
      <c r="T2880" t="str">
        <f t="shared" si="326"/>
        <v>e</v>
      </c>
      <c r="AM2880" t="str">
        <f t="shared" si="327"/>
        <v>Pass</v>
      </c>
      <c r="AN2880" t="str">
        <f t="shared" si="328"/>
        <v>Pass_Missed</v>
      </c>
      <c r="AP2880" t="str">
        <f t="shared" si="329"/>
        <v>Offensive</v>
      </c>
    </row>
    <row r="2881" spans="1:42" x14ac:dyDescent="0.2">
      <c r="A2881">
        <v>1494</v>
      </c>
      <c r="B2881">
        <v>229</v>
      </c>
      <c r="H2881">
        <f t="shared" si="325"/>
        <v>3</v>
      </c>
      <c r="R2881">
        <v>56</v>
      </c>
      <c r="T2881" t="str">
        <f t="shared" si="326"/>
        <v>o</v>
      </c>
      <c r="Y2881" t="s">
        <v>715</v>
      </c>
      <c r="AJ2881">
        <v>1</v>
      </c>
      <c r="AM2881" t="str">
        <f t="shared" si="327"/>
        <v>Pass</v>
      </c>
      <c r="AN2881" t="str">
        <f t="shared" si="328"/>
        <v>Pass_Missed</v>
      </c>
      <c r="AP2881" t="str">
        <f t="shared" si="329"/>
        <v>Defensive</v>
      </c>
    </row>
    <row r="2882" spans="1:42" x14ac:dyDescent="0.2">
      <c r="A2882">
        <v>1495</v>
      </c>
      <c r="H2882">
        <f t="shared" si="325"/>
        <v>3</v>
      </c>
      <c r="I2882" s="5" t="s">
        <v>898</v>
      </c>
      <c r="J2882" s="5" t="s">
        <v>734</v>
      </c>
      <c r="Q2882" t="s">
        <v>619</v>
      </c>
      <c r="R2882">
        <v>4</v>
      </c>
      <c r="S2882">
        <v>1</v>
      </c>
      <c r="T2882" t="str">
        <f t="shared" si="326"/>
        <v>e</v>
      </c>
      <c r="U2882" t="s">
        <v>15</v>
      </c>
      <c r="V2882" t="s">
        <v>697</v>
      </c>
      <c r="X2882" t="s">
        <v>705</v>
      </c>
      <c r="Y2882" t="s">
        <v>725</v>
      </c>
      <c r="AA2882" t="s">
        <v>705</v>
      </c>
      <c r="AF2882" t="s">
        <v>623</v>
      </c>
      <c r="AJ2882">
        <v>1</v>
      </c>
      <c r="AM2882" t="str">
        <f t="shared" si="327"/>
        <v>Possession</v>
      </c>
      <c r="AN2882" t="str">
        <f t="shared" si="328"/>
        <v>PuckRetrieval</v>
      </c>
      <c r="AP2882" t="str">
        <f t="shared" si="329"/>
        <v>Offensive</v>
      </c>
    </row>
    <row r="2883" spans="1:42" x14ac:dyDescent="0.2">
      <c r="A2883">
        <v>1495</v>
      </c>
      <c r="H2883">
        <f t="shared" si="325"/>
        <v>3</v>
      </c>
      <c r="R2883">
        <v>75</v>
      </c>
      <c r="T2883" t="str">
        <f t="shared" si="326"/>
        <v>o</v>
      </c>
      <c r="AJ2883">
        <v>1</v>
      </c>
      <c r="AM2883" t="str">
        <f t="shared" si="327"/>
        <v>Possession</v>
      </c>
      <c r="AN2883" t="str">
        <f t="shared" si="328"/>
        <v>PuckRetrieval</v>
      </c>
      <c r="AP2883" t="str">
        <f t="shared" si="329"/>
        <v>Defensive</v>
      </c>
    </row>
    <row r="2884" spans="1:42" x14ac:dyDescent="0.2">
      <c r="A2884">
        <v>1496</v>
      </c>
      <c r="B2884">
        <v>229</v>
      </c>
      <c r="H2884">
        <f t="shared" si="325"/>
        <v>3</v>
      </c>
      <c r="I2884" s="5" t="s">
        <v>898</v>
      </c>
      <c r="J2884" s="5" t="s">
        <v>735</v>
      </c>
      <c r="Q2884" t="s">
        <v>619</v>
      </c>
      <c r="R2884">
        <v>70</v>
      </c>
      <c r="S2884">
        <v>1</v>
      </c>
      <c r="T2884" t="str">
        <f t="shared" si="326"/>
        <v>e</v>
      </c>
      <c r="U2884" t="s">
        <v>10</v>
      </c>
      <c r="V2884" t="s">
        <v>190</v>
      </c>
      <c r="W2884" t="s">
        <v>76</v>
      </c>
      <c r="X2884" t="s">
        <v>705</v>
      </c>
      <c r="Y2884" t="s">
        <v>814</v>
      </c>
      <c r="AA2884" t="s">
        <v>705</v>
      </c>
      <c r="AF2884" t="s">
        <v>623</v>
      </c>
      <c r="AJ2884">
        <v>1</v>
      </c>
      <c r="AM2884" t="str">
        <f t="shared" si="327"/>
        <v>Turnover</v>
      </c>
      <c r="AN2884" t="str">
        <f t="shared" si="328"/>
        <v>Turnover_Giveaway</v>
      </c>
      <c r="AP2884" t="str">
        <f t="shared" si="329"/>
        <v>Offensive</v>
      </c>
    </row>
    <row r="2885" spans="1:42" x14ac:dyDescent="0.2">
      <c r="A2885">
        <v>1496</v>
      </c>
      <c r="B2885">
        <v>229</v>
      </c>
      <c r="H2885">
        <f t="shared" ref="H2885:H2948" si="331">IF(U2885="Intermission",H2884+1,H2884)</f>
        <v>3</v>
      </c>
      <c r="R2885">
        <v>75</v>
      </c>
      <c r="S2885">
        <v>1</v>
      </c>
      <c r="T2885" t="str">
        <f t="shared" si="326"/>
        <v>e</v>
      </c>
      <c r="AM2885" t="str">
        <f t="shared" si="327"/>
        <v>Turnover</v>
      </c>
      <c r="AN2885" t="str">
        <f t="shared" si="328"/>
        <v>Turnover_Giveaway</v>
      </c>
      <c r="AP2885" t="str">
        <f t="shared" si="329"/>
        <v>Offensive</v>
      </c>
    </row>
    <row r="2886" spans="1:42" x14ac:dyDescent="0.2">
      <c r="A2886">
        <v>1497</v>
      </c>
      <c r="B2886">
        <v>230</v>
      </c>
      <c r="H2886">
        <f t="shared" ref="H2886:H2888" si="332">IF(U2886="Intermission",H2885+1,H2885)</f>
        <v>3</v>
      </c>
      <c r="I2886" s="5" t="s">
        <v>898</v>
      </c>
      <c r="J2886" s="5" t="s">
        <v>735</v>
      </c>
      <c r="Q2886" t="s">
        <v>619</v>
      </c>
      <c r="R2886">
        <v>4</v>
      </c>
      <c r="S2886">
        <v>1</v>
      </c>
      <c r="T2886" t="str">
        <f t="shared" ref="T2886:T2888" si="333">IF(S2886="x","",IF(S2886=1,"e","o"))</f>
        <v>e</v>
      </c>
      <c r="U2886" t="s">
        <v>8</v>
      </c>
      <c r="V2886" t="s">
        <v>199</v>
      </c>
      <c r="W2886" t="s">
        <v>71</v>
      </c>
      <c r="X2886" t="s">
        <v>705</v>
      </c>
      <c r="Y2886" t="s">
        <v>814</v>
      </c>
      <c r="Z2886" t="s">
        <v>744</v>
      </c>
      <c r="AA2886" t="s">
        <v>705</v>
      </c>
      <c r="AF2886" t="s">
        <v>623</v>
      </c>
      <c r="AJ2886">
        <v>1</v>
      </c>
      <c r="AM2886" t="str">
        <f t="shared" si="327"/>
        <v>Pass</v>
      </c>
      <c r="AN2886" t="str">
        <f t="shared" si="328"/>
        <v>Pass_Missed</v>
      </c>
      <c r="AP2886" t="str">
        <f t="shared" si="329"/>
        <v>Offensive</v>
      </c>
    </row>
    <row r="2887" spans="1:42" x14ac:dyDescent="0.2">
      <c r="A2887">
        <v>1497</v>
      </c>
      <c r="B2887">
        <v>230</v>
      </c>
      <c r="H2887">
        <f t="shared" si="332"/>
        <v>3</v>
      </c>
      <c r="R2887">
        <v>12</v>
      </c>
      <c r="S2887">
        <v>1</v>
      </c>
      <c r="T2887" t="str">
        <f t="shared" si="333"/>
        <v>e</v>
      </c>
      <c r="AM2887" t="str">
        <f t="shared" si="327"/>
        <v>Pass</v>
      </c>
      <c r="AN2887" t="str">
        <f t="shared" si="328"/>
        <v>Pass_Missed</v>
      </c>
      <c r="AP2887" t="str">
        <f t="shared" si="329"/>
        <v>Offensive</v>
      </c>
    </row>
    <row r="2888" spans="1:42" x14ac:dyDescent="0.2">
      <c r="A2888">
        <v>1497</v>
      </c>
      <c r="B2888">
        <v>230</v>
      </c>
      <c r="H2888">
        <f t="shared" si="332"/>
        <v>3</v>
      </c>
      <c r="R2888">
        <v>75</v>
      </c>
      <c r="T2888" t="str">
        <f t="shared" si="333"/>
        <v>o</v>
      </c>
      <c r="AJ2888">
        <v>1</v>
      </c>
      <c r="AM2888" t="str">
        <f t="shared" si="327"/>
        <v>Pass</v>
      </c>
      <c r="AN2888" t="str">
        <f t="shared" si="328"/>
        <v>Pass_Missed</v>
      </c>
      <c r="AP2888" t="str">
        <f t="shared" si="329"/>
        <v>Defensive</v>
      </c>
    </row>
    <row r="2889" spans="1:42" x14ac:dyDescent="0.2">
      <c r="A2889">
        <v>1498</v>
      </c>
      <c r="B2889">
        <v>230</v>
      </c>
      <c r="H2889">
        <f t="shared" si="331"/>
        <v>3</v>
      </c>
      <c r="I2889" s="5" t="s">
        <v>898</v>
      </c>
      <c r="J2889" s="5" t="s">
        <v>735</v>
      </c>
      <c r="Q2889" t="s">
        <v>619</v>
      </c>
      <c r="R2889">
        <v>4</v>
      </c>
      <c r="S2889">
        <v>1</v>
      </c>
      <c r="T2889" t="str">
        <f t="shared" si="326"/>
        <v>e</v>
      </c>
      <c r="U2889" t="s">
        <v>257</v>
      </c>
      <c r="V2889" t="s">
        <v>201</v>
      </c>
      <c r="W2889" t="s">
        <v>409</v>
      </c>
      <c r="X2889" t="s">
        <v>705</v>
      </c>
      <c r="Y2889" t="s">
        <v>814</v>
      </c>
      <c r="Z2889" t="s">
        <v>744</v>
      </c>
      <c r="AA2889" t="s">
        <v>705</v>
      </c>
      <c r="AF2889" t="s">
        <v>623</v>
      </c>
      <c r="AJ2889">
        <v>1</v>
      </c>
      <c r="AM2889" t="str">
        <f t="shared" si="327"/>
        <v>Zone_Entry_Exit</v>
      </c>
      <c r="AN2889" t="str">
        <f t="shared" si="328"/>
        <v>Zone_Exit</v>
      </c>
      <c r="AP2889" t="str">
        <f t="shared" si="329"/>
        <v>Offensive</v>
      </c>
    </row>
    <row r="2890" spans="1:42" x14ac:dyDescent="0.2">
      <c r="A2890">
        <v>1498</v>
      </c>
      <c r="B2890">
        <v>230</v>
      </c>
      <c r="H2890">
        <f t="shared" si="331"/>
        <v>3</v>
      </c>
      <c r="R2890">
        <v>12</v>
      </c>
      <c r="S2890">
        <v>1</v>
      </c>
      <c r="T2890" t="str">
        <f t="shared" si="326"/>
        <v>e</v>
      </c>
      <c r="AM2890" t="str">
        <f t="shared" si="327"/>
        <v>Zone_Entry_Exit</v>
      </c>
      <c r="AN2890" t="str">
        <f t="shared" si="328"/>
        <v>Zone_Exit</v>
      </c>
      <c r="AP2890" t="str">
        <f t="shared" si="329"/>
        <v>Offensive</v>
      </c>
    </row>
    <row r="2891" spans="1:42" x14ac:dyDescent="0.2">
      <c r="A2891">
        <v>1498</v>
      </c>
      <c r="B2891">
        <v>230</v>
      </c>
      <c r="H2891">
        <f t="shared" si="331"/>
        <v>3</v>
      </c>
      <c r="R2891">
        <v>75</v>
      </c>
      <c r="T2891" t="str">
        <f t="shared" si="326"/>
        <v>o</v>
      </c>
      <c r="AJ2891">
        <v>1</v>
      </c>
      <c r="AM2891" t="str">
        <f t="shared" si="327"/>
        <v>Zone_Entry_Exit</v>
      </c>
      <c r="AN2891" t="str">
        <f t="shared" si="328"/>
        <v>Zone_Exit</v>
      </c>
      <c r="AP2891" t="str">
        <f t="shared" si="329"/>
        <v>Defensive</v>
      </c>
    </row>
    <row r="2892" spans="1:42" x14ac:dyDescent="0.2">
      <c r="A2892">
        <v>1499</v>
      </c>
      <c r="B2892">
        <v>230</v>
      </c>
      <c r="H2892">
        <f t="shared" si="331"/>
        <v>3</v>
      </c>
      <c r="I2892" s="5" t="s">
        <v>898</v>
      </c>
      <c r="J2892" s="5" t="s">
        <v>735</v>
      </c>
      <c r="Q2892" t="s">
        <v>619</v>
      </c>
      <c r="R2892">
        <v>4</v>
      </c>
      <c r="S2892">
        <v>1</v>
      </c>
      <c r="T2892" t="str">
        <f t="shared" ref="T2892:T2955" si="334">IF(S2892="x","",IF(S2892=1,"e","o"))</f>
        <v>e</v>
      </c>
      <c r="U2892" t="s">
        <v>257</v>
      </c>
      <c r="V2892" t="s">
        <v>191</v>
      </c>
      <c r="W2892" t="s">
        <v>423</v>
      </c>
      <c r="X2892" t="s">
        <v>705</v>
      </c>
      <c r="Y2892" t="s">
        <v>814</v>
      </c>
      <c r="Z2892" t="s">
        <v>744</v>
      </c>
      <c r="AA2892" t="s">
        <v>705</v>
      </c>
      <c r="AF2892" t="s">
        <v>623</v>
      </c>
      <c r="AJ2892">
        <v>1</v>
      </c>
      <c r="AM2892" t="str">
        <f t="shared" si="327"/>
        <v>Zone_Entry_Exit</v>
      </c>
      <c r="AN2892" t="str">
        <f t="shared" si="328"/>
        <v>Zone_Entry</v>
      </c>
      <c r="AP2892" t="str">
        <f t="shared" si="329"/>
        <v>Offensive</v>
      </c>
    </row>
    <row r="2893" spans="1:42" x14ac:dyDescent="0.2">
      <c r="A2893">
        <v>1499</v>
      </c>
      <c r="B2893">
        <v>230</v>
      </c>
      <c r="H2893">
        <f t="shared" si="331"/>
        <v>3</v>
      </c>
      <c r="R2893">
        <v>12</v>
      </c>
      <c r="S2893">
        <v>1</v>
      </c>
      <c r="T2893" t="str">
        <f t="shared" si="334"/>
        <v>e</v>
      </c>
      <c r="AM2893" t="str">
        <f t="shared" si="327"/>
        <v>Zone_Entry_Exit</v>
      </c>
      <c r="AN2893" t="str">
        <f t="shared" si="328"/>
        <v>Zone_Entry</v>
      </c>
      <c r="AP2893" t="str">
        <f t="shared" si="329"/>
        <v>Offensive</v>
      </c>
    </row>
    <row r="2894" spans="1:42" x14ac:dyDescent="0.2">
      <c r="A2894">
        <v>1499</v>
      </c>
      <c r="B2894">
        <v>230</v>
      </c>
      <c r="H2894">
        <f t="shared" si="331"/>
        <v>3</v>
      </c>
      <c r="R2894">
        <v>75</v>
      </c>
      <c r="T2894" t="str">
        <f t="shared" si="334"/>
        <v>o</v>
      </c>
      <c r="AJ2894">
        <v>1</v>
      </c>
      <c r="AM2894" t="str">
        <f t="shared" si="327"/>
        <v>Zone_Entry_Exit</v>
      </c>
      <c r="AN2894" t="str">
        <f t="shared" si="328"/>
        <v>Zone_Entry</v>
      </c>
      <c r="AP2894" t="str">
        <f t="shared" si="329"/>
        <v>Defensive</v>
      </c>
    </row>
    <row r="2895" spans="1:42" x14ac:dyDescent="0.2">
      <c r="A2895">
        <v>1500</v>
      </c>
      <c r="B2895">
        <v>230</v>
      </c>
      <c r="H2895">
        <f t="shared" si="331"/>
        <v>3</v>
      </c>
      <c r="I2895" s="5" t="s">
        <v>898</v>
      </c>
      <c r="J2895" s="5" t="s">
        <v>735</v>
      </c>
      <c r="Q2895" t="s">
        <v>619</v>
      </c>
      <c r="R2895">
        <v>4</v>
      </c>
      <c r="S2895">
        <v>1</v>
      </c>
      <c r="T2895" t="str">
        <f t="shared" si="334"/>
        <v>e</v>
      </c>
      <c r="U2895" t="s">
        <v>10</v>
      </c>
      <c r="V2895" t="s">
        <v>190</v>
      </c>
      <c r="W2895" t="s">
        <v>76</v>
      </c>
      <c r="X2895" t="s">
        <v>705</v>
      </c>
      <c r="Y2895" t="s">
        <v>814</v>
      </c>
      <c r="Z2895" t="s">
        <v>744</v>
      </c>
      <c r="AA2895" t="s">
        <v>705</v>
      </c>
      <c r="AF2895" t="s">
        <v>623</v>
      </c>
      <c r="AJ2895">
        <v>1</v>
      </c>
      <c r="AM2895" t="str">
        <f t="shared" ref="AM2895:AM2958" si="335">IF(U2895&lt;&gt;"",U2895,IF($A2895=$A2894,AM2894,""))</f>
        <v>Turnover</v>
      </c>
      <c r="AN2895" t="str">
        <f t="shared" ref="AN2895:AN2958" si="336">IF(V2895&lt;&gt;"",V2895,IF($A2895=$A2894,AN2894,""))</f>
        <v>Turnover_Giveaway</v>
      </c>
      <c r="AP2895" t="str">
        <f t="shared" ref="AP2895:AP2958" si="337">IF(AND(T2895="e",OR(AM2895="Save",AN2895="Turnover_Takeaway",AN2895="Play_Defensive")),"Defensive",IF(AND(T2895="o",OR(AM2895="Save",AN2895="Turnover_Takeaway",AN2895="Play_Defensive")),"Offensive",IF(OR(AM2895="Deadice",AM2895="Stoppage",AM2895="Intermission"),"",IF(T2895="e","Offensive",IF(T2895="o","Defensive","")))))</f>
        <v>Offensive</v>
      </c>
    </row>
    <row r="2896" spans="1:42" x14ac:dyDescent="0.2">
      <c r="A2896">
        <v>1500</v>
      </c>
      <c r="B2896">
        <v>230</v>
      </c>
      <c r="H2896">
        <f t="shared" si="331"/>
        <v>3</v>
      </c>
      <c r="R2896">
        <v>12</v>
      </c>
      <c r="S2896">
        <v>1</v>
      </c>
      <c r="T2896" t="str">
        <f t="shared" si="334"/>
        <v>e</v>
      </c>
      <c r="AM2896" t="str">
        <f t="shared" si="335"/>
        <v>Turnover</v>
      </c>
      <c r="AN2896" t="str">
        <f t="shared" si="336"/>
        <v>Turnover_Giveaway</v>
      </c>
      <c r="AP2896" t="str">
        <f t="shared" si="337"/>
        <v>Offensive</v>
      </c>
    </row>
    <row r="2897" spans="1:42" x14ac:dyDescent="0.2">
      <c r="A2897">
        <v>1500</v>
      </c>
      <c r="B2897">
        <v>230</v>
      </c>
      <c r="H2897">
        <f t="shared" si="331"/>
        <v>3</v>
      </c>
      <c r="R2897">
        <v>75</v>
      </c>
      <c r="T2897" t="str">
        <f t="shared" si="334"/>
        <v>o</v>
      </c>
      <c r="AJ2897">
        <v>1</v>
      </c>
      <c r="AM2897" t="str">
        <f t="shared" si="335"/>
        <v>Turnover</v>
      </c>
      <c r="AN2897" t="str">
        <f t="shared" si="336"/>
        <v>Turnover_Giveaway</v>
      </c>
      <c r="AP2897" t="str">
        <f t="shared" si="337"/>
        <v>Defensive</v>
      </c>
    </row>
    <row r="2898" spans="1:42" x14ac:dyDescent="0.2">
      <c r="A2898">
        <v>1501</v>
      </c>
      <c r="H2898">
        <f t="shared" si="331"/>
        <v>3</v>
      </c>
      <c r="I2898" s="5" t="s">
        <v>898</v>
      </c>
      <c r="J2898" s="5" t="s">
        <v>447</v>
      </c>
      <c r="K2898" s="5" t="s">
        <v>898</v>
      </c>
      <c r="L2898" s="7" t="s">
        <v>738</v>
      </c>
      <c r="Q2898" t="s">
        <v>620</v>
      </c>
      <c r="R2898">
        <v>9</v>
      </c>
      <c r="S2898">
        <v>1</v>
      </c>
      <c r="T2898" t="str">
        <f t="shared" si="334"/>
        <v>e</v>
      </c>
      <c r="U2898" t="s">
        <v>15</v>
      </c>
      <c r="V2898" t="s">
        <v>697</v>
      </c>
      <c r="X2898" t="s">
        <v>706</v>
      </c>
      <c r="Y2898" t="s">
        <v>712</v>
      </c>
      <c r="AA2898" t="s">
        <v>706</v>
      </c>
      <c r="AF2898" t="s">
        <v>623</v>
      </c>
      <c r="AM2898" t="str">
        <f t="shared" si="335"/>
        <v>Possession</v>
      </c>
      <c r="AN2898" t="str">
        <f t="shared" si="336"/>
        <v>PuckRetrieval</v>
      </c>
      <c r="AP2898" t="str">
        <f t="shared" si="337"/>
        <v>Offensive</v>
      </c>
    </row>
    <row r="2899" spans="1:42" x14ac:dyDescent="0.2">
      <c r="A2899">
        <v>1502</v>
      </c>
      <c r="B2899">
        <v>231</v>
      </c>
      <c r="H2899">
        <f t="shared" si="331"/>
        <v>3</v>
      </c>
      <c r="I2899" s="5" t="s">
        <v>898</v>
      </c>
      <c r="J2899" s="5" t="s">
        <v>738</v>
      </c>
      <c r="R2899">
        <v>9</v>
      </c>
      <c r="S2899">
        <v>1</v>
      </c>
      <c r="T2899" t="str">
        <f t="shared" si="334"/>
        <v>e</v>
      </c>
      <c r="U2899" t="s">
        <v>8</v>
      </c>
      <c r="V2899" t="s">
        <v>189</v>
      </c>
      <c r="W2899" t="s">
        <v>67</v>
      </c>
      <c r="X2899" t="s">
        <v>706</v>
      </c>
      <c r="Y2899" t="s">
        <v>678</v>
      </c>
      <c r="AA2899" t="s">
        <v>706</v>
      </c>
      <c r="AF2899" t="s">
        <v>623</v>
      </c>
      <c r="AM2899" t="str">
        <f t="shared" si="335"/>
        <v>Pass</v>
      </c>
      <c r="AN2899" t="str">
        <f t="shared" si="336"/>
        <v>Pass_Completed</v>
      </c>
      <c r="AP2899" t="str">
        <f t="shared" si="337"/>
        <v>Offensive</v>
      </c>
    </row>
    <row r="2900" spans="1:42" x14ac:dyDescent="0.2">
      <c r="A2900">
        <v>1502</v>
      </c>
      <c r="B2900">
        <v>231</v>
      </c>
      <c r="H2900">
        <f t="shared" si="331"/>
        <v>3</v>
      </c>
      <c r="R2900">
        <v>55</v>
      </c>
      <c r="S2900">
        <v>1</v>
      </c>
      <c r="T2900" t="str">
        <f t="shared" si="334"/>
        <v>e</v>
      </c>
      <c r="AJ2900">
        <v>1</v>
      </c>
      <c r="AM2900" t="str">
        <f t="shared" si="335"/>
        <v>Pass</v>
      </c>
      <c r="AN2900" t="str">
        <f t="shared" si="336"/>
        <v>Pass_Completed</v>
      </c>
      <c r="AP2900" t="str">
        <f t="shared" si="337"/>
        <v>Offensive</v>
      </c>
    </row>
    <row r="2901" spans="1:42" x14ac:dyDescent="0.2">
      <c r="A2901">
        <v>1502</v>
      </c>
      <c r="B2901">
        <v>231</v>
      </c>
      <c r="H2901">
        <f t="shared" si="331"/>
        <v>3</v>
      </c>
      <c r="R2901">
        <v>56</v>
      </c>
      <c r="T2901" t="str">
        <f t="shared" si="334"/>
        <v>o</v>
      </c>
      <c r="AJ2901">
        <v>1</v>
      </c>
      <c r="AM2901" t="str">
        <f t="shared" si="335"/>
        <v>Pass</v>
      </c>
      <c r="AN2901" t="str">
        <f t="shared" si="336"/>
        <v>Pass_Completed</v>
      </c>
      <c r="AP2901" t="str">
        <f t="shared" si="337"/>
        <v>Defensive</v>
      </c>
    </row>
    <row r="2902" spans="1:42" x14ac:dyDescent="0.2">
      <c r="A2902">
        <v>1503</v>
      </c>
      <c r="B2902">
        <v>231</v>
      </c>
      <c r="H2902">
        <f t="shared" ref="H2902:H2904" si="338">IF(U2902="Intermission",H2901+1,H2901)</f>
        <v>3</v>
      </c>
      <c r="I2902" s="5" t="s">
        <v>898</v>
      </c>
      <c r="J2902" s="5" t="s">
        <v>738</v>
      </c>
      <c r="Q2902" t="s">
        <v>620</v>
      </c>
      <c r="R2902">
        <v>9</v>
      </c>
      <c r="S2902">
        <v>1</v>
      </c>
      <c r="T2902" t="str">
        <f t="shared" ref="T2902:T2904" si="339">IF(S2902="x","",IF(S2902=1,"e","o"))</f>
        <v>e</v>
      </c>
      <c r="U2902" t="s">
        <v>257</v>
      </c>
      <c r="V2902" t="s">
        <v>201</v>
      </c>
      <c r="W2902" t="s">
        <v>91</v>
      </c>
      <c r="X2902" t="s">
        <v>706</v>
      </c>
      <c r="Y2902" t="s">
        <v>678</v>
      </c>
      <c r="AA2902" t="s">
        <v>706</v>
      </c>
      <c r="AF2902" t="s">
        <v>623</v>
      </c>
      <c r="AM2902" t="str">
        <f t="shared" si="335"/>
        <v>Zone_Entry_Exit</v>
      </c>
      <c r="AN2902" t="str">
        <f t="shared" si="336"/>
        <v>Zone_Exit</v>
      </c>
      <c r="AP2902" t="str">
        <f t="shared" si="337"/>
        <v>Offensive</v>
      </c>
    </row>
    <row r="2903" spans="1:42" x14ac:dyDescent="0.2">
      <c r="A2903">
        <v>1503</v>
      </c>
      <c r="B2903">
        <v>231</v>
      </c>
      <c r="H2903">
        <f t="shared" si="338"/>
        <v>3</v>
      </c>
      <c r="R2903">
        <v>55</v>
      </c>
      <c r="S2903">
        <v>1</v>
      </c>
      <c r="T2903" t="str">
        <f t="shared" si="339"/>
        <v>e</v>
      </c>
      <c r="AJ2903">
        <v>1</v>
      </c>
      <c r="AM2903" t="str">
        <f t="shared" si="335"/>
        <v>Zone_Entry_Exit</v>
      </c>
      <c r="AN2903" t="str">
        <f t="shared" si="336"/>
        <v>Zone_Exit</v>
      </c>
      <c r="AP2903" t="str">
        <f t="shared" si="337"/>
        <v>Offensive</v>
      </c>
    </row>
    <row r="2904" spans="1:42" x14ac:dyDescent="0.2">
      <c r="A2904">
        <v>1503</v>
      </c>
      <c r="B2904">
        <v>231</v>
      </c>
      <c r="H2904">
        <f t="shared" si="338"/>
        <v>3</v>
      </c>
      <c r="R2904">
        <v>56</v>
      </c>
      <c r="T2904" t="str">
        <f t="shared" si="339"/>
        <v>o</v>
      </c>
      <c r="AJ2904">
        <v>1</v>
      </c>
      <c r="AM2904" t="str">
        <f t="shared" si="335"/>
        <v>Zone_Entry_Exit</v>
      </c>
      <c r="AN2904" t="str">
        <f t="shared" si="336"/>
        <v>Zone_Exit</v>
      </c>
      <c r="AP2904" t="str">
        <f t="shared" si="337"/>
        <v>Defensive</v>
      </c>
    </row>
    <row r="2905" spans="1:42" x14ac:dyDescent="0.2">
      <c r="A2905">
        <v>1504</v>
      </c>
      <c r="B2905">
        <v>232</v>
      </c>
      <c r="H2905">
        <f t="shared" si="331"/>
        <v>3</v>
      </c>
      <c r="I2905" s="5" t="s">
        <v>898</v>
      </c>
      <c r="J2905" s="5" t="s">
        <v>740</v>
      </c>
      <c r="Q2905" t="s">
        <v>620</v>
      </c>
      <c r="R2905">
        <v>55</v>
      </c>
      <c r="S2905">
        <v>1</v>
      </c>
      <c r="T2905" t="str">
        <f t="shared" si="334"/>
        <v>e</v>
      </c>
      <c r="U2905" t="s">
        <v>257</v>
      </c>
      <c r="V2905" t="s">
        <v>191</v>
      </c>
      <c r="W2905" t="s">
        <v>89</v>
      </c>
      <c r="X2905" t="s">
        <v>706</v>
      </c>
      <c r="Y2905" t="s">
        <v>718</v>
      </c>
      <c r="AA2905" t="s">
        <v>705</v>
      </c>
      <c r="AF2905" t="s">
        <v>635</v>
      </c>
      <c r="AJ2905">
        <v>1</v>
      </c>
      <c r="AM2905" t="str">
        <f t="shared" si="335"/>
        <v>Zone_Entry_Exit</v>
      </c>
      <c r="AN2905" t="str">
        <f t="shared" si="336"/>
        <v>Zone_Entry</v>
      </c>
      <c r="AP2905" t="str">
        <f t="shared" si="337"/>
        <v>Offensive</v>
      </c>
    </row>
    <row r="2906" spans="1:42" x14ac:dyDescent="0.2">
      <c r="A2906">
        <v>1504</v>
      </c>
      <c r="B2906">
        <v>232</v>
      </c>
      <c r="H2906">
        <f t="shared" si="331"/>
        <v>3</v>
      </c>
      <c r="R2906">
        <v>56</v>
      </c>
      <c r="T2906" t="str">
        <f t="shared" si="334"/>
        <v>o</v>
      </c>
      <c r="AJ2906">
        <v>1</v>
      </c>
      <c r="AM2906" t="str">
        <f t="shared" si="335"/>
        <v>Zone_Entry_Exit</v>
      </c>
      <c r="AN2906" t="str">
        <f t="shared" si="336"/>
        <v>Zone_Entry</v>
      </c>
      <c r="AP2906" t="str">
        <f t="shared" si="337"/>
        <v>Defensive</v>
      </c>
    </row>
    <row r="2907" spans="1:42" x14ac:dyDescent="0.2">
      <c r="A2907">
        <v>1505</v>
      </c>
      <c r="B2907">
        <v>232</v>
      </c>
      <c r="H2907">
        <f t="shared" si="331"/>
        <v>3</v>
      </c>
      <c r="I2907" s="5" t="s">
        <v>898</v>
      </c>
      <c r="J2907" s="5" t="s">
        <v>740</v>
      </c>
      <c r="Q2907" t="s">
        <v>620</v>
      </c>
      <c r="R2907">
        <v>55</v>
      </c>
      <c r="S2907">
        <v>1</v>
      </c>
      <c r="T2907" t="str">
        <f t="shared" si="334"/>
        <v>e</v>
      </c>
      <c r="U2907" t="s">
        <v>10</v>
      </c>
      <c r="V2907" t="s">
        <v>190</v>
      </c>
      <c r="W2907" t="s">
        <v>387</v>
      </c>
      <c r="X2907" t="s">
        <v>706</v>
      </c>
      <c r="Y2907" t="s">
        <v>718</v>
      </c>
      <c r="AA2907" t="s">
        <v>705</v>
      </c>
      <c r="AF2907" t="s">
        <v>635</v>
      </c>
      <c r="AJ2907">
        <v>1</v>
      </c>
      <c r="AM2907" t="str">
        <f t="shared" si="335"/>
        <v>Turnover</v>
      </c>
      <c r="AN2907" t="str">
        <f t="shared" si="336"/>
        <v>Turnover_Giveaway</v>
      </c>
      <c r="AP2907" t="str">
        <f t="shared" si="337"/>
        <v>Offensive</v>
      </c>
    </row>
    <row r="2908" spans="1:42" x14ac:dyDescent="0.2">
      <c r="A2908">
        <v>1505</v>
      </c>
      <c r="B2908">
        <v>232</v>
      </c>
      <c r="H2908">
        <f t="shared" si="331"/>
        <v>3</v>
      </c>
      <c r="R2908">
        <v>56</v>
      </c>
      <c r="T2908" t="str">
        <f t="shared" si="334"/>
        <v>o</v>
      </c>
      <c r="AJ2908">
        <v>1</v>
      </c>
      <c r="AM2908" t="str">
        <f t="shared" si="335"/>
        <v>Turnover</v>
      </c>
      <c r="AN2908" t="str">
        <f t="shared" si="336"/>
        <v>Turnover_Giveaway</v>
      </c>
      <c r="AP2908" t="str">
        <f t="shared" si="337"/>
        <v>Defensive</v>
      </c>
    </row>
    <row r="2909" spans="1:42" x14ac:dyDescent="0.2">
      <c r="A2909">
        <v>1506</v>
      </c>
      <c r="H2909">
        <f t="shared" si="331"/>
        <v>3</v>
      </c>
      <c r="I2909" s="5" t="s">
        <v>900</v>
      </c>
      <c r="J2909" s="5" t="s">
        <v>638</v>
      </c>
      <c r="Q2909" t="s">
        <v>619</v>
      </c>
      <c r="R2909">
        <v>25</v>
      </c>
      <c r="S2909">
        <v>1</v>
      </c>
      <c r="T2909" t="str">
        <f t="shared" si="334"/>
        <v>e</v>
      </c>
      <c r="U2909" t="s">
        <v>15</v>
      </c>
      <c r="V2909" t="s">
        <v>697</v>
      </c>
      <c r="X2909" t="s">
        <v>705</v>
      </c>
      <c r="Y2909" t="s">
        <v>720</v>
      </c>
      <c r="AA2909" t="s">
        <v>705</v>
      </c>
      <c r="AF2909" t="s">
        <v>623</v>
      </c>
      <c r="AM2909" t="str">
        <f t="shared" si="335"/>
        <v>Possession</v>
      </c>
      <c r="AN2909" t="str">
        <f t="shared" si="336"/>
        <v>PuckRetrieval</v>
      </c>
      <c r="AP2909" t="str">
        <f t="shared" si="337"/>
        <v>Offensive</v>
      </c>
    </row>
    <row r="2910" spans="1:42" x14ac:dyDescent="0.2">
      <c r="A2910">
        <v>1507</v>
      </c>
      <c r="H2910">
        <f t="shared" si="331"/>
        <v>3</v>
      </c>
      <c r="I2910" s="5" t="s">
        <v>900</v>
      </c>
      <c r="J2910" s="5" t="s">
        <v>638</v>
      </c>
      <c r="Q2910" t="s">
        <v>619</v>
      </c>
      <c r="R2910">
        <v>25</v>
      </c>
      <c r="S2910">
        <v>1</v>
      </c>
      <c r="T2910" t="str">
        <f t="shared" si="334"/>
        <v>e</v>
      </c>
      <c r="U2910" t="s">
        <v>10</v>
      </c>
      <c r="V2910" t="s">
        <v>190</v>
      </c>
      <c r="W2910" t="s">
        <v>398</v>
      </c>
      <c r="X2910" t="s">
        <v>705</v>
      </c>
      <c r="Y2910" t="s">
        <v>746</v>
      </c>
      <c r="AA2910" t="s">
        <v>705</v>
      </c>
      <c r="AF2910" t="s">
        <v>623</v>
      </c>
      <c r="AM2910" t="str">
        <f t="shared" si="335"/>
        <v>Turnover</v>
      </c>
      <c r="AN2910" t="str">
        <f t="shared" si="336"/>
        <v>Turnover_Giveaway</v>
      </c>
      <c r="AP2910" t="str">
        <f t="shared" si="337"/>
        <v>Offensive</v>
      </c>
    </row>
    <row r="2911" spans="1:42" x14ac:dyDescent="0.2">
      <c r="A2911">
        <v>1508</v>
      </c>
      <c r="B2911">
        <v>233</v>
      </c>
      <c r="H2911">
        <f t="shared" si="331"/>
        <v>3</v>
      </c>
      <c r="I2911" s="5" t="s">
        <v>900</v>
      </c>
      <c r="J2911" s="5" t="s">
        <v>637</v>
      </c>
      <c r="Q2911" t="s">
        <v>620</v>
      </c>
      <c r="R2911">
        <v>22</v>
      </c>
      <c r="S2911">
        <v>1</v>
      </c>
      <c r="T2911" t="str">
        <f t="shared" si="334"/>
        <v>e</v>
      </c>
      <c r="U2911" t="s">
        <v>257</v>
      </c>
      <c r="V2911" t="s">
        <v>210</v>
      </c>
      <c r="W2911" t="s">
        <v>93</v>
      </c>
      <c r="X2911" t="s">
        <v>706</v>
      </c>
      <c r="AF2911" t="s">
        <v>401</v>
      </c>
      <c r="AM2911" t="str">
        <f t="shared" si="335"/>
        <v>Zone_Entry_Exit</v>
      </c>
      <c r="AN2911" t="str">
        <f t="shared" si="336"/>
        <v>Zone_Keepin</v>
      </c>
      <c r="AP2911" t="str">
        <f t="shared" si="337"/>
        <v>Offensive</v>
      </c>
    </row>
    <row r="2912" spans="1:42" x14ac:dyDescent="0.2">
      <c r="A2912">
        <v>1509</v>
      </c>
      <c r="B2912">
        <v>233</v>
      </c>
      <c r="H2912">
        <f t="shared" si="331"/>
        <v>3</v>
      </c>
      <c r="I2912" s="5" t="s">
        <v>900</v>
      </c>
      <c r="J2912" s="5" t="s">
        <v>637</v>
      </c>
      <c r="Q2912" t="s">
        <v>620</v>
      </c>
      <c r="R2912">
        <v>22</v>
      </c>
      <c r="S2912">
        <v>1</v>
      </c>
      <c r="T2912" t="str">
        <f t="shared" si="334"/>
        <v>e</v>
      </c>
      <c r="U2912" t="s">
        <v>15</v>
      </c>
      <c r="V2912" t="s">
        <v>697</v>
      </c>
      <c r="X2912" t="s">
        <v>706</v>
      </c>
      <c r="Y2912" t="s">
        <v>712</v>
      </c>
      <c r="AA2912" t="s">
        <v>706</v>
      </c>
      <c r="AF2912" t="s">
        <v>401</v>
      </c>
      <c r="AM2912" t="str">
        <f t="shared" si="335"/>
        <v>Possession</v>
      </c>
      <c r="AN2912" t="str">
        <f t="shared" si="336"/>
        <v>PuckRetrieval</v>
      </c>
      <c r="AP2912" t="str">
        <f t="shared" si="337"/>
        <v>Offensive</v>
      </c>
    </row>
    <row r="2913" spans="1:42" x14ac:dyDescent="0.2">
      <c r="A2913">
        <v>1510</v>
      </c>
      <c r="B2913">
        <v>234</v>
      </c>
      <c r="H2913">
        <f t="shared" si="331"/>
        <v>3</v>
      </c>
      <c r="I2913" s="5" t="s">
        <v>900</v>
      </c>
      <c r="J2913" s="5" t="s">
        <v>762</v>
      </c>
      <c r="Q2913" t="s">
        <v>620</v>
      </c>
      <c r="R2913">
        <v>22</v>
      </c>
      <c r="S2913">
        <v>1</v>
      </c>
      <c r="T2913" t="str">
        <f t="shared" si="334"/>
        <v>e</v>
      </c>
      <c r="U2913" t="s">
        <v>7</v>
      </c>
      <c r="V2913" t="s">
        <v>222</v>
      </c>
      <c r="W2913" t="s">
        <v>53</v>
      </c>
      <c r="X2913" t="s">
        <v>705</v>
      </c>
      <c r="AF2913" t="s">
        <v>401</v>
      </c>
      <c r="AM2913" t="str">
        <f t="shared" si="335"/>
        <v>Shot</v>
      </c>
      <c r="AN2913" t="str">
        <f t="shared" si="336"/>
        <v>Shot_OnNetSaved</v>
      </c>
      <c r="AP2913" t="str">
        <f t="shared" si="337"/>
        <v>Offensive</v>
      </c>
    </row>
    <row r="2914" spans="1:42" x14ac:dyDescent="0.2">
      <c r="A2914">
        <v>1510</v>
      </c>
      <c r="B2914">
        <v>234</v>
      </c>
      <c r="H2914">
        <f t="shared" si="331"/>
        <v>3</v>
      </c>
      <c r="R2914">
        <v>30</v>
      </c>
      <c r="T2914" t="str">
        <f t="shared" si="334"/>
        <v>o</v>
      </c>
      <c r="AM2914" t="str">
        <f t="shared" si="335"/>
        <v>Shot</v>
      </c>
      <c r="AN2914" t="str">
        <f t="shared" si="336"/>
        <v>Shot_OnNetSaved</v>
      </c>
      <c r="AP2914" t="str">
        <f t="shared" si="337"/>
        <v>Defensive</v>
      </c>
    </row>
    <row r="2915" spans="1:42" x14ac:dyDescent="0.2">
      <c r="A2915">
        <v>1511</v>
      </c>
      <c r="B2915">
        <v>234</v>
      </c>
      <c r="H2915">
        <f t="shared" si="331"/>
        <v>3</v>
      </c>
      <c r="I2915" s="5" t="s">
        <v>900</v>
      </c>
      <c r="J2915" s="5" t="s">
        <v>762</v>
      </c>
      <c r="Q2915" t="s">
        <v>619</v>
      </c>
      <c r="R2915">
        <v>30</v>
      </c>
      <c r="S2915">
        <v>1</v>
      </c>
      <c r="T2915" t="str">
        <f t="shared" si="334"/>
        <v>e</v>
      </c>
      <c r="U2915" t="s">
        <v>17</v>
      </c>
      <c r="V2915" t="s">
        <v>196</v>
      </c>
      <c r="W2915" t="s">
        <v>99</v>
      </c>
      <c r="AF2915" t="s">
        <v>623</v>
      </c>
      <c r="AM2915" t="str">
        <f t="shared" si="335"/>
        <v>Save</v>
      </c>
      <c r="AN2915" t="str">
        <f t="shared" si="336"/>
        <v>Save_Rebound</v>
      </c>
      <c r="AP2915" t="str">
        <f t="shared" si="337"/>
        <v>Defensive</v>
      </c>
    </row>
    <row r="2916" spans="1:42" x14ac:dyDescent="0.2">
      <c r="A2916">
        <v>1511</v>
      </c>
      <c r="B2916">
        <v>234</v>
      </c>
      <c r="H2916">
        <f t="shared" si="331"/>
        <v>3</v>
      </c>
      <c r="R2916">
        <v>22</v>
      </c>
      <c r="T2916" t="str">
        <f t="shared" si="334"/>
        <v>o</v>
      </c>
      <c r="AM2916" t="str">
        <f t="shared" si="335"/>
        <v>Save</v>
      </c>
      <c r="AN2916" t="str">
        <f t="shared" si="336"/>
        <v>Save_Rebound</v>
      </c>
      <c r="AP2916" t="str">
        <f t="shared" si="337"/>
        <v>Offensive</v>
      </c>
    </row>
    <row r="2917" spans="1:42" x14ac:dyDescent="0.2">
      <c r="A2917">
        <v>1512</v>
      </c>
      <c r="B2917">
        <v>234</v>
      </c>
      <c r="H2917">
        <f t="shared" si="331"/>
        <v>3</v>
      </c>
      <c r="I2917" s="5" t="s">
        <v>900</v>
      </c>
      <c r="J2917" s="5" t="s">
        <v>762</v>
      </c>
      <c r="Q2917" t="s">
        <v>619</v>
      </c>
      <c r="R2917">
        <v>30</v>
      </c>
      <c r="S2917">
        <v>1</v>
      </c>
      <c r="T2917" t="str">
        <f t="shared" si="334"/>
        <v>e</v>
      </c>
      <c r="U2917" t="s">
        <v>250</v>
      </c>
      <c r="V2917" t="s">
        <v>251</v>
      </c>
      <c r="AF2917" t="s">
        <v>623</v>
      </c>
      <c r="AM2917" t="str">
        <f t="shared" si="335"/>
        <v>Rebound</v>
      </c>
      <c r="AN2917" t="str">
        <f t="shared" si="336"/>
        <v>Rebound_TeamRecovered</v>
      </c>
      <c r="AP2917" t="str">
        <f t="shared" si="337"/>
        <v>Offensive</v>
      </c>
    </row>
    <row r="2918" spans="1:42" x14ac:dyDescent="0.2">
      <c r="A2918">
        <v>1513</v>
      </c>
      <c r="H2918">
        <f t="shared" si="331"/>
        <v>3</v>
      </c>
      <c r="I2918" s="5" t="s">
        <v>900</v>
      </c>
      <c r="J2918" s="5" t="s">
        <v>639</v>
      </c>
      <c r="Q2918" t="s">
        <v>619</v>
      </c>
      <c r="R2918">
        <v>4</v>
      </c>
      <c r="S2918">
        <v>1</v>
      </c>
      <c r="T2918" t="str">
        <f t="shared" si="334"/>
        <v>e</v>
      </c>
      <c r="U2918" t="s">
        <v>15</v>
      </c>
      <c r="V2918" t="s">
        <v>698</v>
      </c>
      <c r="X2918" t="s">
        <v>705</v>
      </c>
      <c r="Y2918" t="s">
        <v>808</v>
      </c>
      <c r="AA2918" t="s">
        <v>705</v>
      </c>
      <c r="AF2918" t="s">
        <v>623</v>
      </c>
      <c r="AJ2918">
        <v>1</v>
      </c>
      <c r="AM2918" t="str">
        <f t="shared" si="335"/>
        <v>Possession</v>
      </c>
      <c r="AN2918" t="str">
        <f t="shared" si="336"/>
        <v>PuckRecovery</v>
      </c>
      <c r="AP2918" t="str">
        <f t="shared" si="337"/>
        <v>Offensive</v>
      </c>
    </row>
    <row r="2919" spans="1:42" x14ac:dyDescent="0.2">
      <c r="A2919">
        <v>1513</v>
      </c>
      <c r="H2919">
        <f t="shared" si="331"/>
        <v>3</v>
      </c>
      <c r="T2919" t="str">
        <f t="shared" si="334"/>
        <v>o</v>
      </c>
      <c r="AJ2919">
        <v>1</v>
      </c>
      <c r="AM2919" t="str">
        <f t="shared" si="335"/>
        <v>Possession</v>
      </c>
      <c r="AN2919" t="str">
        <f t="shared" si="336"/>
        <v>PuckRecovery</v>
      </c>
      <c r="AP2919" t="str">
        <f t="shared" si="337"/>
        <v>Defensive</v>
      </c>
    </row>
    <row r="2920" spans="1:42" x14ac:dyDescent="0.2">
      <c r="A2920">
        <v>1514</v>
      </c>
      <c r="H2920">
        <f t="shared" si="331"/>
        <v>3</v>
      </c>
      <c r="I2920" s="5" t="s">
        <v>900</v>
      </c>
      <c r="J2920" s="5" t="s">
        <v>753</v>
      </c>
      <c r="Q2920" t="s">
        <v>620</v>
      </c>
      <c r="R2920">
        <v>55</v>
      </c>
      <c r="S2920">
        <v>1</v>
      </c>
      <c r="T2920" t="str">
        <f t="shared" si="334"/>
        <v>e</v>
      </c>
      <c r="U2920" t="s">
        <v>247</v>
      </c>
      <c r="V2920" t="s">
        <v>422</v>
      </c>
      <c r="W2920" t="s">
        <v>469</v>
      </c>
      <c r="X2920" t="s">
        <v>706</v>
      </c>
      <c r="Y2920" t="s">
        <v>774</v>
      </c>
      <c r="AA2920" t="s">
        <v>706</v>
      </c>
      <c r="AF2920" t="s">
        <v>401</v>
      </c>
      <c r="AJ2920">
        <v>1</v>
      </c>
      <c r="AM2920" t="str">
        <f t="shared" si="335"/>
        <v>Play</v>
      </c>
      <c r="AN2920" t="str">
        <f t="shared" si="336"/>
        <v>Play_Defensive</v>
      </c>
      <c r="AP2920" t="str">
        <f t="shared" si="337"/>
        <v>Defensive</v>
      </c>
    </row>
    <row r="2921" spans="1:42" x14ac:dyDescent="0.2">
      <c r="A2921">
        <v>1514</v>
      </c>
      <c r="H2921">
        <f t="shared" si="331"/>
        <v>3</v>
      </c>
      <c r="R2921">
        <v>4</v>
      </c>
      <c r="T2921" t="str">
        <f t="shared" si="334"/>
        <v>o</v>
      </c>
      <c r="AJ2921">
        <v>1</v>
      </c>
      <c r="AM2921" t="str">
        <f t="shared" si="335"/>
        <v>Play</v>
      </c>
      <c r="AN2921" t="str">
        <f t="shared" si="336"/>
        <v>Play_Defensive</v>
      </c>
      <c r="AP2921" t="str">
        <f t="shared" si="337"/>
        <v>Offensive</v>
      </c>
    </row>
    <row r="2922" spans="1:42" x14ac:dyDescent="0.2">
      <c r="A2922">
        <v>1515</v>
      </c>
      <c r="H2922">
        <f t="shared" si="331"/>
        <v>3</v>
      </c>
      <c r="I2922" s="5" t="s">
        <v>900</v>
      </c>
      <c r="J2922" s="5" t="s">
        <v>672</v>
      </c>
      <c r="K2922" s="5" t="s">
        <v>900</v>
      </c>
      <c r="L2922" s="7" t="s">
        <v>711</v>
      </c>
      <c r="Q2922" t="s">
        <v>619</v>
      </c>
      <c r="R2922">
        <v>25</v>
      </c>
      <c r="S2922">
        <v>1</v>
      </c>
      <c r="T2922" t="str">
        <f t="shared" si="334"/>
        <v>e</v>
      </c>
      <c r="U2922" t="s">
        <v>15</v>
      </c>
      <c r="V2922" t="s">
        <v>698</v>
      </c>
      <c r="X2922" t="s">
        <v>705</v>
      </c>
      <c r="Y2922" t="s">
        <v>752</v>
      </c>
      <c r="AA2922" t="s">
        <v>705</v>
      </c>
      <c r="AF2922" t="s">
        <v>623</v>
      </c>
      <c r="AM2922" t="str">
        <f t="shared" si="335"/>
        <v>Possession</v>
      </c>
      <c r="AN2922" t="str">
        <f t="shared" si="336"/>
        <v>PuckRecovery</v>
      </c>
      <c r="AP2922" t="str">
        <f t="shared" si="337"/>
        <v>Offensive</v>
      </c>
    </row>
    <row r="2923" spans="1:42" x14ac:dyDescent="0.2">
      <c r="A2923">
        <v>1516</v>
      </c>
      <c r="B2923">
        <v>235</v>
      </c>
      <c r="H2923">
        <f t="shared" si="331"/>
        <v>3</v>
      </c>
      <c r="I2923" s="5" t="s">
        <v>900</v>
      </c>
      <c r="J2923" s="5" t="s">
        <v>711</v>
      </c>
      <c r="Q2923" t="s">
        <v>619</v>
      </c>
      <c r="R2923">
        <v>25</v>
      </c>
      <c r="S2923">
        <v>1</v>
      </c>
      <c r="T2923" t="str">
        <f t="shared" si="334"/>
        <v>e</v>
      </c>
      <c r="U2923" t="s">
        <v>8</v>
      </c>
      <c r="V2923" t="s">
        <v>216</v>
      </c>
      <c r="W2923" t="s">
        <v>67</v>
      </c>
      <c r="X2923" t="s">
        <v>705</v>
      </c>
      <c r="Y2923" t="s">
        <v>744</v>
      </c>
      <c r="AA2923" t="s">
        <v>705</v>
      </c>
      <c r="AF2923" t="s">
        <v>623</v>
      </c>
      <c r="AM2923" t="str">
        <f t="shared" si="335"/>
        <v>Pass</v>
      </c>
      <c r="AN2923" t="str">
        <f t="shared" si="336"/>
        <v>Pass_Intercepted</v>
      </c>
      <c r="AP2923" t="str">
        <f t="shared" si="337"/>
        <v>Offensive</v>
      </c>
    </row>
    <row r="2924" spans="1:42" x14ac:dyDescent="0.2">
      <c r="A2924">
        <v>1516</v>
      </c>
      <c r="B2924">
        <v>235</v>
      </c>
      <c r="H2924">
        <f t="shared" si="331"/>
        <v>3</v>
      </c>
      <c r="R2924">
        <v>77</v>
      </c>
      <c r="S2924">
        <v>1</v>
      </c>
      <c r="T2924" t="str">
        <f t="shared" si="334"/>
        <v>e</v>
      </c>
      <c r="AJ2924">
        <v>1</v>
      </c>
      <c r="AM2924" t="str">
        <f t="shared" si="335"/>
        <v>Pass</v>
      </c>
      <c r="AN2924" t="str">
        <f t="shared" si="336"/>
        <v>Pass_Intercepted</v>
      </c>
      <c r="AP2924" t="str">
        <f t="shared" si="337"/>
        <v>Offensive</v>
      </c>
    </row>
    <row r="2925" spans="1:42" x14ac:dyDescent="0.2">
      <c r="A2925">
        <v>1516</v>
      </c>
      <c r="B2925">
        <v>235</v>
      </c>
      <c r="H2925">
        <f t="shared" si="331"/>
        <v>3</v>
      </c>
      <c r="R2925">
        <v>70</v>
      </c>
      <c r="T2925" t="str">
        <f t="shared" si="334"/>
        <v>o</v>
      </c>
      <c r="Y2925" t="s">
        <v>723</v>
      </c>
      <c r="AA2925" t="s">
        <v>706</v>
      </c>
      <c r="AJ2925">
        <v>1</v>
      </c>
      <c r="AM2925" t="str">
        <f t="shared" si="335"/>
        <v>Pass</v>
      </c>
      <c r="AN2925" t="str">
        <f t="shared" si="336"/>
        <v>Pass_Intercepted</v>
      </c>
      <c r="AP2925" t="str">
        <f t="shared" si="337"/>
        <v>Defensive</v>
      </c>
    </row>
    <row r="2926" spans="1:42" x14ac:dyDescent="0.2">
      <c r="A2926">
        <v>1517</v>
      </c>
      <c r="B2926">
        <v>235</v>
      </c>
      <c r="H2926">
        <f t="shared" si="331"/>
        <v>3</v>
      </c>
      <c r="I2926" s="5" t="s">
        <v>900</v>
      </c>
      <c r="J2926" s="5" t="s">
        <v>711</v>
      </c>
      <c r="Q2926" t="s">
        <v>619</v>
      </c>
      <c r="R2926">
        <v>25</v>
      </c>
      <c r="S2926">
        <v>1</v>
      </c>
      <c r="T2926" t="str">
        <f t="shared" ref="T2926:T2931" si="340">IF(S2926="x","",IF(S2926=1,"e","o"))</f>
        <v>e</v>
      </c>
      <c r="U2926" t="s">
        <v>257</v>
      </c>
      <c r="V2926" t="s">
        <v>201</v>
      </c>
      <c r="W2926" t="s">
        <v>91</v>
      </c>
      <c r="X2926" t="s">
        <v>705</v>
      </c>
      <c r="Y2926" t="s">
        <v>744</v>
      </c>
      <c r="AA2926" t="s">
        <v>705</v>
      </c>
      <c r="AF2926" t="s">
        <v>623</v>
      </c>
      <c r="AM2926" t="str">
        <f t="shared" si="335"/>
        <v>Zone_Entry_Exit</v>
      </c>
      <c r="AN2926" t="str">
        <f t="shared" si="336"/>
        <v>Zone_Exit</v>
      </c>
      <c r="AP2926" t="str">
        <f t="shared" si="337"/>
        <v>Offensive</v>
      </c>
    </row>
    <row r="2927" spans="1:42" x14ac:dyDescent="0.2">
      <c r="A2927">
        <v>1517</v>
      </c>
      <c r="B2927">
        <v>235</v>
      </c>
      <c r="H2927">
        <f t="shared" si="331"/>
        <v>3</v>
      </c>
      <c r="R2927">
        <v>77</v>
      </c>
      <c r="S2927">
        <v>1</v>
      </c>
      <c r="T2927" t="str">
        <f t="shared" si="340"/>
        <v>e</v>
      </c>
      <c r="AJ2927">
        <v>1</v>
      </c>
      <c r="AM2927" t="str">
        <f t="shared" si="335"/>
        <v>Zone_Entry_Exit</v>
      </c>
      <c r="AN2927" t="str">
        <f t="shared" si="336"/>
        <v>Zone_Exit</v>
      </c>
      <c r="AP2927" t="str">
        <f t="shared" si="337"/>
        <v>Offensive</v>
      </c>
    </row>
    <row r="2928" spans="1:42" x14ac:dyDescent="0.2">
      <c r="A2928">
        <v>1517</v>
      </c>
      <c r="B2928">
        <v>235</v>
      </c>
      <c r="H2928">
        <f t="shared" si="331"/>
        <v>3</v>
      </c>
      <c r="R2928">
        <v>70</v>
      </c>
      <c r="T2928" t="str">
        <f t="shared" si="340"/>
        <v>o</v>
      </c>
      <c r="Y2928" t="s">
        <v>723</v>
      </c>
      <c r="AA2928" t="s">
        <v>706</v>
      </c>
      <c r="AJ2928">
        <v>1</v>
      </c>
      <c r="AM2928" t="str">
        <f t="shared" si="335"/>
        <v>Zone_Entry_Exit</v>
      </c>
      <c r="AN2928" t="str">
        <f t="shared" si="336"/>
        <v>Zone_Exit</v>
      </c>
      <c r="AP2928" t="str">
        <f t="shared" si="337"/>
        <v>Defensive</v>
      </c>
    </row>
    <row r="2929" spans="1:42" x14ac:dyDescent="0.2">
      <c r="A2929">
        <v>1518</v>
      </c>
      <c r="B2929">
        <v>235</v>
      </c>
      <c r="H2929">
        <f t="shared" si="331"/>
        <v>3</v>
      </c>
      <c r="I2929" s="5" t="s">
        <v>900</v>
      </c>
      <c r="J2929" s="5" t="s">
        <v>711</v>
      </c>
      <c r="Q2929" t="s">
        <v>619</v>
      </c>
      <c r="R2929">
        <v>25</v>
      </c>
      <c r="S2929">
        <v>1</v>
      </c>
      <c r="T2929" t="str">
        <f t="shared" si="340"/>
        <v>e</v>
      </c>
      <c r="U2929" t="s">
        <v>10</v>
      </c>
      <c r="V2929" t="s">
        <v>190</v>
      </c>
      <c r="W2929" t="s">
        <v>75</v>
      </c>
      <c r="Y2929" t="s">
        <v>744</v>
      </c>
      <c r="AA2929" t="s">
        <v>705</v>
      </c>
      <c r="AF2929" t="s">
        <v>623</v>
      </c>
      <c r="AM2929" t="str">
        <f t="shared" si="335"/>
        <v>Turnover</v>
      </c>
      <c r="AN2929" t="str">
        <f t="shared" si="336"/>
        <v>Turnover_Giveaway</v>
      </c>
      <c r="AP2929" t="str">
        <f t="shared" si="337"/>
        <v>Offensive</v>
      </c>
    </row>
    <row r="2930" spans="1:42" x14ac:dyDescent="0.2">
      <c r="A2930">
        <v>1518</v>
      </c>
      <c r="B2930">
        <v>235</v>
      </c>
      <c r="H2930">
        <f t="shared" si="331"/>
        <v>3</v>
      </c>
      <c r="R2930">
        <v>77</v>
      </c>
      <c r="S2930">
        <v>1</v>
      </c>
      <c r="T2930" t="str">
        <f t="shared" si="340"/>
        <v>e</v>
      </c>
      <c r="AJ2930">
        <v>1</v>
      </c>
      <c r="AM2930" t="str">
        <f t="shared" si="335"/>
        <v>Turnover</v>
      </c>
      <c r="AN2930" t="str">
        <f t="shared" si="336"/>
        <v>Turnover_Giveaway</v>
      </c>
      <c r="AP2930" t="str">
        <f t="shared" si="337"/>
        <v>Offensive</v>
      </c>
    </row>
    <row r="2931" spans="1:42" x14ac:dyDescent="0.2">
      <c r="A2931">
        <v>1518</v>
      </c>
      <c r="B2931">
        <v>235</v>
      </c>
      <c r="H2931">
        <f t="shared" si="331"/>
        <v>3</v>
      </c>
      <c r="R2931">
        <v>70</v>
      </c>
      <c r="T2931" t="str">
        <f t="shared" si="340"/>
        <v>o</v>
      </c>
      <c r="Y2931" t="s">
        <v>723</v>
      </c>
      <c r="AA2931" t="s">
        <v>706</v>
      </c>
      <c r="AJ2931">
        <v>1</v>
      </c>
      <c r="AM2931" t="str">
        <f t="shared" si="335"/>
        <v>Turnover</v>
      </c>
      <c r="AN2931" t="str">
        <f t="shared" si="336"/>
        <v>Turnover_Giveaway</v>
      </c>
      <c r="AP2931" t="str">
        <f t="shared" si="337"/>
        <v>Defensive</v>
      </c>
    </row>
    <row r="2932" spans="1:42" x14ac:dyDescent="0.2">
      <c r="A2932">
        <v>1519</v>
      </c>
      <c r="H2932">
        <f t="shared" si="331"/>
        <v>3</v>
      </c>
      <c r="I2932" s="5" t="s">
        <v>900</v>
      </c>
      <c r="J2932" s="5" t="s">
        <v>713</v>
      </c>
      <c r="K2932" s="5" t="s">
        <v>900</v>
      </c>
      <c r="L2932" s="7" t="s">
        <v>790</v>
      </c>
      <c r="Q2932" t="s">
        <v>620</v>
      </c>
      <c r="R2932">
        <v>70</v>
      </c>
      <c r="S2932">
        <v>1</v>
      </c>
      <c r="T2932" t="str">
        <f t="shared" si="334"/>
        <v>e</v>
      </c>
      <c r="U2932" t="s">
        <v>15</v>
      </c>
      <c r="V2932" t="s">
        <v>684</v>
      </c>
      <c r="AF2932" t="s">
        <v>635</v>
      </c>
      <c r="AM2932" t="str">
        <f t="shared" si="335"/>
        <v>Possession</v>
      </c>
      <c r="AN2932" t="str">
        <f t="shared" si="336"/>
        <v>Regroup</v>
      </c>
      <c r="AP2932" t="str">
        <f t="shared" si="337"/>
        <v>Offensive</v>
      </c>
    </row>
    <row r="2933" spans="1:42" x14ac:dyDescent="0.2">
      <c r="A2933">
        <v>1520</v>
      </c>
      <c r="B2933">
        <v>236</v>
      </c>
      <c r="H2933">
        <f t="shared" si="331"/>
        <v>3</v>
      </c>
      <c r="I2933" s="5" t="s">
        <v>900</v>
      </c>
      <c r="J2933" s="5" t="s">
        <v>790</v>
      </c>
      <c r="Q2933" t="s">
        <v>620</v>
      </c>
      <c r="R2933">
        <v>70</v>
      </c>
      <c r="S2933">
        <v>1</v>
      </c>
      <c r="T2933" t="str">
        <f t="shared" si="334"/>
        <v>e</v>
      </c>
      <c r="U2933" t="s">
        <v>257</v>
      </c>
      <c r="V2933" t="s">
        <v>191</v>
      </c>
      <c r="W2933" t="s">
        <v>89</v>
      </c>
      <c r="X2933" t="s">
        <v>705</v>
      </c>
      <c r="AF2933" t="s">
        <v>635</v>
      </c>
      <c r="AM2933" t="str">
        <f t="shared" si="335"/>
        <v>Zone_Entry_Exit</v>
      </c>
      <c r="AN2933" t="str">
        <f t="shared" si="336"/>
        <v>Zone_Entry</v>
      </c>
      <c r="AP2933" t="str">
        <f t="shared" si="337"/>
        <v>Offensive</v>
      </c>
    </row>
    <row r="2934" spans="1:42" x14ac:dyDescent="0.2">
      <c r="A2934">
        <v>1521</v>
      </c>
      <c r="B2934">
        <v>236</v>
      </c>
      <c r="H2934">
        <f t="shared" si="331"/>
        <v>3</v>
      </c>
      <c r="I2934" s="5" t="s">
        <v>900</v>
      </c>
      <c r="J2934" s="5" t="s">
        <v>790</v>
      </c>
      <c r="Q2934" t="s">
        <v>620</v>
      </c>
      <c r="R2934">
        <v>70</v>
      </c>
      <c r="S2934">
        <v>1</v>
      </c>
      <c r="T2934" t="str">
        <f t="shared" si="334"/>
        <v>e</v>
      </c>
      <c r="U2934" t="s">
        <v>10</v>
      </c>
      <c r="V2934" t="s">
        <v>190</v>
      </c>
      <c r="W2934" t="s">
        <v>387</v>
      </c>
      <c r="X2934" t="s">
        <v>705</v>
      </c>
      <c r="AF2934" t="s">
        <v>635</v>
      </c>
      <c r="AM2934" t="str">
        <f t="shared" si="335"/>
        <v>Turnover</v>
      </c>
      <c r="AN2934" t="str">
        <f t="shared" si="336"/>
        <v>Turnover_Giveaway</v>
      </c>
      <c r="AP2934" t="str">
        <f t="shared" si="337"/>
        <v>Offensive</v>
      </c>
    </row>
    <row r="2935" spans="1:42" x14ac:dyDescent="0.2">
      <c r="A2935">
        <v>1522</v>
      </c>
      <c r="B2935">
        <v>237</v>
      </c>
      <c r="H2935">
        <f t="shared" si="331"/>
        <v>3</v>
      </c>
      <c r="I2935" s="5" t="s">
        <v>900</v>
      </c>
      <c r="J2935" s="5" t="s">
        <v>717</v>
      </c>
      <c r="Q2935" t="s">
        <v>619</v>
      </c>
      <c r="R2935">
        <v>4</v>
      </c>
      <c r="S2935">
        <v>1</v>
      </c>
      <c r="T2935" t="str">
        <f t="shared" si="334"/>
        <v>e</v>
      </c>
      <c r="U2935" t="s">
        <v>15</v>
      </c>
      <c r="V2935" t="s">
        <v>697</v>
      </c>
      <c r="X2935" t="s">
        <v>705</v>
      </c>
      <c r="Y2935" t="s">
        <v>720</v>
      </c>
      <c r="AA2935" t="s">
        <v>705</v>
      </c>
      <c r="AF2935" t="s">
        <v>623</v>
      </c>
      <c r="AM2935" t="str">
        <f t="shared" si="335"/>
        <v>Possession</v>
      </c>
      <c r="AN2935" t="str">
        <f t="shared" si="336"/>
        <v>PuckRetrieval</v>
      </c>
      <c r="AP2935" t="str">
        <f t="shared" si="337"/>
        <v>Offensive</v>
      </c>
    </row>
    <row r="2936" spans="1:42" x14ac:dyDescent="0.2">
      <c r="A2936">
        <v>1523</v>
      </c>
      <c r="B2936">
        <v>237</v>
      </c>
      <c r="H2936">
        <f t="shared" si="331"/>
        <v>3</v>
      </c>
      <c r="I2936" s="5" t="s">
        <v>900</v>
      </c>
      <c r="J2936" s="5" t="s">
        <v>717</v>
      </c>
      <c r="Q2936" t="s">
        <v>619</v>
      </c>
      <c r="R2936">
        <v>4</v>
      </c>
      <c r="S2936">
        <v>1</v>
      </c>
      <c r="T2936" t="str">
        <f t="shared" si="334"/>
        <v>e</v>
      </c>
      <c r="U2936" t="s">
        <v>257</v>
      </c>
      <c r="V2936" t="s">
        <v>201</v>
      </c>
      <c r="W2936" t="s">
        <v>92</v>
      </c>
      <c r="X2936" t="s">
        <v>705</v>
      </c>
      <c r="Y2936" t="s">
        <v>746</v>
      </c>
      <c r="AA2936" t="s">
        <v>705</v>
      </c>
      <c r="AF2936" t="s">
        <v>623</v>
      </c>
      <c r="AM2936" t="str">
        <f t="shared" si="335"/>
        <v>Zone_Entry_Exit</v>
      </c>
      <c r="AN2936" t="str">
        <f t="shared" si="336"/>
        <v>Zone_Exit</v>
      </c>
      <c r="AP2936" t="str">
        <f t="shared" si="337"/>
        <v>Offensive</v>
      </c>
    </row>
    <row r="2937" spans="1:42" x14ac:dyDescent="0.2">
      <c r="A2937">
        <v>1524</v>
      </c>
      <c r="B2937">
        <v>237</v>
      </c>
      <c r="H2937">
        <f t="shared" si="331"/>
        <v>3</v>
      </c>
      <c r="I2937" s="5" t="s">
        <v>900</v>
      </c>
      <c r="J2937" s="5" t="s">
        <v>717</v>
      </c>
      <c r="Q2937" t="s">
        <v>619</v>
      </c>
      <c r="R2937">
        <v>4</v>
      </c>
      <c r="S2937">
        <v>1</v>
      </c>
      <c r="T2937" t="str">
        <f t="shared" si="334"/>
        <v>e</v>
      </c>
      <c r="U2937" t="s">
        <v>10</v>
      </c>
      <c r="V2937" t="s">
        <v>190</v>
      </c>
      <c r="W2937" t="s">
        <v>387</v>
      </c>
      <c r="X2937" t="s">
        <v>705</v>
      </c>
      <c r="AF2937" t="s">
        <v>623</v>
      </c>
      <c r="AM2937" t="str">
        <f t="shared" si="335"/>
        <v>Turnover</v>
      </c>
      <c r="AN2937" t="str">
        <f t="shared" si="336"/>
        <v>Turnover_Giveaway</v>
      </c>
      <c r="AP2937" t="str">
        <f t="shared" si="337"/>
        <v>Offensive</v>
      </c>
    </row>
    <row r="2938" spans="1:42" x14ac:dyDescent="0.2">
      <c r="A2938">
        <v>1525</v>
      </c>
      <c r="H2938">
        <f t="shared" si="331"/>
        <v>3</v>
      </c>
      <c r="I2938" s="5" t="s">
        <v>900</v>
      </c>
      <c r="J2938" s="5" t="s">
        <v>779</v>
      </c>
      <c r="K2938" s="5" t="s">
        <v>900</v>
      </c>
      <c r="L2938" s="7" t="s">
        <v>721</v>
      </c>
      <c r="Q2938" t="s">
        <v>620</v>
      </c>
      <c r="R2938">
        <v>70</v>
      </c>
      <c r="S2938">
        <v>1</v>
      </c>
      <c r="T2938" t="str">
        <f t="shared" si="334"/>
        <v>e</v>
      </c>
      <c r="U2938" t="s">
        <v>15</v>
      </c>
      <c r="V2938" t="s">
        <v>697</v>
      </c>
      <c r="X2938" t="s">
        <v>706</v>
      </c>
      <c r="Y2938" t="s">
        <v>720</v>
      </c>
      <c r="AA2938" t="s">
        <v>706</v>
      </c>
      <c r="AF2938" t="s">
        <v>635</v>
      </c>
      <c r="AM2938" t="str">
        <f t="shared" si="335"/>
        <v>Possession</v>
      </c>
      <c r="AN2938" t="str">
        <f t="shared" si="336"/>
        <v>PuckRetrieval</v>
      </c>
      <c r="AP2938" t="str">
        <f t="shared" si="337"/>
        <v>Offensive</v>
      </c>
    </row>
    <row r="2939" spans="1:42" x14ac:dyDescent="0.2">
      <c r="A2939">
        <v>1526</v>
      </c>
      <c r="H2939">
        <f t="shared" si="331"/>
        <v>3</v>
      </c>
      <c r="I2939" s="5" t="s">
        <v>900</v>
      </c>
      <c r="J2939" s="5" t="s">
        <v>721</v>
      </c>
      <c r="K2939" s="5" t="s">
        <v>900</v>
      </c>
      <c r="L2939" s="7" t="s">
        <v>812</v>
      </c>
      <c r="Q2939" t="s">
        <v>620</v>
      </c>
      <c r="R2939">
        <v>70</v>
      </c>
      <c r="S2939">
        <v>1</v>
      </c>
      <c r="T2939" t="str">
        <f t="shared" si="334"/>
        <v>e</v>
      </c>
      <c r="U2939" t="s">
        <v>15</v>
      </c>
      <c r="Y2939" t="s">
        <v>767</v>
      </c>
      <c r="AA2939" t="s">
        <v>706</v>
      </c>
      <c r="AF2939" t="s">
        <v>635</v>
      </c>
      <c r="AJ2939">
        <v>1</v>
      </c>
      <c r="AM2939" t="str">
        <f t="shared" si="335"/>
        <v>Possession</v>
      </c>
      <c r="AN2939" t="str">
        <f t="shared" si="336"/>
        <v/>
      </c>
      <c r="AP2939" t="str">
        <f t="shared" si="337"/>
        <v>Offensive</v>
      </c>
    </row>
    <row r="2940" spans="1:42" x14ac:dyDescent="0.2">
      <c r="A2940">
        <v>1526</v>
      </c>
      <c r="H2940">
        <f t="shared" si="331"/>
        <v>3</v>
      </c>
      <c r="R2940">
        <v>77</v>
      </c>
      <c r="T2940" t="str">
        <f t="shared" si="334"/>
        <v>o</v>
      </c>
      <c r="Y2940" t="s">
        <v>764</v>
      </c>
      <c r="AA2940" t="s">
        <v>705</v>
      </c>
      <c r="AJ2940">
        <v>1</v>
      </c>
      <c r="AM2940" t="str">
        <f t="shared" si="335"/>
        <v>Possession</v>
      </c>
      <c r="AN2940" t="str">
        <f t="shared" si="336"/>
        <v/>
      </c>
      <c r="AP2940" t="str">
        <f t="shared" si="337"/>
        <v>Defensive</v>
      </c>
    </row>
    <row r="2941" spans="1:42" x14ac:dyDescent="0.2">
      <c r="A2941">
        <v>1527</v>
      </c>
      <c r="B2941">
        <v>238</v>
      </c>
      <c r="H2941">
        <f t="shared" si="331"/>
        <v>3</v>
      </c>
      <c r="I2941" s="5" t="s">
        <v>900</v>
      </c>
      <c r="J2941" s="5" t="s">
        <v>812</v>
      </c>
      <c r="Q2941" t="s">
        <v>620</v>
      </c>
      <c r="R2941">
        <v>70</v>
      </c>
      <c r="S2941">
        <v>1</v>
      </c>
      <c r="T2941" t="str">
        <f t="shared" si="334"/>
        <v>e</v>
      </c>
      <c r="U2941" t="s">
        <v>257</v>
      </c>
      <c r="V2941" t="s">
        <v>191</v>
      </c>
      <c r="W2941" t="s">
        <v>89</v>
      </c>
      <c r="X2941" t="s">
        <v>705</v>
      </c>
      <c r="AF2941" t="s">
        <v>635</v>
      </c>
      <c r="AM2941" t="str">
        <f t="shared" si="335"/>
        <v>Zone_Entry_Exit</v>
      </c>
      <c r="AN2941" t="str">
        <f t="shared" si="336"/>
        <v>Zone_Entry</v>
      </c>
      <c r="AP2941" t="str">
        <f t="shared" si="337"/>
        <v>Offensive</v>
      </c>
    </row>
    <row r="2942" spans="1:42" x14ac:dyDescent="0.2">
      <c r="A2942">
        <v>1528</v>
      </c>
      <c r="B2942">
        <v>238</v>
      </c>
      <c r="H2942">
        <f t="shared" si="331"/>
        <v>3</v>
      </c>
      <c r="I2942" s="5" t="s">
        <v>900</v>
      </c>
      <c r="J2942" s="5" t="s">
        <v>812</v>
      </c>
      <c r="Q2942" t="s">
        <v>620</v>
      </c>
      <c r="R2942">
        <v>70</v>
      </c>
      <c r="S2942">
        <v>1</v>
      </c>
      <c r="T2942" t="str">
        <f t="shared" si="334"/>
        <v>e</v>
      </c>
      <c r="U2942" t="s">
        <v>10</v>
      </c>
      <c r="V2942" t="s">
        <v>190</v>
      </c>
      <c r="W2942" t="s">
        <v>387</v>
      </c>
      <c r="X2942" t="s">
        <v>705</v>
      </c>
      <c r="AF2942" t="s">
        <v>635</v>
      </c>
      <c r="AM2942" t="str">
        <f t="shared" si="335"/>
        <v>Turnover</v>
      </c>
      <c r="AN2942" t="str">
        <f t="shared" si="336"/>
        <v>Turnover_Giveaway</v>
      </c>
      <c r="AP2942" t="str">
        <f t="shared" si="337"/>
        <v>Offensive</v>
      </c>
    </row>
    <row r="2943" spans="1:42" x14ac:dyDescent="0.2">
      <c r="A2943">
        <v>1529</v>
      </c>
      <c r="H2943">
        <f t="shared" si="331"/>
        <v>3</v>
      </c>
      <c r="I2943" s="5" t="s">
        <v>900</v>
      </c>
      <c r="J2943" s="5" t="s">
        <v>730</v>
      </c>
      <c r="K2943" s="5" t="s">
        <v>900</v>
      </c>
      <c r="L2943" s="7" t="s">
        <v>760</v>
      </c>
      <c r="Q2943" t="s">
        <v>619</v>
      </c>
      <c r="R2943">
        <v>4</v>
      </c>
      <c r="S2943">
        <v>1</v>
      </c>
      <c r="T2943" t="str">
        <f t="shared" si="334"/>
        <v>e</v>
      </c>
      <c r="U2943" t="s">
        <v>15</v>
      </c>
      <c r="V2943" t="s">
        <v>697</v>
      </c>
      <c r="X2943" t="s">
        <v>706</v>
      </c>
      <c r="Y2943" t="s">
        <v>720</v>
      </c>
      <c r="AA2943" t="s">
        <v>706</v>
      </c>
      <c r="AF2943" t="s">
        <v>623</v>
      </c>
      <c r="AM2943" t="str">
        <f t="shared" si="335"/>
        <v>Possession</v>
      </c>
      <c r="AN2943" t="str">
        <f t="shared" si="336"/>
        <v>PuckRetrieval</v>
      </c>
      <c r="AP2943" t="str">
        <f t="shared" si="337"/>
        <v>Offensive</v>
      </c>
    </row>
    <row r="2944" spans="1:42" x14ac:dyDescent="0.2">
      <c r="A2944">
        <v>1530</v>
      </c>
      <c r="H2944">
        <f t="shared" si="331"/>
        <v>3</v>
      </c>
      <c r="I2944" s="5" t="s">
        <v>900</v>
      </c>
      <c r="J2944" s="5" t="s">
        <v>760</v>
      </c>
      <c r="Q2944" t="s">
        <v>619</v>
      </c>
      <c r="R2944">
        <v>4</v>
      </c>
      <c r="S2944">
        <v>1</v>
      </c>
      <c r="T2944" t="str">
        <f t="shared" si="334"/>
        <v>e</v>
      </c>
      <c r="U2944" t="s">
        <v>8</v>
      </c>
      <c r="V2944" t="s">
        <v>189</v>
      </c>
      <c r="W2944" t="s">
        <v>67</v>
      </c>
      <c r="X2944" t="s">
        <v>706</v>
      </c>
      <c r="Y2944" t="s">
        <v>678</v>
      </c>
      <c r="AA2944" t="s">
        <v>706</v>
      </c>
      <c r="AF2944" t="s">
        <v>623</v>
      </c>
      <c r="AM2944" t="str">
        <f t="shared" si="335"/>
        <v>Pass</v>
      </c>
      <c r="AN2944" t="str">
        <f t="shared" si="336"/>
        <v>Pass_Completed</v>
      </c>
      <c r="AP2944" t="str">
        <f t="shared" si="337"/>
        <v>Offensive</v>
      </c>
    </row>
    <row r="2945" spans="1:42" x14ac:dyDescent="0.2">
      <c r="A2945">
        <v>1530</v>
      </c>
      <c r="H2945">
        <f t="shared" si="331"/>
        <v>3</v>
      </c>
      <c r="R2945">
        <v>68</v>
      </c>
      <c r="T2945" t="str">
        <f t="shared" si="334"/>
        <v>o</v>
      </c>
      <c r="AM2945" t="str">
        <f t="shared" si="335"/>
        <v>Pass</v>
      </c>
      <c r="AN2945" t="str">
        <f t="shared" si="336"/>
        <v>Pass_Completed</v>
      </c>
      <c r="AP2945" t="str">
        <f t="shared" si="337"/>
        <v>Defensive</v>
      </c>
    </row>
    <row r="2946" spans="1:42" x14ac:dyDescent="0.2">
      <c r="A2946">
        <v>1531</v>
      </c>
      <c r="H2946">
        <f t="shared" si="331"/>
        <v>3</v>
      </c>
      <c r="I2946" s="5" t="s">
        <v>900</v>
      </c>
      <c r="J2946" s="5" t="s">
        <v>760</v>
      </c>
      <c r="K2946" s="5" t="s">
        <v>900</v>
      </c>
      <c r="L2946" s="7" t="s">
        <v>731</v>
      </c>
      <c r="Q2946" t="s">
        <v>619</v>
      </c>
      <c r="R2946">
        <v>68</v>
      </c>
      <c r="S2946">
        <v>1</v>
      </c>
      <c r="T2946" t="str">
        <f t="shared" si="334"/>
        <v>e</v>
      </c>
      <c r="U2946" t="s">
        <v>257</v>
      </c>
      <c r="V2946" t="s">
        <v>201</v>
      </c>
      <c r="W2946" t="s">
        <v>90</v>
      </c>
      <c r="X2946" t="s">
        <v>706</v>
      </c>
      <c r="Y2946" t="s">
        <v>678</v>
      </c>
      <c r="AF2946" t="s">
        <v>623</v>
      </c>
      <c r="AJ2946">
        <v>1</v>
      </c>
      <c r="AM2946" t="str">
        <f t="shared" si="335"/>
        <v>Zone_Entry_Exit</v>
      </c>
      <c r="AN2946" t="str">
        <f t="shared" si="336"/>
        <v>Zone_Exit</v>
      </c>
      <c r="AP2946" t="str">
        <f t="shared" si="337"/>
        <v>Offensive</v>
      </c>
    </row>
    <row r="2947" spans="1:42" x14ac:dyDescent="0.2">
      <c r="A2947">
        <v>1531</v>
      </c>
      <c r="H2947">
        <f t="shared" si="331"/>
        <v>3</v>
      </c>
      <c r="R2947">
        <v>70</v>
      </c>
      <c r="T2947" t="str">
        <f t="shared" si="334"/>
        <v>o</v>
      </c>
      <c r="AJ2947">
        <v>1</v>
      </c>
      <c r="AM2947" t="str">
        <f t="shared" si="335"/>
        <v>Zone_Entry_Exit</v>
      </c>
      <c r="AN2947" t="str">
        <f t="shared" si="336"/>
        <v>Zone_Exit</v>
      </c>
      <c r="AP2947" t="str">
        <f t="shared" si="337"/>
        <v>Defensive</v>
      </c>
    </row>
    <row r="2948" spans="1:42" x14ac:dyDescent="0.2">
      <c r="A2948">
        <v>1532</v>
      </c>
      <c r="H2948">
        <f t="shared" si="331"/>
        <v>3</v>
      </c>
      <c r="I2948" s="5" t="s">
        <v>900</v>
      </c>
      <c r="J2948" s="5" t="s">
        <v>731</v>
      </c>
      <c r="K2948" s="5" t="s">
        <v>900</v>
      </c>
      <c r="L2948" s="7" t="s">
        <v>621</v>
      </c>
      <c r="Q2948" t="s">
        <v>619</v>
      </c>
      <c r="R2948">
        <v>68</v>
      </c>
      <c r="S2948">
        <v>1</v>
      </c>
      <c r="T2948" t="str">
        <f t="shared" si="334"/>
        <v>e</v>
      </c>
      <c r="U2948" t="s">
        <v>15</v>
      </c>
      <c r="AF2948" t="s">
        <v>635</v>
      </c>
      <c r="AJ2948">
        <v>1</v>
      </c>
      <c r="AM2948" t="str">
        <f t="shared" si="335"/>
        <v>Possession</v>
      </c>
      <c r="AN2948" t="str">
        <f t="shared" si="336"/>
        <v/>
      </c>
      <c r="AP2948" t="str">
        <f t="shared" si="337"/>
        <v>Offensive</v>
      </c>
    </row>
    <row r="2949" spans="1:42" x14ac:dyDescent="0.2">
      <c r="A2949">
        <v>1532</v>
      </c>
      <c r="H2949">
        <f t="shared" ref="H2949:H3012" si="341">IF(U2949="Intermission",H2948+1,H2948)</f>
        <v>3</v>
      </c>
      <c r="R2949">
        <v>70</v>
      </c>
      <c r="T2949" t="str">
        <f t="shared" si="334"/>
        <v>o</v>
      </c>
      <c r="Y2949" t="s">
        <v>715</v>
      </c>
      <c r="AJ2949">
        <v>1</v>
      </c>
      <c r="AM2949" t="str">
        <f t="shared" si="335"/>
        <v>Possession</v>
      </c>
      <c r="AN2949" t="str">
        <f t="shared" si="336"/>
        <v/>
      </c>
      <c r="AP2949" t="str">
        <f t="shared" si="337"/>
        <v>Defensive</v>
      </c>
    </row>
    <row r="2950" spans="1:42" x14ac:dyDescent="0.2">
      <c r="A2950">
        <v>1532</v>
      </c>
      <c r="H2950">
        <f t="shared" si="341"/>
        <v>3</v>
      </c>
      <c r="R2950">
        <v>84</v>
      </c>
      <c r="T2950" t="str">
        <f t="shared" si="334"/>
        <v>o</v>
      </c>
      <c r="Y2950" t="s">
        <v>832</v>
      </c>
      <c r="AJ2950">
        <v>1</v>
      </c>
      <c r="AM2950" t="str">
        <f t="shared" si="335"/>
        <v>Possession</v>
      </c>
      <c r="AN2950" t="str">
        <f t="shared" si="336"/>
        <v/>
      </c>
      <c r="AP2950" t="str">
        <f t="shared" si="337"/>
        <v>Defensive</v>
      </c>
    </row>
    <row r="2951" spans="1:42" x14ac:dyDescent="0.2">
      <c r="A2951">
        <v>1533</v>
      </c>
      <c r="H2951">
        <f t="shared" si="341"/>
        <v>3</v>
      </c>
      <c r="I2951" s="5" t="s">
        <v>900</v>
      </c>
      <c r="J2951" s="5" t="s">
        <v>621</v>
      </c>
      <c r="Q2951" t="s">
        <v>619</v>
      </c>
      <c r="R2951">
        <v>68</v>
      </c>
      <c r="S2951">
        <v>1</v>
      </c>
      <c r="T2951" t="str">
        <f t="shared" si="334"/>
        <v>e</v>
      </c>
      <c r="U2951" t="s">
        <v>257</v>
      </c>
      <c r="V2951" t="s">
        <v>818</v>
      </c>
      <c r="W2951" t="s">
        <v>87</v>
      </c>
      <c r="X2951" t="s">
        <v>705</v>
      </c>
      <c r="Y2951" t="s">
        <v>749</v>
      </c>
      <c r="AA2951" t="s">
        <v>705</v>
      </c>
      <c r="AF2951" t="s">
        <v>635</v>
      </c>
      <c r="AJ2951">
        <v>1</v>
      </c>
      <c r="AM2951" t="str">
        <f t="shared" si="335"/>
        <v>Zone_Entry_Exit</v>
      </c>
      <c r="AN2951" t="str">
        <f t="shared" si="336"/>
        <v>Zone_Entryfailed</v>
      </c>
      <c r="AP2951" t="str">
        <f t="shared" si="337"/>
        <v>Offensive</v>
      </c>
    </row>
    <row r="2952" spans="1:42" x14ac:dyDescent="0.2">
      <c r="A2952">
        <v>1533</v>
      </c>
      <c r="H2952">
        <f t="shared" si="341"/>
        <v>3</v>
      </c>
      <c r="R2952">
        <v>84</v>
      </c>
      <c r="T2952" t="str">
        <f t="shared" si="334"/>
        <v>o</v>
      </c>
      <c r="Y2952" t="s">
        <v>842</v>
      </c>
      <c r="AA2952" t="s">
        <v>706</v>
      </c>
      <c r="AM2952" t="str">
        <f t="shared" si="335"/>
        <v>Zone_Entry_Exit</v>
      </c>
      <c r="AN2952" t="str">
        <f t="shared" si="336"/>
        <v>Zone_Entryfailed</v>
      </c>
      <c r="AP2952" t="str">
        <f t="shared" si="337"/>
        <v>Defensive</v>
      </c>
    </row>
    <row r="2953" spans="1:42" x14ac:dyDescent="0.2">
      <c r="A2953">
        <v>1534</v>
      </c>
      <c r="H2953">
        <f t="shared" si="341"/>
        <v>3</v>
      </c>
      <c r="I2953" s="5" t="s">
        <v>900</v>
      </c>
      <c r="J2953" s="5" t="s">
        <v>732</v>
      </c>
      <c r="Q2953" t="s">
        <v>620</v>
      </c>
      <c r="R2953">
        <v>84</v>
      </c>
      <c r="S2953">
        <v>1</v>
      </c>
      <c r="T2953" t="str">
        <f t="shared" si="334"/>
        <v>e</v>
      </c>
      <c r="U2953" t="s">
        <v>10</v>
      </c>
      <c r="V2953" t="s">
        <v>200</v>
      </c>
      <c r="W2953" t="s">
        <v>81</v>
      </c>
      <c r="X2953" t="s">
        <v>706</v>
      </c>
      <c r="Y2953" t="s">
        <v>774</v>
      </c>
      <c r="Z2953" t="s">
        <v>842</v>
      </c>
      <c r="AA2953" t="s">
        <v>706</v>
      </c>
      <c r="AF2953" t="s">
        <v>635</v>
      </c>
      <c r="AJ2953">
        <v>1</v>
      </c>
      <c r="AM2953" t="str">
        <f t="shared" si="335"/>
        <v>Turnover</v>
      </c>
      <c r="AN2953" t="str">
        <f t="shared" si="336"/>
        <v>Turnover_Takeaway</v>
      </c>
      <c r="AP2953" t="str">
        <f t="shared" si="337"/>
        <v>Defensive</v>
      </c>
    </row>
    <row r="2954" spans="1:42" x14ac:dyDescent="0.2">
      <c r="A2954">
        <v>1534</v>
      </c>
      <c r="H2954">
        <f t="shared" si="341"/>
        <v>3</v>
      </c>
      <c r="R2954">
        <v>68</v>
      </c>
      <c r="T2954" t="str">
        <f t="shared" si="334"/>
        <v>o</v>
      </c>
      <c r="Y2954" t="s">
        <v>749</v>
      </c>
      <c r="AA2954" t="s">
        <v>705</v>
      </c>
      <c r="AJ2954">
        <v>1</v>
      </c>
      <c r="AM2954" t="str">
        <f t="shared" si="335"/>
        <v>Turnover</v>
      </c>
      <c r="AN2954" t="str">
        <f t="shared" si="336"/>
        <v>Turnover_Takeaway</v>
      </c>
      <c r="AP2954" t="str">
        <f t="shared" si="337"/>
        <v>Offensive</v>
      </c>
    </row>
    <row r="2955" spans="1:42" x14ac:dyDescent="0.2">
      <c r="A2955">
        <v>1534</v>
      </c>
      <c r="H2955">
        <f t="shared" si="341"/>
        <v>3</v>
      </c>
      <c r="R2955">
        <v>77</v>
      </c>
      <c r="T2955" t="str">
        <f t="shared" si="334"/>
        <v>o</v>
      </c>
      <c r="AJ2955">
        <v>1</v>
      </c>
      <c r="AM2955" t="str">
        <f t="shared" si="335"/>
        <v>Turnover</v>
      </c>
      <c r="AN2955" t="str">
        <f t="shared" si="336"/>
        <v>Turnover_Takeaway</v>
      </c>
      <c r="AP2955" t="str">
        <f t="shared" si="337"/>
        <v>Offensive</v>
      </c>
    </row>
    <row r="2956" spans="1:42" x14ac:dyDescent="0.2">
      <c r="A2956">
        <v>1535</v>
      </c>
      <c r="H2956">
        <f t="shared" si="341"/>
        <v>3</v>
      </c>
      <c r="I2956" s="5" t="s">
        <v>900</v>
      </c>
      <c r="J2956" s="5" t="s">
        <v>732</v>
      </c>
      <c r="K2956" s="5" t="s">
        <v>900</v>
      </c>
      <c r="L2956" s="7" t="s">
        <v>742</v>
      </c>
      <c r="Q2956" t="s">
        <v>620</v>
      </c>
      <c r="R2956">
        <v>84</v>
      </c>
      <c r="S2956">
        <v>1</v>
      </c>
      <c r="T2956" t="str">
        <f t="shared" ref="T2956:T3019" si="342">IF(S2956="x","",IF(S2956=1,"e","o"))</f>
        <v>e</v>
      </c>
      <c r="U2956" t="s">
        <v>15</v>
      </c>
      <c r="AF2956" t="s">
        <v>635</v>
      </c>
      <c r="AJ2956">
        <v>1</v>
      </c>
      <c r="AM2956" t="str">
        <f t="shared" si="335"/>
        <v>Possession</v>
      </c>
      <c r="AN2956" t="str">
        <f t="shared" si="336"/>
        <v/>
      </c>
      <c r="AP2956" t="str">
        <f t="shared" si="337"/>
        <v>Offensive</v>
      </c>
    </row>
    <row r="2957" spans="1:42" x14ac:dyDescent="0.2">
      <c r="A2957">
        <v>1535</v>
      </c>
      <c r="H2957">
        <f t="shared" si="341"/>
        <v>3</v>
      </c>
      <c r="R2957">
        <v>77</v>
      </c>
      <c r="T2957" t="str">
        <f t="shared" si="342"/>
        <v>o</v>
      </c>
      <c r="Y2957" t="s">
        <v>832</v>
      </c>
      <c r="AJ2957">
        <v>1</v>
      </c>
      <c r="AM2957" t="str">
        <f t="shared" si="335"/>
        <v>Possession</v>
      </c>
      <c r="AN2957" t="str">
        <f t="shared" si="336"/>
        <v/>
      </c>
      <c r="AP2957" t="str">
        <f t="shared" si="337"/>
        <v>Defensive</v>
      </c>
    </row>
    <row r="2958" spans="1:42" x14ac:dyDescent="0.2">
      <c r="A2958">
        <v>1535</v>
      </c>
      <c r="H2958">
        <f t="shared" si="341"/>
        <v>3</v>
      </c>
      <c r="R2958">
        <v>68</v>
      </c>
      <c r="T2958" t="str">
        <f t="shared" si="342"/>
        <v>o</v>
      </c>
      <c r="Y2958" t="s">
        <v>715</v>
      </c>
      <c r="AJ2958">
        <v>1</v>
      </c>
      <c r="AM2958" t="str">
        <f t="shared" si="335"/>
        <v>Possession</v>
      </c>
      <c r="AN2958" t="str">
        <f t="shared" si="336"/>
        <v/>
      </c>
      <c r="AP2958" t="str">
        <f t="shared" si="337"/>
        <v>Defensive</v>
      </c>
    </row>
    <row r="2959" spans="1:42" x14ac:dyDescent="0.2">
      <c r="A2959">
        <v>1536</v>
      </c>
      <c r="H2959">
        <f t="shared" si="341"/>
        <v>3</v>
      </c>
      <c r="I2959" s="5" t="s">
        <v>900</v>
      </c>
      <c r="J2959" s="5" t="s">
        <v>742</v>
      </c>
      <c r="Q2959" t="s">
        <v>620</v>
      </c>
      <c r="R2959">
        <v>84</v>
      </c>
      <c r="S2959">
        <v>1</v>
      </c>
      <c r="T2959" t="str">
        <f t="shared" si="342"/>
        <v>e</v>
      </c>
      <c r="U2959" t="s">
        <v>257</v>
      </c>
      <c r="V2959" t="s">
        <v>818</v>
      </c>
      <c r="W2959" t="s">
        <v>87</v>
      </c>
      <c r="X2959" t="s">
        <v>705</v>
      </c>
      <c r="Y2959" t="s">
        <v>749</v>
      </c>
      <c r="AA2959" t="s">
        <v>705</v>
      </c>
      <c r="AF2959" t="s">
        <v>635</v>
      </c>
      <c r="AJ2959">
        <v>1</v>
      </c>
      <c r="AM2959" t="str">
        <f t="shared" ref="AM2959:AM3022" si="343">IF(U2959&lt;&gt;"",U2959,IF($A2959=$A2958,AM2958,""))</f>
        <v>Zone_Entry_Exit</v>
      </c>
      <c r="AN2959" t="str">
        <f t="shared" ref="AN2959:AN3022" si="344">IF(V2959&lt;&gt;"",V2959,IF($A2959=$A2958,AN2958,""))</f>
        <v>Zone_Entryfailed</v>
      </c>
      <c r="AP2959" t="str">
        <f t="shared" ref="AP2959:AP3022" si="345">IF(AND(T2959="e",OR(AM2959="Save",AN2959="Turnover_Takeaway",AN2959="Play_Defensive")),"Defensive",IF(AND(T2959="o",OR(AM2959="Save",AN2959="Turnover_Takeaway",AN2959="Play_Defensive")),"Offensive",IF(OR(AM2959="Deadice",AM2959="Stoppage",AM2959="Intermission"),"",IF(T2959="e","Offensive",IF(T2959="o","Defensive","")))))</f>
        <v>Offensive</v>
      </c>
    </row>
    <row r="2960" spans="1:42" x14ac:dyDescent="0.2">
      <c r="A2960">
        <v>1536</v>
      </c>
      <c r="H2960">
        <f t="shared" si="341"/>
        <v>3</v>
      </c>
      <c r="R2960">
        <v>25</v>
      </c>
      <c r="T2960" t="str">
        <f t="shared" si="342"/>
        <v>o</v>
      </c>
      <c r="Y2960" t="s">
        <v>842</v>
      </c>
      <c r="AA2960" t="s">
        <v>706</v>
      </c>
      <c r="AM2960" t="str">
        <f t="shared" si="343"/>
        <v>Zone_Entry_Exit</v>
      </c>
      <c r="AN2960" t="str">
        <f t="shared" si="344"/>
        <v>Zone_Entryfailed</v>
      </c>
      <c r="AP2960" t="str">
        <f t="shared" si="345"/>
        <v>Defensive</v>
      </c>
    </row>
    <row r="2961" spans="1:42" x14ac:dyDescent="0.2">
      <c r="A2961">
        <v>1537</v>
      </c>
      <c r="H2961">
        <f t="shared" si="341"/>
        <v>3</v>
      </c>
      <c r="I2961" s="5" t="s">
        <v>900</v>
      </c>
      <c r="J2961" s="5" t="s">
        <v>734</v>
      </c>
      <c r="Q2961" t="s">
        <v>619</v>
      </c>
      <c r="R2961">
        <v>25</v>
      </c>
      <c r="S2961">
        <v>1</v>
      </c>
      <c r="T2961" t="str">
        <f t="shared" si="342"/>
        <v>e</v>
      </c>
      <c r="U2961" t="s">
        <v>10</v>
      </c>
      <c r="V2961" t="s">
        <v>200</v>
      </c>
      <c r="W2961" t="s">
        <v>82</v>
      </c>
      <c r="X2961" t="s">
        <v>706</v>
      </c>
      <c r="Y2961" t="s">
        <v>774</v>
      </c>
      <c r="Z2961" t="s">
        <v>714</v>
      </c>
      <c r="AA2961" t="s">
        <v>706</v>
      </c>
      <c r="AF2961" t="s">
        <v>635</v>
      </c>
      <c r="AJ2961">
        <v>1</v>
      </c>
      <c r="AM2961" t="str">
        <f t="shared" si="343"/>
        <v>Turnover</v>
      </c>
      <c r="AN2961" t="str">
        <f t="shared" si="344"/>
        <v>Turnover_Takeaway</v>
      </c>
      <c r="AP2961" t="str">
        <f t="shared" si="345"/>
        <v>Defensive</v>
      </c>
    </row>
    <row r="2962" spans="1:42" x14ac:dyDescent="0.2">
      <c r="A2962">
        <v>1537</v>
      </c>
      <c r="H2962">
        <f t="shared" si="341"/>
        <v>3</v>
      </c>
      <c r="R2962">
        <v>84</v>
      </c>
      <c r="T2962" t="str">
        <f t="shared" si="342"/>
        <v>o</v>
      </c>
      <c r="Y2962" t="s">
        <v>749</v>
      </c>
      <c r="AA2962" t="s">
        <v>705</v>
      </c>
      <c r="AJ2962">
        <v>1</v>
      </c>
      <c r="AM2962" t="str">
        <f t="shared" si="343"/>
        <v>Turnover</v>
      </c>
      <c r="AN2962" t="str">
        <f t="shared" si="344"/>
        <v>Turnover_Takeaway</v>
      </c>
      <c r="AP2962" t="str">
        <f t="shared" si="345"/>
        <v>Offensive</v>
      </c>
    </row>
    <row r="2963" spans="1:42" x14ac:dyDescent="0.2">
      <c r="A2963">
        <v>1538</v>
      </c>
      <c r="H2963">
        <f t="shared" si="341"/>
        <v>3</v>
      </c>
      <c r="I2963" s="5" t="s">
        <v>900</v>
      </c>
      <c r="J2963" s="5" t="s">
        <v>734</v>
      </c>
      <c r="K2963" s="5" t="s">
        <v>900</v>
      </c>
      <c r="L2963" s="7" t="s">
        <v>735</v>
      </c>
      <c r="Q2963" t="s">
        <v>619</v>
      </c>
      <c r="R2963">
        <v>77</v>
      </c>
      <c r="S2963">
        <v>1</v>
      </c>
      <c r="T2963" t="str">
        <f t="shared" si="342"/>
        <v>e</v>
      </c>
      <c r="U2963" t="s">
        <v>15</v>
      </c>
      <c r="V2963" t="s">
        <v>697</v>
      </c>
      <c r="X2963" t="s">
        <v>705</v>
      </c>
      <c r="Y2963" t="s">
        <v>712</v>
      </c>
      <c r="AA2963" t="s">
        <v>705</v>
      </c>
      <c r="AF2963" t="s">
        <v>635</v>
      </c>
      <c r="AJ2963">
        <v>1</v>
      </c>
      <c r="AM2963" t="str">
        <f t="shared" si="343"/>
        <v>Possession</v>
      </c>
      <c r="AN2963" t="str">
        <f t="shared" si="344"/>
        <v>PuckRetrieval</v>
      </c>
      <c r="AP2963" t="str">
        <f t="shared" si="345"/>
        <v>Offensive</v>
      </c>
    </row>
    <row r="2964" spans="1:42" x14ac:dyDescent="0.2">
      <c r="A2964">
        <v>1538</v>
      </c>
      <c r="H2964">
        <f t="shared" si="341"/>
        <v>3</v>
      </c>
      <c r="R2964">
        <v>61</v>
      </c>
      <c r="T2964" t="str">
        <f t="shared" si="342"/>
        <v>o</v>
      </c>
      <c r="Y2964" t="s">
        <v>715</v>
      </c>
      <c r="AJ2964">
        <v>1</v>
      </c>
      <c r="AM2964" t="str">
        <f t="shared" si="343"/>
        <v>Possession</v>
      </c>
      <c r="AN2964" t="str">
        <f t="shared" si="344"/>
        <v>PuckRetrieval</v>
      </c>
      <c r="AP2964" t="str">
        <f t="shared" si="345"/>
        <v>Defensive</v>
      </c>
    </row>
    <row r="2965" spans="1:42" x14ac:dyDescent="0.2">
      <c r="A2965">
        <v>1538</v>
      </c>
      <c r="H2965">
        <f t="shared" si="341"/>
        <v>3</v>
      </c>
      <c r="R2965">
        <v>70</v>
      </c>
      <c r="T2965" t="str">
        <f t="shared" si="342"/>
        <v>o</v>
      </c>
      <c r="Y2965" t="s">
        <v>714</v>
      </c>
      <c r="AA2965" t="s">
        <v>706</v>
      </c>
      <c r="AJ2965">
        <v>1</v>
      </c>
      <c r="AM2965" t="str">
        <f t="shared" si="343"/>
        <v>Possession</v>
      </c>
      <c r="AN2965" t="str">
        <f t="shared" si="344"/>
        <v>PuckRetrieval</v>
      </c>
      <c r="AP2965" t="str">
        <f t="shared" si="345"/>
        <v>Defensive</v>
      </c>
    </row>
    <row r="2966" spans="1:42" x14ac:dyDescent="0.2">
      <c r="A2966">
        <v>1539</v>
      </c>
      <c r="H2966">
        <f t="shared" si="341"/>
        <v>3</v>
      </c>
      <c r="I2966" s="5" t="s">
        <v>900</v>
      </c>
      <c r="J2966" s="5" t="s">
        <v>735</v>
      </c>
      <c r="Q2966" t="s">
        <v>619</v>
      </c>
      <c r="R2966">
        <v>70</v>
      </c>
      <c r="S2966">
        <v>1</v>
      </c>
      <c r="T2966" t="str">
        <f t="shared" si="342"/>
        <v>e</v>
      </c>
      <c r="U2966" t="s">
        <v>10</v>
      </c>
      <c r="V2966" t="s">
        <v>200</v>
      </c>
      <c r="W2966" t="s">
        <v>82</v>
      </c>
      <c r="X2966" t="s">
        <v>706</v>
      </c>
      <c r="Y2966" t="s">
        <v>714</v>
      </c>
      <c r="AA2966" t="s">
        <v>706</v>
      </c>
      <c r="AF2966" t="s">
        <v>635</v>
      </c>
      <c r="AJ2966">
        <v>1</v>
      </c>
      <c r="AM2966" t="str">
        <f t="shared" si="343"/>
        <v>Turnover</v>
      </c>
      <c r="AN2966" t="str">
        <f t="shared" si="344"/>
        <v>Turnover_Takeaway</v>
      </c>
      <c r="AP2966" t="str">
        <f t="shared" si="345"/>
        <v>Defensive</v>
      </c>
    </row>
    <row r="2967" spans="1:42" x14ac:dyDescent="0.2">
      <c r="A2967">
        <v>1539</v>
      </c>
      <c r="H2967">
        <f t="shared" si="341"/>
        <v>3</v>
      </c>
      <c r="R2967">
        <v>61</v>
      </c>
      <c r="S2967">
        <v>1</v>
      </c>
      <c r="T2967" t="str">
        <f t="shared" si="342"/>
        <v>e</v>
      </c>
      <c r="Y2967" t="s">
        <v>715</v>
      </c>
      <c r="AJ2967">
        <v>1</v>
      </c>
      <c r="AM2967" t="str">
        <f t="shared" si="343"/>
        <v>Turnover</v>
      </c>
      <c r="AN2967" t="str">
        <f t="shared" si="344"/>
        <v>Turnover_Takeaway</v>
      </c>
      <c r="AP2967" t="str">
        <f t="shared" si="345"/>
        <v>Defensive</v>
      </c>
    </row>
    <row r="2968" spans="1:42" x14ac:dyDescent="0.2">
      <c r="A2968">
        <v>1539</v>
      </c>
      <c r="H2968">
        <f t="shared" si="341"/>
        <v>3</v>
      </c>
      <c r="R2968">
        <v>77</v>
      </c>
      <c r="T2968" t="str">
        <f t="shared" si="342"/>
        <v>o</v>
      </c>
      <c r="AJ2968">
        <v>1</v>
      </c>
      <c r="AM2968" t="str">
        <f t="shared" si="343"/>
        <v>Turnover</v>
      </c>
      <c r="AN2968" t="str">
        <f t="shared" si="344"/>
        <v>Turnover_Takeaway</v>
      </c>
      <c r="AP2968" t="str">
        <f t="shared" si="345"/>
        <v>Offensive</v>
      </c>
    </row>
    <row r="2969" spans="1:42" x14ac:dyDescent="0.2">
      <c r="A2969">
        <v>1540</v>
      </c>
      <c r="H2969">
        <f t="shared" si="341"/>
        <v>3</v>
      </c>
      <c r="I2969" s="5" t="s">
        <v>900</v>
      </c>
      <c r="J2969" s="5" t="s">
        <v>447</v>
      </c>
      <c r="K2969" s="5" t="s">
        <v>900</v>
      </c>
      <c r="L2969" s="7" t="s">
        <v>738</v>
      </c>
      <c r="Q2969" t="s">
        <v>620</v>
      </c>
      <c r="R2969">
        <v>70</v>
      </c>
      <c r="S2969">
        <v>1</v>
      </c>
      <c r="T2969" t="str">
        <f t="shared" si="342"/>
        <v>e</v>
      </c>
      <c r="U2969" t="s">
        <v>15</v>
      </c>
      <c r="AF2969" t="s">
        <v>635</v>
      </c>
      <c r="AJ2969">
        <v>1</v>
      </c>
      <c r="AM2969" t="str">
        <f t="shared" si="343"/>
        <v>Possession</v>
      </c>
      <c r="AN2969" t="str">
        <f t="shared" si="344"/>
        <v/>
      </c>
      <c r="AP2969" t="str">
        <f t="shared" si="345"/>
        <v>Offensive</v>
      </c>
    </row>
    <row r="2970" spans="1:42" x14ac:dyDescent="0.2">
      <c r="A2970">
        <v>1540</v>
      </c>
      <c r="H2970">
        <f t="shared" si="341"/>
        <v>3</v>
      </c>
      <c r="R2970">
        <v>68</v>
      </c>
      <c r="T2970" t="str">
        <f t="shared" si="342"/>
        <v>o</v>
      </c>
      <c r="Y2970" t="s">
        <v>714</v>
      </c>
      <c r="AA2970" t="s">
        <v>706</v>
      </c>
      <c r="AJ2970">
        <v>1</v>
      </c>
      <c r="AM2970" t="str">
        <f t="shared" si="343"/>
        <v>Possession</v>
      </c>
      <c r="AN2970" t="str">
        <f t="shared" si="344"/>
        <v/>
      </c>
      <c r="AP2970" t="str">
        <f t="shared" si="345"/>
        <v>Defensive</v>
      </c>
    </row>
    <row r="2971" spans="1:42" x14ac:dyDescent="0.2">
      <c r="A2971">
        <v>1541</v>
      </c>
      <c r="H2971">
        <f t="shared" si="341"/>
        <v>3</v>
      </c>
      <c r="I2971" s="5" t="s">
        <v>900</v>
      </c>
      <c r="J2971" s="5" t="s">
        <v>738</v>
      </c>
      <c r="Q2971" t="s">
        <v>619</v>
      </c>
      <c r="R2971">
        <v>68</v>
      </c>
      <c r="S2971">
        <v>1</v>
      </c>
      <c r="T2971" t="str">
        <f t="shared" si="342"/>
        <v>e</v>
      </c>
      <c r="U2971" t="s">
        <v>247</v>
      </c>
      <c r="V2971" t="s">
        <v>422</v>
      </c>
      <c r="W2971" t="s">
        <v>467</v>
      </c>
      <c r="X2971" t="s">
        <v>706</v>
      </c>
      <c r="Y2971" t="s">
        <v>714</v>
      </c>
      <c r="AA2971" t="s">
        <v>706</v>
      </c>
      <c r="AF2971" t="s">
        <v>635</v>
      </c>
      <c r="AJ2971">
        <v>1</v>
      </c>
      <c r="AM2971" t="str">
        <f t="shared" si="343"/>
        <v>Play</v>
      </c>
      <c r="AN2971" t="str">
        <f t="shared" si="344"/>
        <v>Play_Defensive</v>
      </c>
      <c r="AP2971" t="str">
        <f t="shared" si="345"/>
        <v>Defensive</v>
      </c>
    </row>
    <row r="2972" spans="1:42" x14ac:dyDescent="0.2">
      <c r="A2972">
        <v>1541</v>
      </c>
      <c r="H2972">
        <f t="shared" si="341"/>
        <v>3</v>
      </c>
      <c r="R2972">
        <v>70</v>
      </c>
      <c r="T2972" t="str">
        <f t="shared" si="342"/>
        <v>o</v>
      </c>
      <c r="AJ2972">
        <v>1</v>
      </c>
      <c r="AM2972" t="str">
        <f t="shared" si="343"/>
        <v>Play</v>
      </c>
      <c r="AN2972" t="str">
        <f t="shared" si="344"/>
        <v>Play_Defensive</v>
      </c>
      <c r="AP2972" t="str">
        <f t="shared" si="345"/>
        <v>Offensive</v>
      </c>
    </row>
    <row r="2973" spans="1:42" x14ac:dyDescent="0.2">
      <c r="A2973">
        <v>1542</v>
      </c>
      <c r="H2973">
        <f t="shared" si="341"/>
        <v>3</v>
      </c>
      <c r="I2973" s="5" t="s">
        <v>900</v>
      </c>
      <c r="J2973" s="5" t="s">
        <v>740</v>
      </c>
      <c r="K2973" s="5" t="s">
        <v>900</v>
      </c>
      <c r="L2973" s="7" t="s">
        <v>741</v>
      </c>
      <c r="Q2973" t="s">
        <v>620</v>
      </c>
      <c r="R2973">
        <v>84</v>
      </c>
      <c r="S2973">
        <v>1</v>
      </c>
      <c r="T2973" t="str">
        <f t="shared" si="342"/>
        <v>e</v>
      </c>
      <c r="U2973" t="s">
        <v>15</v>
      </c>
      <c r="V2973" t="s">
        <v>698</v>
      </c>
      <c r="X2973" t="s">
        <v>706</v>
      </c>
      <c r="Y2973" t="s">
        <v>752</v>
      </c>
      <c r="AA2973" t="s">
        <v>706</v>
      </c>
      <c r="AF2973" t="s">
        <v>635</v>
      </c>
      <c r="AM2973" t="str">
        <f t="shared" si="343"/>
        <v>Possession</v>
      </c>
      <c r="AN2973" t="str">
        <f t="shared" si="344"/>
        <v>PuckRecovery</v>
      </c>
      <c r="AP2973" t="str">
        <f t="shared" si="345"/>
        <v>Offensive</v>
      </c>
    </row>
    <row r="2974" spans="1:42" x14ac:dyDescent="0.2">
      <c r="A2974">
        <v>1543</v>
      </c>
      <c r="H2974">
        <f t="shared" si="341"/>
        <v>3</v>
      </c>
      <c r="I2974" s="5" t="s">
        <v>900</v>
      </c>
      <c r="J2974" s="5" t="s">
        <v>741</v>
      </c>
      <c r="K2974" s="5" t="s">
        <v>890</v>
      </c>
      <c r="L2974" s="7" t="s">
        <v>622</v>
      </c>
      <c r="Q2974" t="s">
        <v>620</v>
      </c>
      <c r="R2974">
        <v>84</v>
      </c>
      <c r="S2974">
        <v>1</v>
      </c>
      <c r="T2974" t="str">
        <f t="shared" si="342"/>
        <v>e</v>
      </c>
      <c r="U2974" t="s">
        <v>257</v>
      </c>
      <c r="V2974" t="s">
        <v>191</v>
      </c>
      <c r="W2974" t="s">
        <v>87</v>
      </c>
      <c r="X2974" t="s">
        <v>705</v>
      </c>
      <c r="AF2974" t="s">
        <v>401</v>
      </c>
      <c r="AJ2974">
        <v>1</v>
      </c>
      <c r="AM2974" t="str">
        <f t="shared" si="343"/>
        <v>Zone_Entry_Exit</v>
      </c>
      <c r="AN2974" t="str">
        <f t="shared" si="344"/>
        <v>Zone_Entry</v>
      </c>
      <c r="AP2974" t="str">
        <f t="shared" si="345"/>
        <v>Offensive</v>
      </c>
    </row>
    <row r="2975" spans="1:42" x14ac:dyDescent="0.2">
      <c r="A2975">
        <v>1543</v>
      </c>
      <c r="H2975">
        <f t="shared" si="341"/>
        <v>3</v>
      </c>
      <c r="R2975">
        <v>68</v>
      </c>
      <c r="S2975" t="s">
        <v>917</v>
      </c>
      <c r="T2975" t="str">
        <f t="shared" si="342"/>
        <v>o</v>
      </c>
      <c r="Y2975" t="s">
        <v>715</v>
      </c>
      <c r="AJ2975">
        <v>1</v>
      </c>
      <c r="AM2975" t="str">
        <f t="shared" si="343"/>
        <v>Zone_Entry_Exit</v>
      </c>
      <c r="AN2975" t="str">
        <f t="shared" si="344"/>
        <v>Zone_Entry</v>
      </c>
      <c r="AP2975" t="str">
        <f t="shared" si="345"/>
        <v>Defensive</v>
      </c>
    </row>
    <row r="2976" spans="1:42" x14ac:dyDescent="0.2">
      <c r="A2976">
        <v>1544</v>
      </c>
      <c r="B2976">
        <v>239</v>
      </c>
      <c r="H2976">
        <f t="shared" si="341"/>
        <v>3</v>
      </c>
      <c r="I2976" s="5" t="s">
        <v>890</v>
      </c>
      <c r="J2976" s="5" t="s">
        <v>622</v>
      </c>
      <c r="Q2976" t="s">
        <v>620</v>
      </c>
      <c r="R2976">
        <v>84</v>
      </c>
      <c r="S2976">
        <v>1</v>
      </c>
      <c r="T2976" t="str">
        <f t="shared" si="342"/>
        <v>e</v>
      </c>
      <c r="U2976" t="s">
        <v>7</v>
      </c>
      <c r="V2976" t="s">
        <v>198</v>
      </c>
      <c r="W2976" t="s">
        <v>53</v>
      </c>
      <c r="X2976" t="s">
        <v>705</v>
      </c>
      <c r="AF2976" t="s">
        <v>401</v>
      </c>
      <c r="AM2976" t="str">
        <f t="shared" si="343"/>
        <v>Shot</v>
      </c>
      <c r="AN2976" t="str">
        <f t="shared" si="344"/>
        <v>Shot_Missed</v>
      </c>
      <c r="AP2976" t="str">
        <f t="shared" si="345"/>
        <v>Offensive</v>
      </c>
    </row>
    <row r="2977" spans="1:42" x14ac:dyDescent="0.2">
      <c r="A2977">
        <v>1545</v>
      </c>
      <c r="B2977">
        <v>239</v>
      </c>
      <c r="H2977">
        <f t="shared" si="341"/>
        <v>3</v>
      </c>
      <c r="I2977" s="5" t="s">
        <v>890</v>
      </c>
      <c r="J2977" s="5" t="s">
        <v>622</v>
      </c>
      <c r="Q2977" t="s">
        <v>620</v>
      </c>
      <c r="R2977">
        <v>84</v>
      </c>
      <c r="S2977">
        <v>1</v>
      </c>
      <c r="T2977" t="str">
        <f t="shared" si="342"/>
        <v>e</v>
      </c>
      <c r="U2977" t="s">
        <v>10</v>
      </c>
      <c r="V2977" t="s">
        <v>190</v>
      </c>
      <c r="W2977" t="s">
        <v>79</v>
      </c>
      <c r="X2977" t="s">
        <v>705</v>
      </c>
      <c r="AF2977" t="s">
        <v>401</v>
      </c>
      <c r="AM2977" t="str">
        <f t="shared" si="343"/>
        <v>Turnover</v>
      </c>
      <c r="AN2977" t="str">
        <f t="shared" si="344"/>
        <v>Turnover_Giveaway</v>
      </c>
      <c r="AP2977" t="str">
        <f t="shared" si="345"/>
        <v>Offensive</v>
      </c>
    </row>
    <row r="2978" spans="1:42" x14ac:dyDescent="0.2">
      <c r="A2978">
        <v>1546</v>
      </c>
      <c r="H2978">
        <f t="shared" si="341"/>
        <v>3</v>
      </c>
      <c r="I2978" s="5" t="s">
        <v>890</v>
      </c>
      <c r="J2978" s="5" t="s">
        <v>637</v>
      </c>
      <c r="K2978" s="5" t="s">
        <v>890</v>
      </c>
      <c r="L2978" s="7" t="s">
        <v>788</v>
      </c>
      <c r="Q2978" t="s">
        <v>619</v>
      </c>
      <c r="R2978">
        <v>4</v>
      </c>
      <c r="S2978">
        <v>1</v>
      </c>
      <c r="T2978" t="str">
        <f t="shared" si="342"/>
        <v>e</v>
      </c>
      <c r="U2978" t="s">
        <v>15</v>
      </c>
      <c r="V2978" t="s">
        <v>697</v>
      </c>
      <c r="X2978" t="s">
        <v>706</v>
      </c>
      <c r="Y2978" t="s">
        <v>683</v>
      </c>
      <c r="AA2978" t="s">
        <v>706</v>
      </c>
      <c r="AF2978" t="s">
        <v>623</v>
      </c>
      <c r="AM2978" t="str">
        <f t="shared" si="343"/>
        <v>Possession</v>
      </c>
      <c r="AN2978" t="str">
        <f t="shared" si="344"/>
        <v>PuckRetrieval</v>
      </c>
      <c r="AP2978" t="str">
        <f t="shared" si="345"/>
        <v>Offensive</v>
      </c>
    </row>
    <row r="2979" spans="1:42" x14ac:dyDescent="0.2">
      <c r="A2979">
        <v>1547</v>
      </c>
      <c r="H2979">
        <f t="shared" si="341"/>
        <v>3</v>
      </c>
      <c r="I2979" s="5" t="s">
        <v>890</v>
      </c>
      <c r="J2979" s="5" t="s">
        <v>788</v>
      </c>
      <c r="Q2979" t="s">
        <v>619</v>
      </c>
      <c r="R2979">
        <v>4</v>
      </c>
      <c r="S2979">
        <v>1</v>
      </c>
      <c r="T2979" t="str">
        <f t="shared" si="342"/>
        <v>e</v>
      </c>
      <c r="U2979" t="s">
        <v>8</v>
      </c>
      <c r="V2979" t="s">
        <v>189</v>
      </c>
      <c r="W2979" t="s">
        <v>70</v>
      </c>
      <c r="X2979" t="s">
        <v>706</v>
      </c>
      <c r="AF2979" t="s">
        <v>623</v>
      </c>
      <c r="AM2979" t="str">
        <f t="shared" si="343"/>
        <v>Pass</v>
      </c>
      <c r="AN2979" t="str">
        <f t="shared" si="344"/>
        <v>Pass_Completed</v>
      </c>
      <c r="AP2979" t="str">
        <f t="shared" si="345"/>
        <v>Offensive</v>
      </c>
    </row>
    <row r="2980" spans="1:42" x14ac:dyDescent="0.2">
      <c r="A2980">
        <v>1547</v>
      </c>
      <c r="H2980">
        <f t="shared" si="341"/>
        <v>3</v>
      </c>
      <c r="R2980">
        <v>13</v>
      </c>
      <c r="T2980" t="str">
        <f t="shared" si="342"/>
        <v>o</v>
      </c>
      <c r="AM2980" t="str">
        <f t="shared" si="343"/>
        <v>Pass</v>
      </c>
      <c r="AN2980" t="str">
        <f t="shared" si="344"/>
        <v>Pass_Completed</v>
      </c>
      <c r="AP2980" t="str">
        <f t="shared" si="345"/>
        <v>Defensive</v>
      </c>
    </row>
    <row r="2981" spans="1:42" x14ac:dyDescent="0.2">
      <c r="A2981">
        <v>1548</v>
      </c>
      <c r="H2981">
        <f t="shared" si="341"/>
        <v>3</v>
      </c>
      <c r="I2981" s="5" t="s">
        <v>890</v>
      </c>
      <c r="J2981" s="5" t="s">
        <v>788</v>
      </c>
      <c r="K2981" s="5" t="s">
        <v>890</v>
      </c>
      <c r="L2981" s="7" t="s">
        <v>640</v>
      </c>
      <c r="Q2981" t="s">
        <v>619</v>
      </c>
      <c r="R2981">
        <v>13</v>
      </c>
      <c r="S2981">
        <v>1</v>
      </c>
      <c r="T2981" t="str">
        <f t="shared" si="342"/>
        <v>e</v>
      </c>
      <c r="U2981" t="s">
        <v>257</v>
      </c>
      <c r="V2981" t="s">
        <v>201</v>
      </c>
      <c r="W2981" t="s">
        <v>90</v>
      </c>
      <c r="X2981" t="s">
        <v>706</v>
      </c>
      <c r="AF2981" t="s">
        <v>623</v>
      </c>
      <c r="AM2981" t="str">
        <f t="shared" si="343"/>
        <v>Zone_Entry_Exit</v>
      </c>
      <c r="AN2981" t="str">
        <f t="shared" si="344"/>
        <v>Zone_Exit</v>
      </c>
      <c r="AP2981" t="str">
        <f t="shared" si="345"/>
        <v>Offensive</v>
      </c>
    </row>
    <row r="2982" spans="1:42" x14ac:dyDescent="0.2">
      <c r="A2982">
        <v>1549</v>
      </c>
      <c r="H2982">
        <f t="shared" si="341"/>
        <v>3</v>
      </c>
      <c r="I2982" s="5" t="s">
        <v>890</v>
      </c>
      <c r="J2982" s="5" t="s">
        <v>640</v>
      </c>
      <c r="K2982" s="5" t="s">
        <v>890</v>
      </c>
      <c r="L2982" s="7" t="s">
        <v>672</v>
      </c>
      <c r="Q2982" t="s">
        <v>619</v>
      </c>
      <c r="R2982">
        <v>13</v>
      </c>
      <c r="S2982">
        <v>1</v>
      </c>
      <c r="T2982" t="str">
        <f t="shared" si="342"/>
        <v>e</v>
      </c>
      <c r="U2982" t="s">
        <v>15</v>
      </c>
      <c r="Y2982" t="s">
        <v>767</v>
      </c>
      <c r="AA2982" t="s">
        <v>706</v>
      </c>
      <c r="AF2982" t="s">
        <v>635</v>
      </c>
      <c r="AJ2982">
        <v>1</v>
      </c>
      <c r="AM2982" t="str">
        <f t="shared" si="343"/>
        <v>Possession</v>
      </c>
      <c r="AN2982" t="str">
        <f t="shared" si="344"/>
        <v/>
      </c>
      <c r="AP2982" t="str">
        <f t="shared" si="345"/>
        <v>Offensive</v>
      </c>
    </row>
    <row r="2983" spans="1:42" x14ac:dyDescent="0.2">
      <c r="A2983">
        <v>1549</v>
      </c>
      <c r="H2983">
        <f t="shared" si="341"/>
        <v>3</v>
      </c>
      <c r="R2983">
        <v>61</v>
      </c>
      <c r="T2983" t="str">
        <f t="shared" si="342"/>
        <v>o</v>
      </c>
      <c r="Y2983" t="s">
        <v>715</v>
      </c>
      <c r="AJ2983">
        <v>1</v>
      </c>
      <c r="AM2983" t="str">
        <f t="shared" si="343"/>
        <v>Possession</v>
      </c>
      <c r="AN2983" t="str">
        <f t="shared" si="344"/>
        <v/>
      </c>
      <c r="AP2983" t="str">
        <f t="shared" si="345"/>
        <v>Defensive</v>
      </c>
    </row>
    <row r="2984" spans="1:42" x14ac:dyDescent="0.2">
      <c r="A2984">
        <v>1549</v>
      </c>
      <c r="H2984">
        <f t="shared" si="341"/>
        <v>3</v>
      </c>
      <c r="R2984">
        <v>42</v>
      </c>
      <c r="T2984" t="str">
        <f t="shared" si="342"/>
        <v>o</v>
      </c>
      <c r="Y2984" t="s">
        <v>764</v>
      </c>
      <c r="AA2984" t="s">
        <v>705</v>
      </c>
      <c r="AJ2984">
        <v>1</v>
      </c>
      <c r="AM2984" t="str">
        <f t="shared" si="343"/>
        <v>Possession</v>
      </c>
      <c r="AN2984" t="str">
        <f t="shared" si="344"/>
        <v/>
      </c>
      <c r="AP2984" t="str">
        <f t="shared" si="345"/>
        <v>Defensive</v>
      </c>
    </row>
    <row r="2985" spans="1:42" x14ac:dyDescent="0.2">
      <c r="A2985">
        <v>1550</v>
      </c>
      <c r="H2985">
        <f t="shared" si="341"/>
        <v>3</v>
      </c>
      <c r="I2985" s="5" t="s">
        <v>890</v>
      </c>
      <c r="J2985" s="5" t="s">
        <v>672</v>
      </c>
      <c r="K2985" s="5" t="s">
        <v>890</v>
      </c>
      <c r="L2985" s="7" t="s">
        <v>755</v>
      </c>
      <c r="Q2985" t="s">
        <v>619</v>
      </c>
      <c r="R2985">
        <v>13</v>
      </c>
      <c r="S2985">
        <v>1</v>
      </c>
      <c r="T2985" t="str">
        <f t="shared" si="342"/>
        <v>e</v>
      </c>
      <c r="U2985" t="s">
        <v>257</v>
      </c>
      <c r="V2985" t="s">
        <v>191</v>
      </c>
      <c r="W2985" t="s">
        <v>87</v>
      </c>
      <c r="X2985" t="s">
        <v>706</v>
      </c>
      <c r="Y2985" t="s">
        <v>677</v>
      </c>
      <c r="AA2985" t="s">
        <v>706</v>
      </c>
      <c r="AF2985" t="s">
        <v>401</v>
      </c>
      <c r="AJ2985">
        <v>1</v>
      </c>
      <c r="AM2985" t="str">
        <f t="shared" si="343"/>
        <v>Zone_Entry_Exit</v>
      </c>
      <c r="AN2985" t="str">
        <f t="shared" si="344"/>
        <v>Zone_Entry</v>
      </c>
      <c r="AP2985" t="str">
        <f t="shared" si="345"/>
        <v>Offensive</v>
      </c>
    </row>
    <row r="2986" spans="1:42" x14ac:dyDescent="0.2">
      <c r="A2986">
        <v>1550</v>
      </c>
      <c r="H2986">
        <f t="shared" si="341"/>
        <v>3</v>
      </c>
      <c r="R2986">
        <v>91</v>
      </c>
      <c r="T2986" t="str">
        <f t="shared" si="342"/>
        <v>o</v>
      </c>
      <c r="Y2986" t="s">
        <v>715</v>
      </c>
      <c r="AJ2986">
        <v>1</v>
      </c>
      <c r="AM2986" t="str">
        <f t="shared" si="343"/>
        <v>Zone_Entry_Exit</v>
      </c>
      <c r="AN2986" t="str">
        <f t="shared" si="344"/>
        <v>Zone_Entry</v>
      </c>
      <c r="AP2986" t="str">
        <f t="shared" si="345"/>
        <v>Defensive</v>
      </c>
    </row>
    <row r="2987" spans="1:42" x14ac:dyDescent="0.2">
      <c r="A2987">
        <v>1550</v>
      </c>
      <c r="H2987">
        <f t="shared" si="341"/>
        <v>3</v>
      </c>
      <c r="R2987">
        <v>61</v>
      </c>
      <c r="T2987" t="str">
        <f t="shared" si="342"/>
        <v>o</v>
      </c>
      <c r="Y2987" t="s">
        <v>715</v>
      </c>
      <c r="AJ2987">
        <v>1</v>
      </c>
      <c r="AM2987" t="str">
        <f t="shared" si="343"/>
        <v>Zone_Entry_Exit</v>
      </c>
      <c r="AN2987" t="str">
        <f t="shared" si="344"/>
        <v>Zone_Entry</v>
      </c>
      <c r="AP2987" t="str">
        <f t="shared" si="345"/>
        <v>Defensive</v>
      </c>
    </row>
    <row r="2988" spans="1:42" x14ac:dyDescent="0.2">
      <c r="A2988">
        <v>1550</v>
      </c>
      <c r="H2988">
        <f t="shared" si="341"/>
        <v>3</v>
      </c>
      <c r="R2988">
        <v>42</v>
      </c>
      <c r="T2988" t="str">
        <f t="shared" si="342"/>
        <v>o</v>
      </c>
      <c r="AM2988" t="str">
        <f t="shared" si="343"/>
        <v>Zone_Entry_Exit</v>
      </c>
      <c r="AN2988" t="str">
        <f t="shared" si="344"/>
        <v>Zone_Entry</v>
      </c>
      <c r="AP2988" t="str">
        <f t="shared" si="345"/>
        <v>Defensive</v>
      </c>
    </row>
    <row r="2989" spans="1:42" x14ac:dyDescent="0.2">
      <c r="A2989">
        <v>1551</v>
      </c>
      <c r="H2989">
        <f t="shared" si="341"/>
        <v>3</v>
      </c>
      <c r="I2989" s="5" t="s">
        <v>890</v>
      </c>
      <c r="J2989" s="5" t="s">
        <v>755</v>
      </c>
      <c r="K2989" s="5" t="s">
        <v>890</v>
      </c>
      <c r="L2989" s="7" t="s">
        <v>713</v>
      </c>
      <c r="Q2989" t="s">
        <v>619</v>
      </c>
      <c r="R2989">
        <v>13</v>
      </c>
      <c r="S2989">
        <v>1</v>
      </c>
      <c r="T2989" t="str">
        <f t="shared" si="342"/>
        <v>e</v>
      </c>
      <c r="U2989" t="s">
        <v>15</v>
      </c>
      <c r="Y2989" t="s">
        <v>728</v>
      </c>
      <c r="AF2989" t="s">
        <v>401</v>
      </c>
      <c r="AJ2989">
        <v>1</v>
      </c>
      <c r="AM2989" t="str">
        <f t="shared" si="343"/>
        <v>Possession</v>
      </c>
      <c r="AN2989" t="str">
        <f t="shared" si="344"/>
        <v/>
      </c>
      <c r="AP2989" t="str">
        <f t="shared" si="345"/>
        <v>Offensive</v>
      </c>
    </row>
    <row r="2990" spans="1:42" x14ac:dyDescent="0.2">
      <c r="A2990">
        <v>1551</v>
      </c>
      <c r="H2990">
        <f t="shared" si="341"/>
        <v>3</v>
      </c>
      <c r="R2990">
        <v>61</v>
      </c>
      <c r="T2990" t="str">
        <f t="shared" si="342"/>
        <v>o</v>
      </c>
      <c r="AJ2990">
        <v>1</v>
      </c>
      <c r="AM2990" t="str">
        <f t="shared" si="343"/>
        <v>Possession</v>
      </c>
      <c r="AN2990" t="str">
        <f t="shared" si="344"/>
        <v/>
      </c>
      <c r="AP2990" t="str">
        <f t="shared" si="345"/>
        <v>Defensive</v>
      </c>
    </row>
    <row r="2991" spans="1:42" x14ac:dyDescent="0.2">
      <c r="A2991">
        <v>1551</v>
      </c>
      <c r="H2991">
        <f t="shared" si="341"/>
        <v>3</v>
      </c>
      <c r="R2991">
        <v>55</v>
      </c>
      <c r="T2991" t="str">
        <f t="shared" si="342"/>
        <v>o</v>
      </c>
      <c r="AJ2991">
        <v>1</v>
      </c>
      <c r="AM2991" t="str">
        <f t="shared" si="343"/>
        <v>Possession</v>
      </c>
      <c r="AN2991" t="str">
        <f t="shared" si="344"/>
        <v/>
      </c>
      <c r="AP2991" t="str">
        <f t="shared" si="345"/>
        <v>Defensive</v>
      </c>
    </row>
    <row r="2992" spans="1:42" x14ac:dyDescent="0.2">
      <c r="A2992">
        <v>1552</v>
      </c>
      <c r="H2992">
        <f t="shared" si="341"/>
        <v>3</v>
      </c>
      <c r="I2992" s="5" t="s">
        <v>890</v>
      </c>
      <c r="J2992" s="5" t="s">
        <v>713</v>
      </c>
      <c r="K2992" s="5" t="s">
        <v>890</v>
      </c>
      <c r="L2992" s="7" t="s">
        <v>717</v>
      </c>
      <c r="Q2992" t="s">
        <v>619</v>
      </c>
      <c r="R2992">
        <v>13</v>
      </c>
      <c r="S2992">
        <v>1</v>
      </c>
      <c r="T2992" t="str">
        <f t="shared" si="342"/>
        <v>e</v>
      </c>
      <c r="U2992" t="s">
        <v>15</v>
      </c>
      <c r="AF2992" t="s">
        <v>401</v>
      </c>
      <c r="AJ2992">
        <v>1</v>
      </c>
      <c r="AM2992" t="str">
        <f t="shared" si="343"/>
        <v>Possession</v>
      </c>
      <c r="AN2992" t="str">
        <f t="shared" si="344"/>
        <v/>
      </c>
      <c r="AP2992" t="str">
        <f t="shared" si="345"/>
        <v>Offensive</v>
      </c>
    </row>
    <row r="2993" spans="1:42" x14ac:dyDescent="0.2">
      <c r="A2993">
        <v>1552</v>
      </c>
      <c r="H2993">
        <f t="shared" si="341"/>
        <v>3</v>
      </c>
      <c r="R2993">
        <v>84</v>
      </c>
      <c r="T2993" t="str">
        <f t="shared" si="342"/>
        <v>o</v>
      </c>
      <c r="AJ2993">
        <v>1</v>
      </c>
      <c r="AM2993" t="str">
        <f t="shared" si="343"/>
        <v>Possession</v>
      </c>
      <c r="AN2993" t="str">
        <f t="shared" si="344"/>
        <v/>
      </c>
      <c r="AP2993" t="str">
        <f t="shared" si="345"/>
        <v>Defensive</v>
      </c>
    </row>
    <row r="2994" spans="1:42" x14ac:dyDescent="0.2">
      <c r="A2994">
        <v>1553</v>
      </c>
      <c r="B2994">
        <v>240</v>
      </c>
      <c r="H2994">
        <f t="shared" si="341"/>
        <v>3</v>
      </c>
      <c r="I2994" s="5" t="s">
        <v>890</v>
      </c>
      <c r="J2994" s="5" t="s">
        <v>717</v>
      </c>
      <c r="Q2994" t="s">
        <v>619</v>
      </c>
      <c r="R2994">
        <v>13</v>
      </c>
      <c r="S2994">
        <v>1</v>
      </c>
      <c r="T2994" t="str">
        <f t="shared" si="342"/>
        <v>e</v>
      </c>
      <c r="U2994" t="s">
        <v>8</v>
      </c>
      <c r="V2994" t="s">
        <v>189</v>
      </c>
      <c r="W2994" t="s">
        <v>70</v>
      </c>
      <c r="X2994" t="s">
        <v>706</v>
      </c>
      <c r="AF2994" t="s">
        <v>401</v>
      </c>
      <c r="AM2994" t="str">
        <f t="shared" si="343"/>
        <v>Pass</v>
      </c>
      <c r="AN2994" t="str">
        <f t="shared" si="344"/>
        <v>Pass_Completed</v>
      </c>
      <c r="AP2994" t="str">
        <f t="shared" si="345"/>
        <v>Offensive</v>
      </c>
    </row>
    <row r="2995" spans="1:42" x14ac:dyDescent="0.2">
      <c r="A2995">
        <v>1553</v>
      </c>
      <c r="B2995">
        <v>240</v>
      </c>
      <c r="H2995">
        <f t="shared" si="341"/>
        <v>3</v>
      </c>
      <c r="R2995">
        <v>4</v>
      </c>
      <c r="S2995">
        <v>1</v>
      </c>
      <c r="T2995" t="str">
        <f t="shared" si="342"/>
        <v>e</v>
      </c>
      <c r="AM2995" t="str">
        <f t="shared" si="343"/>
        <v>Pass</v>
      </c>
      <c r="AN2995" t="str">
        <f t="shared" si="344"/>
        <v>Pass_Completed</v>
      </c>
      <c r="AP2995" t="str">
        <f t="shared" si="345"/>
        <v>Offensive</v>
      </c>
    </row>
    <row r="2996" spans="1:42" x14ac:dyDescent="0.2">
      <c r="A2996">
        <v>1554</v>
      </c>
      <c r="B2996">
        <v>240</v>
      </c>
      <c r="H2996">
        <f t="shared" si="341"/>
        <v>3</v>
      </c>
      <c r="I2996" s="5" t="s">
        <v>890</v>
      </c>
      <c r="J2996" s="5" t="s">
        <v>778</v>
      </c>
      <c r="Q2996" t="s">
        <v>619</v>
      </c>
      <c r="R2996">
        <v>4</v>
      </c>
      <c r="S2996">
        <v>1</v>
      </c>
      <c r="T2996" t="str">
        <f t="shared" si="342"/>
        <v>e</v>
      </c>
      <c r="U2996" t="s">
        <v>7</v>
      </c>
      <c r="V2996" t="s">
        <v>222</v>
      </c>
      <c r="W2996" t="s">
        <v>65</v>
      </c>
      <c r="X2996" t="s">
        <v>706</v>
      </c>
      <c r="AF2996" t="s">
        <v>401</v>
      </c>
      <c r="AM2996" t="str">
        <f t="shared" si="343"/>
        <v>Shot</v>
      </c>
      <c r="AN2996" t="str">
        <f t="shared" si="344"/>
        <v>Shot_OnNetSaved</v>
      </c>
      <c r="AP2996" t="str">
        <f t="shared" si="345"/>
        <v>Offensive</v>
      </c>
    </row>
    <row r="2997" spans="1:42" x14ac:dyDescent="0.2">
      <c r="A2997">
        <v>1554</v>
      </c>
      <c r="B2997">
        <v>240</v>
      </c>
      <c r="H2997">
        <f t="shared" si="341"/>
        <v>3</v>
      </c>
      <c r="R2997">
        <v>39</v>
      </c>
      <c r="T2997" t="str">
        <f t="shared" si="342"/>
        <v>o</v>
      </c>
      <c r="AM2997" t="str">
        <f t="shared" si="343"/>
        <v>Shot</v>
      </c>
      <c r="AN2997" t="str">
        <f t="shared" si="344"/>
        <v>Shot_OnNetSaved</v>
      </c>
      <c r="AP2997" t="str">
        <f t="shared" si="345"/>
        <v>Defensive</v>
      </c>
    </row>
    <row r="2998" spans="1:42" x14ac:dyDescent="0.2">
      <c r="A2998">
        <v>1555</v>
      </c>
      <c r="B2998">
        <v>240</v>
      </c>
      <c r="H2998">
        <f t="shared" si="341"/>
        <v>3</v>
      </c>
      <c r="I2998" s="5" t="s">
        <v>890</v>
      </c>
      <c r="J2998" s="5" t="s">
        <v>778</v>
      </c>
      <c r="Q2998" t="s">
        <v>620</v>
      </c>
      <c r="R2998">
        <v>39</v>
      </c>
      <c r="S2998">
        <v>1</v>
      </c>
      <c r="T2998" t="str">
        <f t="shared" si="342"/>
        <v>e</v>
      </c>
      <c r="U2998" t="s">
        <v>17</v>
      </c>
      <c r="V2998" t="s">
        <v>206</v>
      </c>
      <c r="W2998" t="s">
        <v>103</v>
      </c>
      <c r="AF2998" t="s">
        <v>623</v>
      </c>
      <c r="AM2998" t="str">
        <f t="shared" si="343"/>
        <v>Save</v>
      </c>
      <c r="AN2998" t="str">
        <f t="shared" si="344"/>
        <v>Save_Freeze</v>
      </c>
      <c r="AP2998" t="str">
        <f t="shared" si="345"/>
        <v>Defensive</v>
      </c>
    </row>
    <row r="2999" spans="1:42" x14ac:dyDescent="0.2">
      <c r="A2999">
        <v>1555</v>
      </c>
      <c r="B2999">
        <v>240</v>
      </c>
      <c r="H2999">
        <f t="shared" si="341"/>
        <v>3</v>
      </c>
      <c r="R2999">
        <v>4</v>
      </c>
      <c r="T2999" t="str">
        <f t="shared" si="342"/>
        <v>o</v>
      </c>
      <c r="AM2999" t="str">
        <f t="shared" si="343"/>
        <v>Save</v>
      </c>
      <c r="AN2999" t="str">
        <f t="shared" si="344"/>
        <v>Save_Freeze</v>
      </c>
      <c r="AP2999" t="str">
        <f t="shared" si="345"/>
        <v>Offensive</v>
      </c>
    </row>
    <row r="3000" spans="1:42" x14ac:dyDescent="0.2">
      <c r="A3000">
        <v>1556</v>
      </c>
      <c r="B3000">
        <v>240</v>
      </c>
      <c r="H3000">
        <f t="shared" si="341"/>
        <v>3</v>
      </c>
      <c r="I3000" s="5" t="s">
        <v>890</v>
      </c>
      <c r="J3000" s="5" t="s">
        <v>719</v>
      </c>
      <c r="Q3000" t="s">
        <v>620</v>
      </c>
      <c r="R3000">
        <v>39</v>
      </c>
      <c r="S3000">
        <v>1</v>
      </c>
      <c r="T3000" t="str">
        <f t="shared" si="342"/>
        <v>e</v>
      </c>
      <c r="U3000" t="s">
        <v>13</v>
      </c>
      <c r="V3000" t="s">
        <v>204</v>
      </c>
      <c r="W3000" t="s">
        <v>110</v>
      </c>
      <c r="AF3000" t="s">
        <v>623</v>
      </c>
      <c r="AM3000" t="str">
        <f t="shared" si="343"/>
        <v>Stoppage</v>
      </c>
      <c r="AN3000" t="str">
        <f t="shared" si="344"/>
        <v>Stoppage_Play</v>
      </c>
      <c r="AP3000" t="str">
        <f t="shared" si="345"/>
        <v/>
      </c>
    </row>
    <row r="3001" spans="1:42" x14ac:dyDescent="0.2">
      <c r="A3001">
        <v>1557</v>
      </c>
      <c r="B3001">
        <v>240</v>
      </c>
      <c r="H3001">
        <f t="shared" si="341"/>
        <v>3</v>
      </c>
      <c r="I3001" s="5" t="s">
        <v>890</v>
      </c>
      <c r="J3001" s="5" t="s">
        <v>719</v>
      </c>
      <c r="K3001" s="5" t="s">
        <v>890</v>
      </c>
      <c r="L3001" s="7" t="s">
        <v>782</v>
      </c>
      <c r="Q3001" t="s">
        <v>620</v>
      </c>
      <c r="R3001">
        <v>39</v>
      </c>
      <c r="S3001">
        <v>1</v>
      </c>
      <c r="T3001" t="str">
        <f t="shared" si="342"/>
        <v>e</v>
      </c>
      <c r="U3001" t="s">
        <v>262</v>
      </c>
      <c r="AF3001" t="s">
        <v>623</v>
      </c>
      <c r="AM3001" t="str">
        <f t="shared" si="343"/>
        <v>DeadIce</v>
      </c>
      <c r="AN3001" t="str">
        <f t="shared" si="344"/>
        <v/>
      </c>
      <c r="AP3001" t="str">
        <f t="shared" si="345"/>
        <v/>
      </c>
    </row>
    <row r="3002" spans="1:42" x14ac:dyDescent="0.2">
      <c r="A3002">
        <v>1558</v>
      </c>
      <c r="H3002">
        <f t="shared" si="341"/>
        <v>3</v>
      </c>
      <c r="I3002" s="5" t="s">
        <v>890</v>
      </c>
      <c r="J3002" s="5" t="s">
        <v>782</v>
      </c>
      <c r="Q3002" t="s">
        <v>619</v>
      </c>
      <c r="R3002">
        <v>77</v>
      </c>
      <c r="S3002">
        <v>1</v>
      </c>
      <c r="T3002" t="str">
        <f t="shared" si="342"/>
        <v>e</v>
      </c>
      <c r="U3002" t="s">
        <v>6</v>
      </c>
      <c r="V3002" t="s">
        <v>255</v>
      </c>
      <c r="AF3002" t="s">
        <v>401</v>
      </c>
      <c r="AM3002" t="str">
        <f t="shared" si="343"/>
        <v>Faceoff</v>
      </c>
      <c r="AN3002" t="str">
        <f t="shared" si="344"/>
        <v>Faceoff_AfterStoppage</v>
      </c>
      <c r="AP3002" t="str">
        <f t="shared" si="345"/>
        <v>Offensive</v>
      </c>
    </row>
    <row r="3003" spans="1:42" x14ac:dyDescent="0.2">
      <c r="A3003">
        <v>1558</v>
      </c>
      <c r="H3003">
        <f t="shared" si="341"/>
        <v>3</v>
      </c>
      <c r="R3003">
        <v>13</v>
      </c>
      <c r="S3003">
        <v>1</v>
      </c>
      <c r="T3003" t="str">
        <f t="shared" si="342"/>
        <v>e</v>
      </c>
      <c r="AM3003" t="str">
        <f t="shared" si="343"/>
        <v>Faceoff</v>
      </c>
      <c r="AN3003" t="str">
        <f t="shared" si="344"/>
        <v>Faceoff_AfterStoppage</v>
      </c>
      <c r="AP3003" t="str">
        <f t="shared" si="345"/>
        <v>Offensive</v>
      </c>
    </row>
    <row r="3004" spans="1:42" x14ac:dyDescent="0.2">
      <c r="A3004">
        <v>1558</v>
      </c>
      <c r="H3004">
        <f t="shared" si="341"/>
        <v>3</v>
      </c>
      <c r="R3004">
        <v>42</v>
      </c>
      <c r="T3004" t="str">
        <f t="shared" si="342"/>
        <v>o</v>
      </c>
      <c r="AM3004" t="str">
        <f t="shared" si="343"/>
        <v>Faceoff</v>
      </c>
      <c r="AN3004" t="str">
        <f t="shared" si="344"/>
        <v>Faceoff_AfterStoppage</v>
      </c>
      <c r="AP3004" t="str">
        <f t="shared" si="345"/>
        <v>Defensive</v>
      </c>
    </row>
    <row r="3005" spans="1:42" x14ac:dyDescent="0.2">
      <c r="A3005">
        <v>1559</v>
      </c>
      <c r="H3005">
        <f t="shared" si="341"/>
        <v>3</v>
      </c>
      <c r="I3005" s="5" t="s">
        <v>890</v>
      </c>
      <c r="J3005" s="5" t="s">
        <v>782</v>
      </c>
      <c r="Q3005" t="s">
        <v>619</v>
      </c>
      <c r="R3005">
        <v>13</v>
      </c>
      <c r="S3005">
        <v>1</v>
      </c>
      <c r="T3005" t="str">
        <f t="shared" si="342"/>
        <v>e</v>
      </c>
      <c r="U3005" t="s">
        <v>8</v>
      </c>
      <c r="V3005" t="s">
        <v>189</v>
      </c>
      <c r="W3005" t="s">
        <v>70</v>
      </c>
      <c r="X3005" t="s">
        <v>706</v>
      </c>
      <c r="Y3005" t="s">
        <v>814</v>
      </c>
      <c r="AA3005" t="s">
        <v>706</v>
      </c>
      <c r="AF3005" t="s">
        <v>401</v>
      </c>
      <c r="AM3005" t="str">
        <f t="shared" si="343"/>
        <v>Pass</v>
      </c>
      <c r="AN3005" t="str">
        <f t="shared" si="344"/>
        <v>Pass_Completed</v>
      </c>
      <c r="AP3005" t="str">
        <f t="shared" si="345"/>
        <v>Offensive</v>
      </c>
    </row>
    <row r="3006" spans="1:42" x14ac:dyDescent="0.2">
      <c r="A3006">
        <v>1559</v>
      </c>
      <c r="H3006">
        <f t="shared" si="341"/>
        <v>3</v>
      </c>
      <c r="R3006">
        <v>68</v>
      </c>
      <c r="S3006">
        <v>1</v>
      </c>
      <c r="T3006" t="str">
        <f t="shared" si="342"/>
        <v>e</v>
      </c>
      <c r="AM3006" t="str">
        <f t="shared" si="343"/>
        <v>Pass</v>
      </c>
      <c r="AN3006" t="str">
        <f t="shared" si="344"/>
        <v>Pass_Completed</v>
      </c>
      <c r="AP3006" t="str">
        <f t="shared" si="345"/>
        <v>Offensive</v>
      </c>
    </row>
    <row r="3007" spans="1:42" x14ac:dyDescent="0.2">
      <c r="A3007">
        <v>1560</v>
      </c>
      <c r="H3007">
        <f t="shared" si="341"/>
        <v>3</v>
      </c>
      <c r="I3007" s="5" t="s">
        <v>890</v>
      </c>
      <c r="J3007" s="5" t="s">
        <v>782</v>
      </c>
      <c r="K3007" s="5" t="s">
        <v>890</v>
      </c>
      <c r="L3007" s="7" t="s">
        <v>732</v>
      </c>
      <c r="Q3007" t="s">
        <v>619</v>
      </c>
      <c r="R3007">
        <v>68</v>
      </c>
      <c r="S3007">
        <v>1</v>
      </c>
      <c r="T3007" t="str">
        <f t="shared" si="342"/>
        <v>e</v>
      </c>
      <c r="U3007" t="s">
        <v>15</v>
      </c>
      <c r="AF3007" t="s">
        <v>401</v>
      </c>
      <c r="AM3007" t="str">
        <f t="shared" si="343"/>
        <v>Possession</v>
      </c>
      <c r="AN3007" t="str">
        <f t="shared" si="344"/>
        <v/>
      </c>
      <c r="AP3007" t="str">
        <f t="shared" si="345"/>
        <v>Offensive</v>
      </c>
    </row>
    <row r="3008" spans="1:42" x14ac:dyDescent="0.2">
      <c r="A3008">
        <v>1561</v>
      </c>
      <c r="B3008">
        <v>241</v>
      </c>
      <c r="H3008">
        <f t="shared" si="341"/>
        <v>3</v>
      </c>
      <c r="I3008" s="5" t="s">
        <v>890</v>
      </c>
      <c r="J3008" s="5" t="s">
        <v>732</v>
      </c>
      <c r="Q3008" t="s">
        <v>619</v>
      </c>
      <c r="R3008">
        <v>68</v>
      </c>
      <c r="S3008">
        <v>1</v>
      </c>
      <c r="T3008" t="str">
        <f t="shared" si="342"/>
        <v>e</v>
      </c>
      <c r="U3008" t="s">
        <v>7</v>
      </c>
      <c r="V3008" t="s">
        <v>208</v>
      </c>
      <c r="W3008" t="s">
        <v>53</v>
      </c>
      <c r="X3008" t="s">
        <v>705</v>
      </c>
      <c r="AF3008" t="s">
        <v>401</v>
      </c>
      <c r="AM3008" t="str">
        <f t="shared" si="343"/>
        <v>Shot</v>
      </c>
      <c r="AN3008" t="str">
        <f t="shared" si="344"/>
        <v>Shot_Blocked</v>
      </c>
      <c r="AP3008" t="str">
        <f t="shared" si="345"/>
        <v>Offensive</v>
      </c>
    </row>
    <row r="3009" spans="1:42" x14ac:dyDescent="0.2">
      <c r="A3009">
        <v>1561</v>
      </c>
      <c r="B3009">
        <v>241</v>
      </c>
      <c r="H3009">
        <f t="shared" si="341"/>
        <v>3</v>
      </c>
      <c r="R3009">
        <v>84</v>
      </c>
      <c r="T3009" t="str">
        <f t="shared" si="342"/>
        <v>o</v>
      </c>
      <c r="Y3009" t="s">
        <v>681</v>
      </c>
      <c r="AA3009" t="s">
        <v>706</v>
      </c>
      <c r="AM3009" t="str">
        <f t="shared" si="343"/>
        <v>Shot</v>
      </c>
      <c r="AN3009" t="str">
        <f t="shared" si="344"/>
        <v>Shot_Blocked</v>
      </c>
      <c r="AP3009" t="str">
        <f t="shared" si="345"/>
        <v>Defensive</v>
      </c>
    </row>
    <row r="3010" spans="1:42" x14ac:dyDescent="0.2">
      <c r="A3010">
        <v>1562</v>
      </c>
      <c r="B3010">
        <v>241</v>
      </c>
      <c r="H3010">
        <f t="shared" si="341"/>
        <v>3</v>
      </c>
      <c r="I3010" s="5" t="s">
        <v>890</v>
      </c>
      <c r="J3010" s="5" t="s">
        <v>732</v>
      </c>
      <c r="Q3010" t="s">
        <v>619</v>
      </c>
      <c r="R3010">
        <v>68</v>
      </c>
      <c r="S3010">
        <v>1</v>
      </c>
      <c r="T3010" t="str">
        <f t="shared" si="342"/>
        <v>e</v>
      </c>
      <c r="U3010" t="s">
        <v>10</v>
      </c>
      <c r="V3010" t="s">
        <v>190</v>
      </c>
      <c r="W3010" t="s">
        <v>78</v>
      </c>
      <c r="X3010" t="s">
        <v>705</v>
      </c>
      <c r="AF3010" t="s">
        <v>401</v>
      </c>
      <c r="AM3010" t="str">
        <f t="shared" si="343"/>
        <v>Turnover</v>
      </c>
      <c r="AN3010" t="str">
        <f t="shared" si="344"/>
        <v>Turnover_Giveaway</v>
      </c>
      <c r="AP3010" t="str">
        <f t="shared" si="345"/>
        <v>Offensive</v>
      </c>
    </row>
    <row r="3011" spans="1:42" x14ac:dyDescent="0.2">
      <c r="A3011">
        <v>1562</v>
      </c>
      <c r="B3011">
        <v>241</v>
      </c>
      <c r="H3011">
        <f t="shared" si="341"/>
        <v>3</v>
      </c>
      <c r="R3011">
        <v>84</v>
      </c>
      <c r="T3011" t="str">
        <f t="shared" si="342"/>
        <v>o</v>
      </c>
      <c r="Y3011" t="s">
        <v>681</v>
      </c>
      <c r="AA3011" t="s">
        <v>706</v>
      </c>
      <c r="AM3011" t="str">
        <f t="shared" si="343"/>
        <v>Turnover</v>
      </c>
      <c r="AN3011" t="str">
        <f t="shared" si="344"/>
        <v>Turnover_Giveaway</v>
      </c>
      <c r="AP3011" t="str">
        <f t="shared" si="345"/>
        <v>Defensive</v>
      </c>
    </row>
    <row r="3012" spans="1:42" x14ac:dyDescent="0.2">
      <c r="A3012">
        <v>1563</v>
      </c>
      <c r="H3012">
        <f t="shared" si="341"/>
        <v>3</v>
      </c>
      <c r="I3012" s="5" t="s">
        <v>890</v>
      </c>
      <c r="J3012" s="5" t="s">
        <v>768</v>
      </c>
      <c r="K3012" s="5" t="s">
        <v>890</v>
      </c>
      <c r="L3012" s="7" t="s">
        <v>742</v>
      </c>
      <c r="Q3012" t="s">
        <v>620</v>
      </c>
      <c r="R3012">
        <v>42</v>
      </c>
      <c r="S3012">
        <v>1</v>
      </c>
      <c r="T3012" t="str">
        <f t="shared" si="342"/>
        <v>e</v>
      </c>
      <c r="U3012" t="s">
        <v>15</v>
      </c>
      <c r="V3012" t="s">
        <v>697</v>
      </c>
      <c r="X3012" t="s">
        <v>706</v>
      </c>
      <c r="Y3012" t="s">
        <v>739</v>
      </c>
      <c r="AA3012" t="s">
        <v>706</v>
      </c>
      <c r="AF3012" t="s">
        <v>623</v>
      </c>
      <c r="AM3012" t="str">
        <f t="shared" si="343"/>
        <v>Possession</v>
      </c>
      <c r="AN3012" t="str">
        <f t="shared" si="344"/>
        <v>PuckRetrieval</v>
      </c>
      <c r="AP3012" t="str">
        <f t="shared" si="345"/>
        <v>Offensive</v>
      </c>
    </row>
    <row r="3013" spans="1:42" x14ac:dyDescent="0.2">
      <c r="A3013">
        <v>1564</v>
      </c>
      <c r="H3013">
        <f t="shared" ref="H3013:H3076" si="346">IF(U3013="Intermission",H3012+1,H3012)</f>
        <v>3</v>
      </c>
      <c r="I3013" s="5" t="s">
        <v>890</v>
      </c>
      <c r="J3013" s="5" t="s">
        <v>742</v>
      </c>
      <c r="K3013" s="5" t="s">
        <v>890</v>
      </c>
      <c r="L3013" s="7" t="s">
        <v>785</v>
      </c>
      <c r="Q3013" t="s">
        <v>620</v>
      </c>
      <c r="R3013">
        <v>42</v>
      </c>
      <c r="S3013">
        <v>1</v>
      </c>
      <c r="T3013" t="str">
        <f t="shared" si="342"/>
        <v>e</v>
      </c>
      <c r="U3013" t="s">
        <v>15</v>
      </c>
      <c r="V3013" t="s">
        <v>684</v>
      </c>
      <c r="AF3013" t="s">
        <v>623</v>
      </c>
      <c r="AM3013" t="str">
        <f t="shared" si="343"/>
        <v>Possession</v>
      </c>
      <c r="AN3013" t="str">
        <f t="shared" si="344"/>
        <v>Regroup</v>
      </c>
      <c r="AP3013" t="str">
        <f t="shared" si="345"/>
        <v>Offensive</v>
      </c>
    </row>
    <row r="3014" spans="1:42" x14ac:dyDescent="0.2">
      <c r="A3014">
        <v>1565</v>
      </c>
      <c r="B3014">
        <v>242</v>
      </c>
      <c r="H3014">
        <f t="shared" si="346"/>
        <v>3</v>
      </c>
      <c r="I3014" s="5" t="s">
        <v>890</v>
      </c>
      <c r="J3014" s="5" t="s">
        <v>785</v>
      </c>
      <c r="Q3014" t="s">
        <v>620</v>
      </c>
      <c r="R3014">
        <v>42</v>
      </c>
      <c r="S3014">
        <v>1</v>
      </c>
      <c r="T3014" t="str">
        <f t="shared" si="342"/>
        <v>e</v>
      </c>
      <c r="U3014" t="s">
        <v>257</v>
      </c>
      <c r="V3014" t="s">
        <v>201</v>
      </c>
      <c r="W3014" t="s">
        <v>92</v>
      </c>
      <c r="X3014" t="s">
        <v>706</v>
      </c>
      <c r="Y3014" t="s">
        <v>678</v>
      </c>
      <c r="AA3014" t="s">
        <v>706</v>
      </c>
      <c r="AF3014" t="s">
        <v>623</v>
      </c>
      <c r="AM3014" t="str">
        <f t="shared" si="343"/>
        <v>Zone_Entry_Exit</v>
      </c>
      <c r="AN3014" t="str">
        <f t="shared" si="344"/>
        <v>Zone_Exit</v>
      </c>
      <c r="AP3014" t="str">
        <f t="shared" si="345"/>
        <v>Offensive</v>
      </c>
    </row>
    <row r="3015" spans="1:42" x14ac:dyDescent="0.2">
      <c r="A3015">
        <v>1566</v>
      </c>
      <c r="B3015">
        <v>242</v>
      </c>
      <c r="H3015">
        <f t="shared" si="346"/>
        <v>3</v>
      </c>
      <c r="I3015" s="5" t="s">
        <v>890</v>
      </c>
      <c r="J3015" s="5" t="s">
        <v>785</v>
      </c>
      <c r="Q3015" t="s">
        <v>620</v>
      </c>
      <c r="R3015">
        <v>42</v>
      </c>
      <c r="S3015">
        <v>1</v>
      </c>
      <c r="T3015" t="str">
        <f t="shared" si="342"/>
        <v>e</v>
      </c>
      <c r="U3015" t="s">
        <v>257</v>
      </c>
      <c r="V3015" t="s">
        <v>191</v>
      </c>
      <c r="W3015" t="s">
        <v>408</v>
      </c>
      <c r="X3015" t="s">
        <v>706</v>
      </c>
      <c r="Y3015" t="s">
        <v>678</v>
      </c>
      <c r="AA3015" t="s">
        <v>706</v>
      </c>
      <c r="AF3015" t="s">
        <v>623</v>
      </c>
      <c r="AM3015" t="str">
        <f t="shared" si="343"/>
        <v>Zone_Entry_Exit</v>
      </c>
      <c r="AN3015" t="str">
        <f t="shared" si="344"/>
        <v>Zone_Entry</v>
      </c>
      <c r="AP3015" t="str">
        <f t="shared" si="345"/>
        <v>Offensive</v>
      </c>
    </row>
    <row r="3016" spans="1:42" x14ac:dyDescent="0.2">
      <c r="A3016">
        <v>1567</v>
      </c>
      <c r="B3016">
        <v>242</v>
      </c>
      <c r="H3016">
        <f t="shared" si="346"/>
        <v>3</v>
      </c>
      <c r="I3016" s="5" t="s">
        <v>890</v>
      </c>
      <c r="J3016" s="5" t="s">
        <v>785</v>
      </c>
      <c r="Q3016" t="s">
        <v>620</v>
      </c>
      <c r="R3016">
        <v>42</v>
      </c>
      <c r="S3016">
        <v>1</v>
      </c>
      <c r="T3016" t="str">
        <f t="shared" si="342"/>
        <v>e</v>
      </c>
      <c r="U3016" t="s">
        <v>10</v>
      </c>
      <c r="V3016" t="s">
        <v>190</v>
      </c>
      <c r="W3016" t="s">
        <v>387</v>
      </c>
      <c r="Y3016" t="s">
        <v>678</v>
      </c>
      <c r="AA3016" t="s">
        <v>706</v>
      </c>
      <c r="AF3016" t="s">
        <v>623</v>
      </c>
      <c r="AM3016" t="str">
        <f t="shared" si="343"/>
        <v>Turnover</v>
      </c>
      <c r="AN3016" t="str">
        <f t="shared" si="344"/>
        <v>Turnover_Giveaway</v>
      </c>
      <c r="AP3016" t="str">
        <f t="shared" si="345"/>
        <v>Offensive</v>
      </c>
    </row>
    <row r="3017" spans="1:42" x14ac:dyDescent="0.2">
      <c r="A3017">
        <v>1568</v>
      </c>
      <c r="H3017">
        <f t="shared" si="346"/>
        <v>3</v>
      </c>
      <c r="I3017" s="5" t="s">
        <v>905</v>
      </c>
      <c r="J3017" s="5" t="s">
        <v>896</v>
      </c>
      <c r="K3017" s="5" t="s">
        <v>905</v>
      </c>
      <c r="L3017" s="7" t="s">
        <v>762</v>
      </c>
      <c r="Q3017" t="s">
        <v>619</v>
      </c>
      <c r="R3017">
        <v>18</v>
      </c>
      <c r="S3017">
        <v>1</v>
      </c>
      <c r="T3017" t="str">
        <f t="shared" si="342"/>
        <v>e</v>
      </c>
      <c r="U3017" t="s">
        <v>15</v>
      </c>
      <c r="V3017" t="s">
        <v>697</v>
      </c>
      <c r="X3017" t="s">
        <v>706</v>
      </c>
      <c r="Y3017" t="s">
        <v>720</v>
      </c>
      <c r="AA3017" t="s">
        <v>706</v>
      </c>
      <c r="AF3017" t="s">
        <v>623</v>
      </c>
      <c r="AM3017" t="str">
        <f t="shared" si="343"/>
        <v>Possession</v>
      </c>
      <c r="AN3017" t="str">
        <f t="shared" si="344"/>
        <v>PuckRetrieval</v>
      </c>
      <c r="AP3017" t="str">
        <f t="shared" si="345"/>
        <v>Offensive</v>
      </c>
    </row>
    <row r="3018" spans="1:42" x14ac:dyDescent="0.2">
      <c r="A3018">
        <v>1569</v>
      </c>
      <c r="B3018">
        <v>243</v>
      </c>
      <c r="H3018">
        <f t="shared" si="346"/>
        <v>3</v>
      </c>
      <c r="I3018" s="5" t="s">
        <v>905</v>
      </c>
      <c r="J3018" s="5" t="s">
        <v>762</v>
      </c>
      <c r="Q3018" t="s">
        <v>619</v>
      </c>
      <c r="R3018">
        <v>18</v>
      </c>
      <c r="S3018">
        <v>1</v>
      </c>
      <c r="T3018" t="str">
        <f t="shared" si="342"/>
        <v>e</v>
      </c>
      <c r="U3018" t="s">
        <v>8</v>
      </c>
      <c r="V3018" t="s">
        <v>189</v>
      </c>
      <c r="W3018" t="s">
        <v>70</v>
      </c>
      <c r="X3018" t="s">
        <v>706</v>
      </c>
      <c r="Y3018" t="s">
        <v>678</v>
      </c>
      <c r="AA3018" t="s">
        <v>706</v>
      </c>
      <c r="AF3018" t="s">
        <v>623</v>
      </c>
      <c r="AM3018" t="str">
        <f t="shared" si="343"/>
        <v>Pass</v>
      </c>
      <c r="AN3018" t="str">
        <f t="shared" si="344"/>
        <v>Pass_Completed</v>
      </c>
      <c r="AP3018" t="str">
        <f t="shared" si="345"/>
        <v>Offensive</v>
      </c>
    </row>
    <row r="3019" spans="1:42" x14ac:dyDescent="0.2">
      <c r="A3019">
        <v>1569</v>
      </c>
      <c r="B3019">
        <v>243</v>
      </c>
      <c r="H3019">
        <f t="shared" si="346"/>
        <v>3</v>
      </c>
      <c r="R3019">
        <v>68</v>
      </c>
      <c r="S3019">
        <v>1</v>
      </c>
      <c r="T3019" t="str">
        <f t="shared" si="342"/>
        <v>e</v>
      </c>
      <c r="AM3019" t="str">
        <f t="shared" si="343"/>
        <v>Pass</v>
      </c>
      <c r="AN3019" t="str">
        <f t="shared" si="344"/>
        <v>Pass_Completed</v>
      </c>
      <c r="AP3019" t="str">
        <f t="shared" si="345"/>
        <v>Offensive</v>
      </c>
    </row>
    <row r="3020" spans="1:42" x14ac:dyDescent="0.2">
      <c r="A3020">
        <v>1570</v>
      </c>
      <c r="B3020">
        <v>243</v>
      </c>
      <c r="H3020">
        <f t="shared" si="346"/>
        <v>3</v>
      </c>
      <c r="I3020" s="5" t="s">
        <v>905</v>
      </c>
      <c r="J3020" s="5" t="s">
        <v>762</v>
      </c>
      <c r="Q3020" t="s">
        <v>619</v>
      </c>
      <c r="R3020">
        <v>18</v>
      </c>
      <c r="S3020">
        <v>1</v>
      </c>
      <c r="T3020" t="str">
        <f t="shared" ref="T3020:T3083" si="347">IF(S3020="x","",IF(S3020=1,"e","o"))</f>
        <v>e</v>
      </c>
      <c r="U3020" t="s">
        <v>257</v>
      </c>
      <c r="V3020" t="s">
        <v>201</v>
      </c>
      <c r="W3020" t="s">
        <v>91</v>
      </c>
      <c r="X3020" t="s">
        <v>706</v>
      </c>
      <c r="Y3020" t="s">
        <v>678</v>
      </c>
      <c r="AA3020" t="s">
        <v>706</v>
      </c>
      <c r="AF3020" t="s">
        <v>623</v>
      </c>
      <c r="AM3020" t="str">
        <f t="shared" si="343"/>
        <v>Zone_Entry_Exit</v>
      </c>
      <c r="AN3020" t="str">
        <f t="shared" si="344"/>
        <v>Zone_Exit</v>
      </c>
      <c r="AP3020" t="str">
        <f t="shared" si="345"/>
        <v>Offensive</v>
      </c>
    </row>
    <row r="3021" spans="1:42" x14ac:dyDescent="0.2">
      <c r="A3021">
        <v>1570</v>
      </c>
      <c r="B3021">
        <v>243</v>
      </c>
      <c r="H3021">
        <f t="shared" si="346"/>
        <v>3</v>
      </c>
      <c r="R3021">
        <v>68</v>
      </c>
      <c r="S3021">
        <v>1</v>
      </c>
      <c r="T3021" t="str">
        <f t="shared" si="347"/>
        <v>e</v>
      </c>
      <c r="AM3021" t="str">
        <f t="shared" si="343"/>
        <v>Zone_Entry_Exit</v>
      </c>
      <c r="AN3021" t="str">
        <f t="shared" si="344"/>
        <v>Zone_Exit</v>
      </c>
      <c r="AP3021" t="str">
        <f t="shared" si="345"/>
        <v>Offensive</v>
      </c>
    </row>
    <row r="3022" spans="1:42" x14ac:dyDescent="0.2">
      <c r="A3022">
        <v>1571</v>
      </c>
      <c r="H3022">
        <f t="shared" si="346"/>
        <v>3</v>
      </c>
      <c r="I3022" s="5" t="s">
        <v>905</v>
      </c>
      <c r="J3022" s="5" t="s">
        <v>751</v>
      </c>
      <c r="Q3022" t="s">
        <v>619</v>
      </c>
      <c r="R3022">
        <v>68</v>
      </c>
      <c r="S3022">
        <v>1</v>
      </c>
      <c r="T3022" t="str">
        <f t="shared" si="347"/>
        <v>e</v>
      </c>
      <c r="U3022" t="s">
        <v>8</v>
      </c>
      <c r="V3022" t="s">
        <v>189</v>
      </c>
      <c r="W3022" t="s">
        <v>418</v>
      </c>
      <c r="X3022" t="s">
        <v>706</v>
      </c>
      <c r="Y3022" t="s">
        <v>814</v>
      </c>
      <c r="Z3022" t="s">
        <v>840</v>
      </c>
      <c r="AA3022" t="s">
        <v>706</v>
      </c>
      <c r="AF3022" t="s">
        <v>635</v>
      </c>
      <c r="AM3022" t="str">
        <f t="shared" si="343"/>
        <v>Pass</v>
      </c>
      <c r="AN3022" t="str">
        <f t="shared" si="344"/>
        <v>Pass_Completed</v>
      </c>
      <c r="AP3022" t="str">
        <f t="shared" si="345"/>
        <v>Offensive</v>
      </c>
    </row>
    <row r="3023" spans="1:42" x14ac:dyDescent="0.2">
      <c r="A3023">
        <v>1571</v>
      </c>
      <c r="H3023">
        <f t="shared" si="346"/>
        <v>3</v>
      </c>
      <c r="R3023">
        <v>77</v>
      </c>
      <c r="S3023">
        <v>1</v>
      </c>
      <c r="T3023" t="str">
        <f t="shared" si="347"/>
        <v>e</v>
      </c>
      <c r="AM3023" t="str">
        <f t="shared" ref="AM3023:AM3086" si="348">IF(U3023&lt;&gt;"",U3023,IF($A3023=$A3022,AM3022,""))</f>
        <v>Pass</v>
      </c>
      <c r="AN3023" t="str">
        <f t="shared" ref="AN3023:AN3086" si="349">IF(V3023&lt;&gt;"",V3023,IF($A3023=$A3022,AN3022,""))</f>
        <v>Pass_Completed</v>
      </c>
      <c r="AP3023" t="str">
        <f t="shared" ref="AP3023:AP3086" si="350">IF(AND(T3023="e",OR(AM3023="Save",AN3023="Turnover_Takeaway",AN3023="Play_Defensive")),"Defensive",IF(AND(T3023="o",OR(AM3023="Save",AN3023="Turnover_Takeaway",AN3023="Play_Defensive")),"Offensive",IF(OR(AM3023="Deadice",AM3023="Stoppage",AM3023="Intermission"),"",IF(T3023="e","Offensive",IF(T3023="o","Defensive","")))))</f>
        <v>Offensive</v>
      </c>
    </row>
    <row r="3024" spans="1:42" x14ac:dyDescent="0.2">
      <c r="A3024">
        <v>1572</v>
      </c>
      <c r="H3024">
        <f t="shared" si="346"/>
        <v>3</v>
      </c>
      <c r="I3024" s="5" t="s">
        <v>905</v>
      </c>
      <c r="J3024" s="5" t="s">
        <v>751</v>
      </c>
      <c r="K3024" s="5" t="s">
        <v>905</v>
      </c>
      <c r="L3024" s="7" t="s">
        <v>773</v>
      </c>
      <c r="Q3024" t="s">
        <v>619</v>
      </c>
      <c r="R3024">
        <v>77</v>
      </c>
      <c r="S3024">
        <v>1</v>
      </c>
      <c r="T3024" t="str">
        <f t="shared" si="347"/>
        <v>e</v>
      </c>
      <c r="U3024" t="s">
        <v>15</v>
      </c>
      <c r="AF3024" t="s">
        <v>635</v>
      </c>
      <c r="AM3024" t="str">
        <f t="shared" si="348"/>
        <v>Possession</v>
      </c>
      <c r="AN3024" t="str">
        <f t="shared" si="349"/>
        <v/>
      </c>
      <c r="AP3024" t="str">
        <f t="shared" si="350"/>
        <v>Offensive</v>
      </c>
    </row>
    <row r="3025" spans="1:42" x14ac:dyDescent="0.2">
      <c r="A3025">
        <v>1572</v>
      </c>
      <c r="H3025">
        <f t="shared" si="346"/>
        <v>3</v>
      </c>
      <c r="R3025">
        <v>24</v>
      </c>
      <c r="T3025" t="str">
        <f t="shared" si="347"/>
        <v>o</v>
      </c>
      <c r="AM3025" t="str">
        <f t="shared" si="348"/>
        <v>Possession</v>
      </c>
      <c r="AN3025" t="str">
        <f t="shared" si="349"/>
        <v/>
      </c>
      <c r="AP3025" t="str">
        <f t="shared" si="350"/>
        <v>Defensive</v>
      </c>
    </row>
    <row r="3026" spans="1:42" x14ac:dyDescent="0.2">
      <c r="A3026">
        <v>1573</v>
      </c>
      <c r="H3026">
        <f t="shared" si="346"/>
        <v>3</v>
      </c>
      <c r="I3026" s="5" t="s">
        <v>905</v>
      </c>
      <c r="J3026" s="5" t="s">
        <v>773</v>
      </c>
      <c r="K3026" s="5" t="s">
        <v>905</v>
      </c>
      <c r="L3026" s="7" t="s">
        <v>753</v>
      </c>
      <c r="Q3026" t="s">
        <v>619</v>
      </c>
      <c r="R3026">
        <v>77</v>
      </c>
      <c r="S3026">
        <v>1</v>
      </c>
      <c r="T3026" t="str">
        <f t="shared" si="347"/>
        <v>e</v>
      </c>
      <c r="U3026" t="s">
        <v>257</v>
      </c>
      <c r="V3026" t="s">
        <v>191</v>
      </c>
      <c r="W3026" t="s">
        <v>87</v>
      </c>
      <c r="X3026" t="s">
        <v>706</v>
      </c>
      <c r="Y3026" t="s">
        <v>677</v>
      </c>
      <c r="AA3026" t="s">
        <v>706</v>
      </c>
      <c r="AF3026" t="s">
        <v>401</v>
      </c>
      <c r="AJ3026">
        <v>1</v>
      </c>
      <c r="AM3026" t="str">
        <f t="shared" si="348"/>
        <v>Zone_Entry_Exit</v>
      </c>
      <c r="AN3026" t="str">
        <f t="shared" si="349"/>
        <v>Zone_Entry</v>
      </c>
      <c r="AP3026" t="str">
        <f t="shared" si="350"/>
        <v>Offensive</v>
      </c>
    </row>
    <row r="3027" spans="1:42" x14ac:dyDescent="0.2">
      <c r="A3027">
        <v>1573</v>
      </c>
      <c r="H3027">
        <f t="shared" si="346"/>
        <v>3</v>
      </c>
      <c r="R3027">
        <v>12</v>
      </c>
      <c r="S3027">
        <v>1</v>
      </c>
      <c r="T3027" t="str">
        <f t="shared" si="347"/>
        <v>e</v>
      </c>
      <c r="AM3027" t="str">
        <f t="shared" si="348"/>
        <v>Zone_Entry_Exit</v>
      </c>
      <c r="AN3027" t="str">
        <f t="shared" si="349"/>
        <v>Zone_Entry</v>
      </c>
      <c r="AP3027" t="str">
        <f t="shared" si="350"/>
        <v>Offensive</v>
      </c>
    </row>
    <row r="3028" spans="1:42" x14ac:dyDescent="0.2">
      <c r="A3028">
        <v>1573</v>
      </c>
      <c r="H3028">
        <f t="shared" si="346"/>
        <v>3</v>
      </c>
      <c r="R3028">
        <v>84</v>
      </c>
      <c r="T3028" t="str">
        <f t="shared" si="347"/>
        <v>o</v>
      </c>
      <c r="Y3028" t="s">
        <v>781</v>
      </c>
      <c r="Z3028" t="s">
        <v>715</v>
      </c>
      <c r="AA3028" t="s">
        <v>705</v>
      </c>
      <c r="AJ3028">
        <v>1</v>
      </c>
      <c r="AM3028" t="str">
        <f t="shared" si="348"/>
        <v>Zone_Entry_Exit</v>
      </c>
      <c r="AN3028" t="str">
        <f t="shared" si="349"/>
        <v>Zone_Entry</v>
      </c>
      <c r="AP3028" t="str">
        <f t="shared" si="350"/>
        <v>Defensive</v>
      </c>
    </row>
    <row r="3029" spans="1:42" x14ac:dyDescent="0.2">
      <c r="A3029">
        <v>1573</v>
      </c>
      <c r="H3029">
        <f t="shared" si="346"/>
        <v>3</v>
      </c>
      <c r="R3029">
        <v>42</v>
      </c>
      <c r="T3029" t="str">
        <f t="shared" si="347"/>
        <v>o</v>
      </c>
      <c r="AM3029" t="str">
        <f t="shared" si="348"/>
        <v>Zone_Entry_Exit</v>
      </c>
      <c r="AN3029" t="str">
        <f t="shared" si="349"/>
        <v>Zone_Entry</v>
      </c>
      <c r="AP3029" t="str">
        <f t="shared" si="350"/>
        <v>Defensive</v>
      </c>
    </row>
    <row r="3030" spans="1:42" x14ac:dyDescent="0.2">
      <c r="A3030">
        <v>1573</v>
      </c>
      <c r="H3030">
        <f t="shared" si="346"/>
        <v>3</v>
      </c>
      <c r="R3030">
        <v>91</v>
      </c>
      <c r="T3030" t="str">
        <f t="shared" si="347"/>
        <v>o</v>
      </c>
      <c r="AM3030" t="str">
        <f t="shared" si="348"/>
        <v>Zone_Entry_Exit</v>
      </c>
      <c r="AN3030" t="str">
        <f t="shared" si="349"/>
        <v>Zone_Entry</v>
      </c>
      <c r="AP3030" t="str">
        <f t="shared" si="350"/>
        <v>Defensive</v>
      </c>
    </row>
    <row r="3031" spans="1:42" x14ac:dyDescent="0.2">
      <c r="A3031">
        <v>1574</v>
      </c>
      <c r="H3031">
        <f t="shared" si="346"/>
        <v>3</v>
      </c>
      <c r="I3031" s="5" t="s">
        <v>905</v>
      </c>
      <c r="J3031" s="5" t="s">
        <v>753</v>
      </c>
      <c r="K3031" s="5" t="s">
        <v>905</v>
      </c>
      <c r="L3031" s="7" t="s">
        <v>789</v>
      </c>
      <c r="Q3031" t="s">
        <v>619</v>
      </c>
      <c r="R3031">
        <v>77</v>
      </c>
      <c r="S3031">
        <v>1</v>
      </c>
      <c r="T3031" t="str">
        <f t="shared" si="347"/>
        <v>e</v>
      </c>
      <c r="U3031" t="s">
        <v>15</v>
      </c>
      <c r="Y3031" t="s">
        <v>677</v>
      </c>
      <c r="AA3031" t="s">
        <v>706</v>
      </c>
      <c r="AF3031" t="s">
        <v>401</v>
      </c>
      <c r="AJ3031">
        <v>1</v>
      </c>
      <c r="AM3031" t="str">
        <f t="shared" si="348"/>
        <v>Possession</v>
      </c>
      <c r="AN3031" t="str">
        <f t="shared" si="349"/>
        <v/>
      </c>
      <c r="AP3031" t="str">
        <f t="shared" si="350"/>
        <v>Offensive</v>
      </c>
    </row>
    <row r="3032" spans="1:42" x14ac:dyDescent="0.2">
      <c r="A3032">
        <v>1574</v>
      </c>
      <c r="H3032">
        <f t="shared" si="346"/>
        <v>3</v>
      </c>
      <c r="R3032">
        <v>91</v>
      </c>
      <c r="T3032" t="str">
        <f t="shared" si="347"/>
        <v>o</v>
      </c>
      <c r="Y3032" t="s">
        <v>781</v>
      </c>
      <c r="Z3032" t="s">
        <v>715</v>
      </c>
      <c r="AA3032" t="s">
        <v>705</v>
      </c>
      <c r="AJ3032">
        <v>1</v>
      </c>
      <c r="AM3032" t="str">
        <f t="shared" si="348"/>
        <v>Possession</v>
      </c>
      <c r="AN3032" t="str">
        <f t="shared" si="349"/>
        <v/>
      </c>
      <c r="AP3032" t="str">
        <f t="shared" si="350"/>
        <v>Defensive</v>
      </c>
    </row>
    <row r="3033" spans="1:42" x14ac:dyDescent="0.2">
      <c r="A3033">
        <v>1574</v>
      </c>
      <c r="H3033">
        <f t="shared" si="346"/>
        <v>3</v>
      </c>
      <c r="R3033">
        <v>84</v>
      </c>
      <c r="T3033" t="str">
        <f t="shared" si="347"/>
        <v>o</v>
      </c>
      <c r="AJ3033">
        <v>1</v>
      </c>
      <c r="AM3033" t="str">
        <f t="shared" si="348"/>
        <v>Possession</v>
      </c>
      <c r="AN3033" t="str">
        <f t="shared" si="349"/>
        <v/>
      </c>
      <c r="AP3033" t="str">
        <f t="shared" si="350"/>
        <v>Defensive</v>
      </c>
    </row>
    <row r="3034" spans="1:42" x14ac:dyDescent="0.2">
      <c r="A3034">
        <v>1575</v>
      </c>
      <c r="B3034">
        <v>244</v>
      </c>
      <c r="H3034">
        <f t="shared" si="346"/>
        <v>3</v>
      </c>
      <c r="I3034" s="5" t="s">
        <v>905</v>
      </c>
      <c r="J3034" s="5" t="s">
        <v>789</v>
      </c>
      <c r="Q3034" t="s">
        <v>619</v>
      </c>
      <c r="R3034">
        <v>77</v>
      </c>
      <c r="S3034">
        <v>1</v>
      </c>
      <c r="T3034" t="str">
        <f t="shared" si="347"/>
        <v>e</v>
      </c>
      <c r="U3034" t="s">
        <v>7</v>
      </c>
      <c r="V3034" t="s">
        <v>222</v>
      </c>
      <c r="W3034" t="s">
        <v>53</v>
      </c>
      <c r="X3034" t="s">
        <v>706</v>
      </c>
      <c r="AF3034" t="s">
        <v>401</v>
      </c>
      <c r="AM3034" t="str">
        <f t="shared" si="348"/>
        <v>Shot</v>
      </c>
      <c r="AN3034" t="str">
        <f t="shared" si="349"/>
        <v>Shot_OnNetSaved</v>
      </c>
      <c r="AP3034" t="str">
        <f t="shared" si="350"/>
        <v>Offensive</v>
      </c>
    </row>
    <row r="3035" spans="1:42" x14ac:dyDescent="0.2">
      <c r="A3035">
        <v>1575</v>
      </c>
      <c r="B3035">
        <v>244</v>
      </c>
      <c r="H3035">
        <f t="shared" si="346"/>
        <v>3</v>
      </c>
      <c r="R3035">
        <v>39</v>
      </c>
      <c r="T3035" t="str">
        <f t="shared" si="347"/>
        <v>o</v>
      </c>
      <c r="AM3035" t="str">
        <f t="shared" si="348"/>
        <v>Shot</v>
      </c>
      <c r="AN3035" t="str">
        <f t="shared" si="349"/>
        <v>Shot_OnNetSaved</v>
      </c>
      <c r="AP3035" t="str">
        <f t="shared" si="350"/>
        <v>Defensive</v>
      </c>
    </row>
    <row r="3036" spans="1:42" x14ac:dyDescent="0.2">
      <c r="A3036">
        <v>1576</v>
      </c>
      <c r="B3036">
        <v>244</v>
      </c>
      <c r="H3036">
        <f t="shared" si="346"/>
        <v>3</v>
      </c>
      <c r="I3036" s="5" t="s">
        <v>905</v>
      </c>
      <c r="J3036" s="5" t="s">
        <v>789</v>
      </c>
      <c r="Q3036" t="s">
        <v>620</v>
      </c>
      <c r="R3036">
        <v>39</v>
      </c>
      <c r="S3036">
        <v>1</v>
      </c>
      <c r="T3036" t="str">
        <f t="shared" si="347"/>
        <v>e</v>
      </c>
      <c r="U3036" t="s">
        <v>17</v>
      </c>
      <c r="V3036" t="s">
        <v>196</v>
      </c>
      <c r="W3036" t="s">
        <v>99</v>
      </c>
      <c r="AF3036" t="s">
        <v>623</v>
      </c>
      <c r="AM3036" t="str">
        <f t="shared" si="348"/>
        <v>Save</v>
      </c>
      <c r="AN3036" t="str">
        <f t="shared" si="349"/>
        <v>Save_Rebound</v>
      </c>
      <c r="AP3036" t="str">
        <f t="shared" si="350"/>
        <v>Defensive</v>
      </c>
    </row>
    <row r="3037" spans="1:42" x14ac:dyDescent="0.2">
      <c r="A3037">
        <v>1576</v>
      </c>
      <c r="B3037">
        <v>244</v>
      </c>
      <c r="H3037">
        <f t="shared" si="346"/>
        <v>3</v>
      </c>
      <c r="R3037">
        <v>77</v>
      </c>
      <c r="T3037" t="str">
        <f t="shared" si="347"/>
        <v>o</v>
      </c>
      <c r="AM3037" t="str">
        <f t="shared" si="348"/>
        <v>Save</v>
      </c>
      <c r="AN3037" t="str">
        <f t="shared" si="349"/>
        <v>Save_Rebound</v>
      </c>
      <c r="AP3037" t="str">
        <f t="shared" si="350"/>
        <v>Offensive</v>
      </c>
    </row>
    <row r="3038" spans="1:42" x14ac:dyDescent="0.2">
      <c r="A3038">
        <v>1578</v>
      </c>
      <c r="B3038">
        <v>244</v>
      </c>
      <c r="H3038">
        <f t="shared" si="346"/>
        <v>3</v>
      </c>
      <c r="I3038" s="5" t="s">
        <v>905</v>
      </c>
      <c r="J3038" s="5" t="s">
        <v>789</v>
      </c>
      <c r="Q3038" t="s">
        <v>620</v>
      </c>
      <c r="R3038">
        <v>39</v>
      </c>
      <c r="S3038">
        <v>1</v>
      </c>
      <c r="T3038" t="str">
        <f t="shared" si="347"/>
        <v>e</v>
      </c>
      <c r="U3038" t="s">
        <v>250</v>
      </c>
      <c r="V3038" t="s">
        <v>252</v>
      </c>
      <c r="AF3038" t="s">
        <v>623</v>
      </c>
      <c r="AM3038" t="str">
        <f t="shared" si="348"/>
        <v>Rebound</v>
      </c>
      <c r="AN3038" t="str">
        <f t="shared" si="349"/>
        <v>Rebound_OppTeamRecovered</v>
      </c>
      <c r="AP3038" t="str">
        <f t="shared" si="350"/>
        <v>Offensive</v>
      </c>
    </row>
    <row r="3039" spans="1:42" x14ac:dyDescent="0.2">
      <c r="A3039">
        <v>1579</v>
      </c>
      <c r="H3039">
        <f t="shared" si="346"/>
        <v>3</v>
      </c>
      <c r="I3039" s="5" t="s">
        <v>905</v>
      </c>
      <c r="J3039" s="5" t="s">
        <v>755</v>
      </c>
      <c r="Q3039" t="s">
        <v>619</v>
      </c>
      <c r="R3039">
        <v>18</v>
      </c>
      <c r="S3039">
        <v>1</v>
      </c>
      <c r="T3039" t="str">
        <f t="shared" si="347"/>
        <v>e</v>
      </c>
      <c r="U3039" t="s">
        <v>15</v>
      </c>
      <c r="V3039" t="s">
        <v>698</v>
      </c>
      <c r="X3039" t="s">
        <v>706</v>
      </c>
      <c r="Y3039" t="s">
        <v>808</v>
      </c>
      <c r="AA3039" t="s">
        <v>706</v>
      </c>
      <c r="AF3039" t="s">
        <v>401</v>
      </c>
      <c r="AJ3039">
        <v>1</v>
      </c>
      <c r="AM3039" t="str">
        <f t="shared" si="348"/>
        <v>Possession</v>
      </c>
      <c r="AN3039" t="str">
        <f t="shared" si="349"/>
        <v>PuckRecovery</v>
      </c>
      <c r="AP3039" t="str">
        <f t="shared" si="350"/>
        <v>Offensive</v>
      </c>
    </row>
    <row r="3040" spans="1:42" x14ac:dyDescent="0.2">
      <c r="A3040">
        <v>1579</v>
      </c>
      <c r="H3040">
        <f t="shared" si="346"/>
        <v>3</v>
      </c>
      <c r="R3040">
        <v>84</v>
      </c>
      <c r="T3040" t="str">
        <f t="shared" si="347"/>
        <v>o</v>
      </c>
      <c r="Y3040" t="s">
        <v>850</v>
      </c>
      <c r="AA3040" t="s">
        <v>705</v>
      </c>
      <c r="AJ3040">
        <v>1</v>
      </c>
      <c r="AM3040" t="str">
        <f t="shared" si="348"/>
        <v>Possession</v>
      </c>
      <c r="AN3040" t="str">
        <f t="shared" si="349"/>
        <v>PuckRecovery</v>
      </c>
      <c r="AP3040" t="str">
        <f t="shared" si="350"/>
        <v>Defensive</v>
      </c>
    </row>
    <row r="3041" spans="1:42" x14ac:dyDescent="0.2">
      <c r="A3041">
        <v>1579</v>
      </c>
      <c r="H3041">
        <f t="shared" si="346"/>
        <v>3</v>
      </c>
      <c r="R3041">
        <v>24</v>
      </c>
      <c r="T3041" t="str">
        <f t="shared" si="347"/>
        <v>o</v>
      </c>
      <c r="Y3041" t="s">
        <v>850</v>
      </c>
      <c r="AA3041" t="s">
        <v>705</v>
      </c>
      <c r="AJ3041">
        <v>1</v>
      </c>
      <c r="AM3041" t="str">
        <f t="shared" si="348"/>
        <v>Possession</v>
      </c>
      <c r="AN3041" t="str">
        <f t="shared" si="349"/>
        <v>PuckRecovery</v>
      </c>
      <c r="AP3041" t="str">
        <f t="shared" si="350"/>
        <v>Defensive</v>
      </c>
    </row>
    <row r="3042" spans="1:42" x14ac:dyDescent="0.2">
      <c r="A3042">
        <v>1580</v>
      </c>
      <c r="H3042">
        <f t="shared" si="346"/>
        <v>3</v>
      </c>
      <c r="I3042" s="5" t="s">
        <v>905</v>
      </c>
      <c r="J3042" s="5" t="s">
        <v>755</v>
      </c>
      <c r="Q3042" t="s">
        <v>619</v>
      </c>
      <c r="R3042">
        <v>18</v>
      </c>
      <c r="S3042">
        <v>1</v>
      </c>
      <c r="T3042" t="str">
        <f t="shared" si="347"/>
        <v>e</v>
      </c>
      <c r="U3042" t="s">
        <v>8</v>
      </c>
      <c r="V3042" t="s">
        <v>189</v>
      </c>
      <c r="W3042" t="s">
        <v>68</v>
      </c>
      <c r="X3042" t="s">
        <v>706</v>
      </c>
      <c r="Y3042" t="s">
        <v>814</v>
      </c>
      <c r="AA3042" t="s">
        <v>706</v>
      </c>
      <c r="AF3042" t="s">
        <v>401</v>
      </c>
      <c r="AM3042" t="str">
        <f t="shared" si="348"/>
        <v>Pass</v>
      </c>
      <c r="AN3042" t="str">
        <f t="shared" si="349"/>
        <v>Pass_Completed</v>
      </c>
      <c r="AP3042" t="str">
        <f t="shared" si="350"/>
        <v>Offensive</v>
      </c>
    </row>
    <row r="3043" spans="1:42" x14ac:dyDescent="0.2">
      <c r="A3043">
        <v>1580</v>
      </c>
      <c r="H3043">
        <f t="shared" si="346"/>
        <v>3</v>
      </c>
      <c r="R3043">
        <v>77</v>
      </c>
      <c r="T3043" t="str">
        <f t="shared" si="347"/>
        <v>o</v>
      </c>
      <c r="AM3043" t="str">
        <f t="shared" si="348"/>
        <v>Pass</v>
      </c>
      <c r="AN3043" t="str">
        <f t="shared" si="349"/>
        <v>Pass_Completed</v>
      </c>
      <c r="AP3043" t="str">
        <f t="shared" si="350"/>
        <v>Defensive</v>
      </c>
    </row>
    <row r="3044" spans="1:42" x14ac:dyDescent="0.2">
      <c r="A3044">
        <v>1581</v>
      </c>
      <c r="H3044">
        <f t="shared" si="346"/>
        <v>3</v>
      </c>
      <c r="I3044" s="5" t="s">
        <v>905</v>
      </c>
      <c r="J3044" s="5" t="s">
        <v>755</v>
      </c>
      <c r="K3044" s="5" t="s">
        <v>905</v>
      </c>
      <c r="L3044" s="7" t="s">
        <v>790</v>
      </c>
      <c r="Q3044" t="s">
        <v>619</v>
      </c>
      <c r="R3044">
        <v>77</v>
      </c>
      <c r="S3044">
        <v>1</v>
      </c>
      <c r="T3044" t="str">
        <f t="shared" si="347"/>
        <v>e</v>
      </c>
      <c r="U3044" t="s">
        <v>15</v>
      </c>
      <c r="V3044" t="s">
        <v>15</v>
      </c>
      <c r="AF3044" t="s">
        <v>401</v>
      </c>
      <c r="AJ3044">
        <v>1</v>
      </c>
      <c r="AM3044" t="str">
        <f t="shared" si="348"/>
        <v>Possession</v>
      </c>
      <c r="AN3044" t="str">
        <f t="shared" si="349"/>
        <v>Possession</v>
      </c>
      <c r="AP3044" t="str">
        <f t="shared" si="350"/>
        <v>Offensive</v>
      </c>
    </row>
    <row r="3045" spans="1:42" x14ac:dyDescent="0.2">
      <c r="A3045">
        <v>1581</v>
      </c>
      <c r="H3045">
        <f t="shared" si="346"/>
        <v>3</v>
      </c>
      <c r="R3045">
        <v>91</v>
      </c>
      <c r="T3045" t="str">
        <f t="shared" si="347"/>
        <v>o</v>
      </c>
      <c r="Y3045" t="s">
        <v>832</v>
      </c>
      <c r="AJ3045">
        <v>1</v>
      </c>
      <c r="AM3045" t="str">
        <f t="shared" si="348"/>
        <v>Possession</v>
      </c>
      <c r="AN3045" t="str">
        <f t="shared" si="349"/>
        <v>Possession</v>
      </c>
      <c r="AP3045" t="str">
        <f t="shared" si="350"/>
        <v>Defensive</v>
      </c>
    </row>
    <row r="3046" spans="1:42" x14ac:dyDescent="0.2">
      <c r="A3046">
        <v>1581</v>
      </c>
      <c r="H3046">
        <f t="shared" si="346"/>
        <v>3</v>
      </c>
      <c r="R3046">
        <v>84</v>
      </c>
      <c r="T3046" t="str">
        <f t="shared" si="347"/>
        <v>o</v>
      </c>
      <c r="Y3046" t="s">
        <v>832</v>
      </c>
      <c r="AJ3046">
        <v>1</v>
      </c>
      <c r="AM3046" t="str">
        <f t="shared" si="348"/>
        <v>Possession</v>
      </c>
      <c r="AN3046" t="str">
        <f t="shared" si="349"/>
        <v>Possession</v>
      </c>
      <c r="AP3046" t="str">
        <f t="shared" si="350"/>
        <v>Defensive</v>
      </c>
    </row>
    <row r="3047" spans="1:42" x14ac:dyDescent="0.2">
      <c r="A3047">
        <v>1582</v>
      </c>
      <c r="H3047">
        <f t="shared" si="346"/>
        <v>3</v>
      </c>
      <c r="I3047" s="5" t="s">
        <v>905</v>
      </c>
      <c r="J3047" s="5" t="s">
        <v>790</v>
      </c>
      <c r="K3047" s="5" t="s">
        <v>905</v>
      </c>
      <c r="L3047" s="7" t="s">
        <v>717</v>
      </c>
      <c r="Q3047" t="s">
        <v>619</v>
      </c>
      <c r="R3047">
        <v>77</v>
      </c>
      <c r="S3047">
        <v>1</v>
      </c>
      <c r="T3047" t="str">
        <f t="shared" si="347"/>
        <v>e</v>
      </c>
      <c r="U3047" t="s">
        <v>8</v>
      </c>
      <c r="V3047" t="s">
        <v>189</v>
      </c>
      <c r="W3047" t="s">
        <v>70</v>
      </c>
      <c r="X3047" t="s">
        <v>706</v>
      </c>
      <c r="AF3047" t="s">
        <v>401</v>
      </c>
      <c r="AM3047" t="str">
        <f t="shared" si="348"/>
        <v>Pass</v>
      </c>
      <c r="AN3047" t="str">
        <f t="shared" si="349"/>
        <v>Pass_Completed</v>
      </c>
      <c r="AP3047" t="str">
        <f t="shared" si="350"/>
        <v>Offensive</v>
      </c>
    </row>
    <row r="3048" spans="1:42" x14ac:dyDescent="0.2">
      <c r="A3048">
        <v>1582</v>
      </c>
      <c r="H3048">
        <f t="shared" si="346"/>
        <v>3</v>
      </c>
      <c r="R3048">
        <v>44</v>
      </c>
      <c r="S3048">
        <v>1</v>
      </c>
      <c r="T3048" t="str">
        <f t="shared" si="347"/>
        <v>e</v>
      </c>
      <c r="AM3048" t="str">
        <f t="shared" si="348"/>
        <v>Pass</v>
      </c>
      <c r="AN3048" t="str">
        <f t="shared" si="349"/>
        <v>Pass_Completed</v>
      </c>
      <c r="AP3048" t="str">
        <f t="shared" si="350"/>
        <v>Offensive</v>
      </c>
    </row>
    <row r="3049" spans="1:42" x14ac:dyDescent="0.2">
      <c r="A3049">
        <v>1583</v>
      </c>
      <c r="B3049">
        <v>245</v>
      </c>
      <c r="H3049">
        <f t="shared" si="346"/>
        <v>3</v>
      </c>
      <c r="I3049" s="5" t="s">
        <v>905</v>
      </c>
      <c r="J3049" s="5" t="s">
        <v>778</v>
      </c>
      <c r="Q3049" t="s">
        <v>619</v>
      </c>
      <c r="R3049">
        <v>44</v>
      </c>
      <c r="S3049">
        <v>1</v>
      </c>
      <c r="T3049" t="str">
        <f t="shared" si="347"/>
        <v>e</v>
      </c>
      <c r="U3049" t="s">
        <v>7</v>
      </c>
      <c r="V3049" t="s">
        <v>222</v>
      </c>
      <c r="W3049" t="s">
        <v>53</v>
      </c>
      <c r="X3049" t="s">
        <v>706</v>
      </c>
      <c r="AF3049" t="s">
        <v>401</v>
      </c>
      <c r="AM3049" t="str">
        <f t="shared" si="348"/>
        <v>Shot</v>
      </c>
      <c r="AN3049" t="str">
        <f t="shared" si="349"/>
        <v>Shot_OnNetSaved</v>
      </c>
      <c r="AP3049" t="str">
        <f t="shared" si="350"/>
        <v>Offensive</v>
      </c>
    </row>
    <row r="3050" spans="1:42" x14ac:dyDescent="0.2">
      <c r="A3050">
        <v>1583</v>
      </c>
      <c r="B3050">
        <v>245</v>
      </c>
      <c r="H3050">
        <f t="shared" si="346"/>
        <v>3</v>
      </c>
      <c r="R3050">
        <v>77</v>
      </c>
      <c r="S3050">
        <v>1</v>
      </c>
      <c r="T3050" t="str">
        <f t="shared" si="347"/>
        <v>e</v>
      </c>
      <c r="Y3050" t="s">
        <v>846</v>
      </c>
      <c r="AM3050" t="str">
        <f t="shared" si="348"/>
        <v>Shot</v>
      </c>
      <c r="AN3050" t="str">
        <f t="shared" si="349"/>
        <v>Shot_OnNetSaved</v>
      </c>
      <c r="AP3050" t="str">
        <f t="shared" si="350"/>
        <v>Offensive</v>
      </c>
    </row>
    <row r="3051" spans="1:42" x14ac:dyDescent="0.2">
      <c r="A3051">
        <v>1583</v>
      </c>
      <c r="B3051">
        <v>245</v>
      </c>
      <c r="H3051">
        <f t="shared" si="346"/>
        <v>3</v>
      </c>
      <c r="R3051">
        <v>39</v>
      </c>
      <c r="T3051" t="str">
        <f t="shared" si="347"/>
        <v>o</v>
      </c>
      <c r="AM3051" t="str">
        <f t="shared" si="348"/>
        <v>Shot</v>
      </c>
      <c r="AN3051" t="str">
        <f t="shared" si="349"/>
        <v>Shot_OnNetSaved</v>
      </c>
      <c r="AP3051" t="str">
        <f t="shared" si="350"/>
        <v>Defensive</v>
      </c>
    </row>
    <row r="3052" spans="1:42" x14ac:dyDescent="0.2">
      <c r="A3052">
        <v>1584</v>
      </c>
      <c r="B3052">
        <v>245</v>
      </c>
      <c r="H3052">
        <f t="shared" si="346"/>
        <v>3</v>
      </c>
      <c r="I3052" s="5" t="s">
        <v>905</v>
      </c>
      <c r="J3052" s="5" t="s">
        <v>778</v>
      </c>
      <c r="Q3052" t="s">
        <v>620</v>
      </c>
      <c r="R3052">
        <v>39</v>
      </c>
      <c r="S3052">
        <v>1</v>
      </c>
      <c r="T3052" t="str">
        <f t="shared" si="347"/>
        <v>e</v>
      </c>
      <c r="U3052" t="s">
        <v>17</v>
      </c>
      <c r="V3052" t="s">
        <v>196</v>
      </c>
      <c r="W3052" t="s">
        <v>99</v>
      </c>
      <c r="AF3052" t="s">
        <v>623</v>
      </c>
      <c r="AM3052" t="str">
        <f t="shared" si="348"/>
        <v>Save</v>
      </c>
      <c r="AN3052" t="str">
        <f t="shared" si="349"/>
        <v>Save_Rebound</v>
      </c>
      <c r="AP3052" t="str">
        <f t="shared" si="350"/>
        <v>Defensive</v>
      </c>
    </row>
    <row r="3053" spans="1:42" x14ac:dyDescent="0.2">
      <c r="A3053">
        <v>1584</v>
      </c>
      <c r="B3053">
        <v>245</v>
      </c>
      <c r="H3053">
        <f t="shared" si="346"/>
        <v>3</v>
      </c>
      <c r="R3053">
        <v>44</v>
      </c>
      <c r="T3053" t="str">
        <f t="shared" si="347"/>
        <v>o</v>
      </c>
      <c r="AM3053" t="str">
        <f t="shared" si="348"/>
        <v>Save</v>
      </c>
      <c r="AN3053" t="str">
        <f t="shared" si="349"/>
        <v>Save_Rebound</v>
      </c>
      <c r="AP3053" t="str">
        <f t="shared" si="350"/>
        <v>Offensive</v>
      </c>
    </row>
    <row r="3054" spans="1:42" x14ac:dyDescent="0.2">
      <c r="A3054">
        <v>1584</v>
      </c>
      <c r="B3054">
        <v>245</v>
      </c>
      <c r="H3054">
        <f t="shared" si="346"/>
        <v>3</v>
      </c>
      <c r="R3054">
        <v>77</v>
      </c>
      <c r="T3054" t="str">
        <f t="shared" si="347"/>
        <v>o</v>
      </c>
      <c r="Y3054" t="s">
        <v>846</v>
      </c>
      <c r="AM3054" t="str">
        <f t="shared" si="348"/>
        <v>Save</v>
      </c>
      <c r="AN3054" t="str">
        <f t="shared" si="349"/>
        <v>Save_Rebound</v>
      </c>
      <c r="AP3054" t="str">
        <f t="shared" si="350"/>
        <v>Offensive</v>
      </c>
    </row>
    <row r="3055" spans="1:42" x14ac:dyDescent="0.2">
      <c r="A3055">
        <v>1585</v>
      </c>
      <c r="B3055">
        <v>245</v>
      </c>
      <c r="H3055">
        <f t="shared" si="346"/>
        <v>3</v>
      </c>
      <c r="I3055" s="5" t="s">
        <v>905</v>
      </c>
      <c r="J3055" s="5" t="s">
        <v>778</v>
      </c>
      <c r="Q3055" t="s">
        <v>620</v>
      </c>
      <c r="R3055">
        <v>39</v>
      </c>
      <c r="S3055">
        <v>1</v>
      </c>
      <c r="T3055" t="str">
        <f t="shared" si="347"/>
        <v>e</v>
      </c>
      <c r="U3055" t="s">
        <v>250</v>
      </c>
      <c r="V3055" t="s">
        <v>251</v>
      </c>
      <c r="AF3055" t="s">
        <v>623</v>
      </c>
      <c r="AM3055" t="str">
        <f t="shared" si="348"/>
        <v>Rebound</v>
      </c>
      <c r="AN3055" t="str">
        <f t="shared" si="349"/>
        <v>Rebound_TeamRecovered</v>
      </c>
      <c r="AP3055" t="str">
        <f t="shared" si="350"/>
        <v>Offensive</v>
      </c>
    </row>
    <row r="3056" spans="1:42" x14ac:dyDescent="0.2">
      <c r="A3056">
        <v>1586</v>
      </c>
      <c r="H3056">
        <f t="shared" si="346"/>
        <v>3</v>
      </c>
      <c r="I3056" s="5" t="s">
        <v>905</v>
      </c>
      <c r="J3056" s="5" t="s">
        <v>779</v>
      </c>
      <c r="K3056" s="5" t="s">
        <v>905</v>
      </c>
      <c r="L3056" s="7" t="s">
        <v>724</v>
      </c>
      <c r="Q3056" t="s">
        <v>620</v>
      </c>
      <c r="R3056">
        <v>42</v>
      </c>
      <c r="S3056">
        <v>1</v>
      </c>
      <c r="T3056" t="str">
        <f t="shared" si="347"/>
        <v>e</v>
      </c>
      <c r="U3056" t="s">
        <v>15</v>
      </c>
      <c r="V3056" t="s">
        <v>698</v>
      </c>
      <c r="X3056" t="s">
        <v>705</v>
      </c>
      <c r="Y3056" t="s">
        <v>808</v>
      </c>
      <c r="AA3056" t="s">
        <v>705</v>
      </c>
      <c r="AF3056" t="s">
        <v>623</v>
      </c>
      <c r="AM3056" t="str">
        <f t="shared" si="348"/>
        <v>Possession</v>
      </c>
      <c r="AN3056" t="str">
        <f t="shared" si="349"/>
        <v>PuckRecovery</v>
      </c>
      <c r="AP3056" t="str">
        <f t="shared" si="350"/>
        <v>Offensive</v>
      </c>
    </row>
    <row r="3057" spans="1:42" x14ac:dyDescent="0.2">
      <c r="A3057">
        <v>1587</v>
      </c>
      <c r="H3057">
        <f t="shared" si="346"/>
        <v>3</v>
      </c>
      <c r="I3057" s="5" t="s">
        <v>905</v>
      </c>
      <c r="J3057" s="5" t="s">
        <v>724</v>
      </c>
      <c r="Q3057" t="s">
        <v>620</v>
      </c>
      <c r="R3057">
        <v>42</v>
      </c>
      <c r="S3057">
        <v>1</v>
      </c>
      <c r="T3057" t="str">
        <f t="shared" si="347"/>
        <v>e</v>
      </c>
      <c r="U3057" t="s">
        <v>10</v>
      </c>
      <c r="V3057" t="s">
        <v>190</v>
      </c>
      <c r="W3057" t="s">
        <v>398</v>
      </c>
      <c r="X3057" t="s">
        <v>705</v>
      </c>
      <c r="Y3057" t="s">
        <v>746</v>
      </c>
      <c r="AA3057" t="s">
        <v>705</v>
      </c>
      <c r="AF3057" t="s">
        <v>623</v>
      </c>
      <c r="AM3057" t="str">
        <f t="shared" si="348"/>
        <v>Turnover</v>
      </c>
      <c r="AN3057" t="str">
        <f t="shared" si="349"/>
        <v>Turnover_Giveaway</v>
      </c>
      <c r="AP3057" t="str">
        <f t="shared" si="350"/>
        <v>Offensive</v>
      </c>
    </row>
    <row r="3058" spans="1:42" x14ac:dyDescent="0.2">
      <c r="A3058">
        <v>1588</v>
      </c>
      <c r="B3058">
        <v>246</v>
      </c>
      <c r="H3058">
        <f t="shared" si="346"/>
        <v>3</v>
      </c>
      <c r="I3058" s="5" t="s">
        <v>905</v>
      </c>
      <c r="J3058" s="5" t="s">
        <v>812</v>
      </c>
      <c r="Q3058" t="s">
        <v>619</v>
      </c>
      <c r="R3058">
        <v>18</v>
      </c>
      <c r="S3058">
        <v>1</v>
      </c>
      <c r="T3058" t="str">
        <f t="shared" si="347"/>
        <v>e</v>
      </c>
      <c r="U3058" t="s">
        <v>257</v>
      </c>
      <c r="V3058" t="s">
        <v>210</v>
      </c>
      <c r="W3058" t="s">
        <v>93</v>
      </c>
      <c r="X3058" t="s">
        <v>706</v>
      </c>
      <c r="AF3058" t="s">
        <v>401</v>
      </c>
      <c r="AM3058" t="str">
        <f t="shared" si="348"/>
        <v>Zone_Entry_Exit</v>
      </c>
      <c r="AN3058" t="str">
        <f t="shared" si="349"/>
        <v>Zone_Keepin</v>
      </c>
      <c r="AP3058" t="str">
        <f t="shared" si="350"/>
        <v>Offensive</v>
      </c>
    </row>
    <row r="3059" spans="1:42" x14ac:dyDescent="0.2">
      <c r="A3059">
        <v>1589</v>
      </c>
      <c r="B3059">
        <v>246</v>
      </c>
      <c r="H3059">
        <f t="shared" si="346"/>
        <v>3</v>
      </c>
      <c r="I3059" s="5" t="s">
        <v>905</v>
      </c>
      <c r="J3059" s="5" t="s">
        <v>812</v>
      </c>
      <c r="K3059" s="5" t="s">
        <v>905</v>
      </c>
      <c r="L3059" s="7" t="s">
        <v>780</v>
      </c>
      <c r="Q3059" t="s">
        <v>619</v>
      </c>
      <c r="R3059">
        <v>18</v>
      </c>
      <c r="S3059">
        <v>1</v>
      </c>
      <c r="T3059" t="str">
        <f t="shared" si="347"/>
        <v>e</v>
      </c>
      <c r="U3059" t="s">
        <v>15</v>
      </c>
      <c r="V3059" t="s">
        <v>697</v>
      </c>
      <c r="X3059" t="s">
        <v>706</v>
      </c>
      <c r="Y3059" t="s">
        <v>712</v>
      </c>
      <c r="AA3059" t="s">
        <v>706</v>
      </c>
      <c r="AF3059" t="s">
        <v>401</v>
      </c>
      <c r="AM3059" t="str">
        <f t="shared" si="348"/>
        <v>Possession</v>
      </c>
      <c r="AN3059" t="str">
        <f t="shared" si="349"/>
        <v>PuckRetrieval</v>
      </c>
      <c r="AP3059" t="str">
        <f t="shared" si="350"/>
        <v>Offensive</v>
      </c>
    </row>
    <row r="3060" spans="1:42" x14ac:dyDescent="0.2">
      <c r="A3060">
        <v>1590</v>
      </c>
      <c r="H3060">
        <f t="shared" si="346"/>
        <v>3</v>
      </c>
      <c r="I3060" s="5" t="s">
        <v>905</v>
      </c>
      <c r="J3060" s="5" t="s">
        <v>780</v>
      </c>
      <c r="Q3060" t="s">
        <v>620</v>
      </c>
      <c r="R3060">
        <v>84</v>
      </c>
      <c r="S3060">
        <v>1</v>
      </c>
      <c r="T3060" t="str">
        <f t="shared" si="347"/>
        <v>e</v>
      </c>
      <c r="U3060" t="s">
        <v>452</v>
      </c>
      <c r="AF3060" t="s">
        <v>623</v>
      </c>
      <c r="AJ3060">
        <v>1</v>
      </c>
      <c r="AM3060" t="str">
        <f t="shared" si="348"/>
        <v>Penalty_Delayed</v>
      </c>
      <c r="AN3060" t="str">
        <f t="shared" si="349"/>
        <v/>
      </c>
      <c r="AP3060" t="str">
        <f t="shared" si="350"/>
        <v>Offensive</v>
      </c>
    </row>
    <row r="3061" spans="1:42" x14ac:dyDescent="0.2">
      <c r="A3061">
        <v>1590</v>
      </c>
      <c r="H3061">
        <f t="shared" si="346"/>
        <v>3</v>
      </c>
      <c r="R3061">
        <v>3</v>
      </c>
      <c r="T3061" t="str">
        <f t="shared" si="347"/>
        <v>o</v>
      </c>
      <c r="AJ3061">
        <v>1</v>
      </c>
      <c r="AM3061" t="str">
        <f t="shared" si="348"/>
        <v>Penalty_Delayed</v>
      </c>
      <c r="AN3061" t="str">
        <f t="shared" si="349"/>
        <v/>
      </c>
      <c r="AP3061" t="str">
        <f t="shared" si="350"/>
        <v>Defensive</v>
      </c>
    </row>
    <row r="3062" spans="1:42" x14ac:dyDescent="0.2">
      <c r="A3062">
        <v>1591</v>
      </c>
      <c r="B3062">
        <v>247</v>
      </c>
      <c r="H3062">
        <f t="shared" si="346"/>
        <v>3</v>
      </c>
      <c r="I3062" s="5" t="s">
        <v>905</v>
      </c>
      <c r="J3062" s="5" t="s">
        <v>759</v>
      </c>
      <c r="Q3062" t="s">
        <v>619</v>
      </c>
      <c r="R3062">
        <v>18</v>
      </c>
      <c r="S3062">
        <v>1</v>
      </c>
      <c r="T3062" t="str">
        <f t="shared" si="347"/>
        <v>e</v>
      </c>
      <c r="U3062" t="s">
        <v>7</v>
      </c>
      <c r="V3062" t="s">
        <v>222</v>
      </c>
      <c r="W3062" t="s">
        <v>53</v>
      </c>
      <c r="X3062" t="s">
        <v>706</v>
      </c>
      <c r="AF3062" t="s">
        <v>401</v>
      </c>
      <c r="AM3062" t="str">
        <f t="shared" si="348"/>
        <v>Shot</v>
      </c>
      <c r="AN3062" t="str">
        <f t="shared" si="349"/>
        <v>Shot_OnNetSaved</v>
      </c>
      <c r="AP3062" t="str">
        <f t="shared" si="350"/>
        <v>Offensive</v>
      </c>
    </row>
    <row r="3063" spans="1:42" x14ac:dyDescent="0.2">
      <c r="A3063">
        <v>1591</v>
      </c>
      <c r="B3063">
        <v>247</v>
      </c>
      <c r="H3063">
        <f t="shared" si="346"/>
        <v>3</v>
      </c>
      <c r="R3063">
        <v>77</v>
      </c>
      <c r="S3063">
        <v>1</v>
      </c>
      <c r="T3063" t="str">
        <f t="shared" si="347"/>
        <v>e</v>
      </c>
      <c r="Y3063" t="s">
        <v>846</v>
      </c>
      <c r="AM3063" t="str">
        <f t="shared" si="348"/>
        <v>Shot</v>
      </c>
      <c r="AN3063" t="str">
        <f t="shared" si="349"/>
        <v>Shot_OnNetSaved</v>
      </c>
      <c r="AP3063" t="str">
        <f t="shared" si="350"/>
        <v>Offensive</v>
      </c>
    </row>
    <row r="3064" spans="1:42" x14ac:dyDescent="0.2">
      <c r="A3064">
        <v>1591</v>
      </c>
      <c r="B3064">
        <v>247</v>
      </c>
      <c r="H3064">
        <f t="shared" si="346"/>
        <v>3</v>
      </c>
      <c r="R3064">
        <v>39</v>
      </c>
      <c r="T3064" t="str">
        <f t="shared" si="347"/>
        <v>o</v>
      </c>
      <c r="AM3064" t="str">
        <f t="shared" si="348"/>
        <v>Shot</v>
      </c>
      <c r="AN3064" t="str">
        <f t="shared" si="349"/>
        <v>Shot_OnNetSaved</v>
      </c>
      <c r="AP3064" t="str">
        <f t="shared" si="350"/>
        <v>Defensive</v>
      </c>
    </row>
    <row r="3065" spans="1:42" x14ac:dyDescent="0.2">
      <c r="A3065">
        <v>1592</v>
      </c>
      <c r="B3065">
        <v>247</v>
      </c>
      <c r="H3065">
        <f t="shared" si="346"/>
        <v>3</v>
      </c>
      <c r="I3065" s="5" t="s">
        <v>905</v>
      </c>
      <c r="J3065" s="5" t="s">
        <v>759</v>
      </c>
      <c r="Q3065" t="s">
        <v>620</v>
      </c>
      <c r="R3065">
        <v>39</v>
      </c>
      <c r="S3065">
        <v>1</v>
      </c>
      <c r="T3065" t="str">
        <f t="shared" si="347"/>
        <v>e</v>
      </c>
      <c r="U3065" t="s">
        <v>17</v>
      </c>
      <c r="V3065" t="s">
        <v>196</v>
      </c>
      <c r="W3065" t="s">
        <v>97</v>
      </c>
      <c r="AF3065" t="s">
        <v>623</v>
      </c>
      <c r="AM3065" t="str">
        <f t="shared" si="348"/>
        <v>Save</v>
      </c>
      <c r="AN3065" t="str">
        <f t="shared" si="349"/>
        <v>Save_Rebound</v>
      </c>
      <c r="AP3065" t="str">
        <f t="shared" si="350"/>
        <v>Defensive</v>
      </c>
    </row>
    <row r="3066" spans="1:42" x14ac:dyDescent="0.2">
      <c r="A3066">
        <v>1592</v>
      </c>
      <c r="B3066">
        <v>247</v>
      </c>
      <c r="H3066">
        <f t="shared" si="346"/>
        <v>3</v>
      </c>
      <c r="R3066">
        <v>18</v>
      </c>
      <c r="T3066" t="str">
        <f t="shared" si="347"/>
        <v>o</v>
      </c>
      <c r="AM3066" t="str">
        <f t="shared" si="348"/>
        <v>Save</v>
      </c>
      <c r="AN3066" t="str">
        <f t="shared" si="349"/>
        <v>Save_Rebound</v>
      </c>
      <c r="AP3066" t="str">
        <f t="shared" si="350"/>
        <v>Offensive</v>
      </c>
    </row>
    <row r="3067" spans="1:42" x14ac:dyDescent="0.2">
      <c r="A3067">
        <v>1592</v>
      </c>
      <c r="B3067">
        <v>247</v>
      </c>
      <c r="H3067">
        <f t="shared" si="346"/>
        <v>3</v>
      </c>
      <c r="R3067">
        <v>77</v>
      </c>
      <c r="T3067" t="str">
        <f t="shared" si="347"/>
        <v>o</v>
      </c>
      <c r="Y3067" t="s">
        <v>846</v>
      </c>
      <c r="AM3067" t="str">
        <f t="shared" si="348"/>
        <v>Save</v>
      </c>
      <c r="AN3067" t="str">
        <f t="shared" si="349"/>
        <v>Save_Rebound</v>
      </c>
      <c r="AP3067" t="str">
        <f t="shared" si="350"/>
        <v>Offensive</v>
      </c>
    </row>
    <row r="3068" spans="1:42" x14ac:dyDescent="0.2">
      <c r="A3068">
        <v>1593</v>
      </c>
      <c r="B3068">
        <v>247</v>
      </c>
      <c r="H3068">
        <f t="shared" si="346"/>
        <v>3</v>
      </c>
      <c r="I3068" s="5" t="s">
        <v>905</v>
      </c>
      <c r="J3068" s="5" t="s">
        <v>759</v>
      </c>
      <c r="Q3068" t="s">
        <v>620</v>
      </c>
      <c r="R3068">
        <v>39</v>
      </c>
      <c r="S3068">
        <v>1</v>
      </c>
      <c r="T3068" t="str">
        <f t="shared" si="347"/>
        <v>e</v>
      </c>
      <c r="AF3068" t="s">
        <v>623</v>
      </c>
      <c r="AM3068" t="str">
        <f t="shared" si="348"/>
        <v/>
      </c>
      <c r="AN3068" t="str">
        <f t="shared" si="349"/>
        <v/>
      </c>
      <c r="AP3068" t="str">
        <f t="shared" si="350"/>
        <v>Offensive</v>
      </c>
    </row>
    <row r="3069" spans="1:42" x14ac:dyDescent="0.2">
      <c r="A3069">
        <v>1594</v>
      </c>
      <c r="H3069">
        <f t="shared" si="346"/>
        <v>3</v>
      </c>
      <c r="I3069" s="5" t="s">
        <v>905</v>
      </c>
      <c r="J3069" s="5" t="s">
        <v>813</v>
      </c>
      <c r="Q3069" t="s">
        <v>619</v>
      </c>
      <c r="R3069">
        <v>56</v>
      </c>
      <c r="S3069">
        <v>1</v>
      </c>
      <c r="T3069" t="str">
        <f t="shared" si="347"/>
        <v>e</v>
      </c>
      <c r="U3069" t="s">
        <v>15</v>
      </c>
      <c r="V3069" t="s">
        <v>698</v>
      </c>
      <c r="X3069" t="s">
        <v>705</v>
      </c>
      <c r="Y3069" t="s">
        <v>739</v>
      </c>
      <c r="AA3069" t="s">
        <v>705</v>
      </c>
      <c r="AF3069" t="s">
        <v>401</v>
      </c>
      <c r="AM3069" t="str">
        <f t="shared" si="348"/>
        <v>Possession</v>
      </c>
      <c r="AN3069" t="str">
        <f t="shared" si="349"/>
        <v>PuckRecovery</v>
      </c>
      <c r="AP3069" t="str">
        <f t="shared" si="350"/>
        <v>Offensive</v>
      </c>
    </row>
    <row r="3070" spans="1:42" x14ac:dyDescent="0.2">
      <c r="A3070">
        <v>1595</v>
      </c>
      <c r="H3070">
        <f t="shared" si="346"/>
        <v>3</v>
      </c>
      <c r="I3070" s="5" t="s">
        <v>905</v>
      </c>
      <c r="J3070" s="5" t="s">
        <v>813</v>
      </c>
      <c r="Q3070" t="s">
        <v>619</v>
      </c>
      <c r="R3070">
        <v>56</v>
      </c>
      <c r="S3070">
        <v>1</v>
      </c>
      <c r="T3070" t="str">
        <f t="shared" si="347"/>
        <v>e</v>
      </c>
      <c r="U3070" t="s">
        <v>8</v>
      </c>
      <c r="V3070" t="s">
        <v>199</v>
      </c>
      <c r="W3070" t="s">
        <v>70</v>
      </c>
      <c r="X3070" t="s">
        <v>705</v>
      </c>
      <c r="Y3070" t="s">
        <v>814</v>
      </c>
      <c r="AA3070" t="s">
        <v>705</v>
      </c>
      <c r="AF3070" t="s">
        <v>401</v>
      </c>
      <c r="AJ3070">
        <v>1</v>
      </c>
      <c r="AM3070" t="str">
        <f t="shared" si="348"/>
        <v>Pass</v>
      </c>
      <c r="AN3070" t="str">
        <f t="shared" si="349"/>
        <v>Pass_Missed</v>
      </c>
      <c r="AP3070" t="str">
        <f t="shared" si="350"/>
        <v>Offensive</v>
      </c>
    </row>
    <row r="3071" spans="1:42" x14ac:dyDescent="0.2">
      <c r="A3071">
        <v>1595</v>
      </c>
      <c r="H3071">
        <f t="shared" si="346"/>
        <v>3</v>
      </c>
      <c r="R3071">
        <v>3</v>
      </c>
      <c r="S3071">
        <v>1</v>
      </c>
      <c r="T3071" t="str">
        <f t="shared" si="347"/>
        <v>e</v>
      </c>
      <c r="AM3071" t="str">
        <f t="shared" si="348"/>
        <v>Pass</v>
      </c>
      <c r="AN3071" t="str">
        <f t="shared" si="349"/>
        <v>Pass_Missed</v>
      </c>
      <c r="AP3071" t="str">
        <f t="shared" si="350"/>
        <v>Offensive</v>
      </c>
    </row>
    <row r="3072" spans="1:42" x14ac:dyDescent="0.2">
      <c r="A3072">
        <v>1595</v>
      </c>
      <c r="H3072">
        <f t="shared" si="346"/>
        <v>3</v>
      </c>
      <c r="R3072">
        <v>91</v>
      </c>
      <c r="T3072" t="str">
        <f t="shared" si="347"/>
        <v>o</v>
      </c>
      <c r="AJ3072">
        <v>1</v>
      </c>
      <c r="AM3072" t="str">
        <f t="shared" si="348"/>
        <v>Pass</v>
      </c>
      <c r="AN3072" t="str">
        <f t="shared" si="349"/>
        <v>Pass_Missed</v>
      </c>
      <c r="AP3072" t="str">
        <f t="shared" si="350"/>
        <v>Defensive</v>
      </c>
    </row>
    <row r="3073" spans="1:42" x14ac:dyDescent="0.2">
      <c r="A3073">
        <v>1596</v>
      </c>
      <c r="H3073">
        <f t="shared" si="346"/>
        <v>3</v>
      </c>
      <c r="I3073" s="5" t="s">
        <v>905</v>
      </c>
      <c r="J3073" s="5" t="s">
        <v>813</v>
      </c>
      <c r="Q3073" t="s">
        <v>620</v>
      </c>
      <c r="S3073">
        <v>1</v>
      </c>
      <c r="T3073" t="str">
        <f t="shared" si="347"/>
        <v>e</v>
      </c>
      <c r="U3073" t="s">
        <v>257</v>
      </c>
      <c r="V3073" t="s">
        <v>201</v>
      </c>
      <c r="W3073" t="s">
        <v>411</v>
      </c>
      <c r="AF3073" t="s">
        <v>623</v>
      </c>
      <c r="AM3073" t="str">
        <f t="shared" si="348"/>
        <v>Zone_Entry_Exit</v>
      </c>
      <c r="AN3073" t="str">
        <f t="shared" si="349"/>
        <v>Zone_Exit</v>
      </c>
      <c r="AP3073" t="str">
        <f t="shared" si="350"/>
        <v>Offensive</v>
      </c>
    </row>
    <row r="3074" spans="1:42" x14ac:dyDescent="0.2">
      <c r="A3074">
        <v>1597</v>
      </c>
      <c r="H3074">
        <f t="shared" si="346"/>
        <v>3</v>
      </c>
      <c r="I3074" s="5" t="s">
        <v>905</v>
      </c>
      <c r="J3074" s="5" t="s">
        <v>621</v>
      </c>
      <c r="K3074" s="5" t="s">
        <v>905</v>
      </c>
      <c r="L3074" s="7" t="s">
        <v>732</v>
      </c>
      <c r="Q3074" t="s">
        <v>619</v>
      </c>
      <c r="R3074">
        <v>44</v>
      </c>
      <c r="S3074">
        <v>1</v>
      </c>
      <c r="T3074" t="str">
        <f t="shared" si="347"/>
        <v>e</v>
      </c>
      <c r="U3074" t="s">
        <v>15</v>
      </c>
      <c r="V3074" t="s">
        <v>698</v>
      </c>
      <c r="X3074" t="s">
        <v>706</v>
      </c>
      <c r="Y3074" t="s">
        <v>752</v>
      </c>
      <c r="AA3074" t="s">
        <v>706</v>
      </c>
      <c r="AF3074" t="s">
        <v>635</v>
      </c>
      <c r="AM3074" t="str">
        <f t="shared" si="348"/>
        <v>Possession</v>
      </c>
      <c r="AN3074" t="str">
        <f t="shared" si="349"/>
        <v>PuckRecovery</v>
      </c>
      <c r="AP3074" t="str">
        <f t="shared" si="350"/>
        <v>Offensive</v>
      </c>
    </row>
    <row r="3075" spans="1:42" x14ac:dyDescent="0.2">
      <c r="A3075">
        <v>1598</v>
      </c>
      <c r="H3075">
        <f t="shared" si="346"/>
        <v>3</v>
      </c>
      <c r="I3075" s="5" t="s">
        <v>905</v>
      </c>
      <c r="J3075" s="5" t="s">
        <v>732</v>
      </c>
      <c r="Q3075" t="s">
        <v>619</v>
      </c>
      <c r="R3075">
        <v>44</v>
      </c>
      <c r="S3075">
        <v>1</v>
      </c>
      <c r="T3075" t="str">
        <f t="shared" si="347"/>
        <v>e</v>
      </c>
      <c r="U3075" t="s">
        <v>8</v>
      </c>
      <c r="V3075" t="s">
        <v>189</v>
      </c>
      <c r="W3075" t="s">
        <v>70</v>
      </c>
      <c r="X3075" t="s">
        <v>706</v>
      </c>
      <c r="AF3075" t="s">
        <v>635</v>
      </c>
      <c r="AM3075" t="str">
        <f t="shared" si="348"/>
        <v>Pass</v>
      </c>
      <c r="AN3075" t="str">
        <f t="shared" si="349"/>
        <v>Pass_Completed</v>
      </c>
      <c r="AP3075" t="str">
        <f t="shared" si="350"/>
        <v>Offensive</v>
      </c>
    </row>
    <row r="3076" spans="1:42" x14ac:dyDescent="0.2">
      <c r="A3076">
        <v>1598</v>
      </c>
      <c r="H3076">
        <f t="shared" si="346"/>
        <v>3</v>
      </c>
      <c r="R3076">
        <v>18</v>
      </c>
      <c r="S3076">
        <v>1</v>
      </c>
      <c r="T3076" t="str">
        <f t="shared" si="347"/>
        <v>e</v>
      </c>
      <c r="AM3076" t="str">
        <f t="shared" si="348"/>
        <v>Pass</v>
      </c>
      <c r="AN3076" t="str">
        <f t="shared" si="349"/>
        <v>Pass_Completed</v>
      </c>
      <c r="AP3076" t="str">
        <f t="shared" si="350"/>
        <v>Offensive</v>
      </c>
    </row>
    <row r="3077" spans="1:42" x14ac:dyDescent="0.2">
      <c r="A3077">
        <v>1599</v>
      </c>
      <c r="H3077">
        <f t="shared" ref="H3077:H3140" si="351">IF(U3077="Intermission",H3076+1,H3076)</f>
        <v>3</v>
      </c>
      <c r="I3077" s="5" t="s">
        <v>905</v>
      </c>
      <c r="J3077" s="5" t="s">
        <v>448</v>
      </c>
      <c r="Q3077" t="s">
        <v>619</v>
      </c>
      <c r="R3077">
        <v>18</v>
      </c>
      <c r="S3077">
        <v>1</v>
      </c>
      <c r="T3077" t="str">
        <f t="shared" si="347"/>
        <v>e</v>
      </c>
      <c r="U3077" t="s">
        <v>257</v>
      </c>
      <c r="V3077" t="s">
        <v>191</v>
      </c>
      <c r="W3077" t="s">
        <v>87</v>
      </c>
      <c r="X3077" t="s">
        <v>705</v>
      </c>
      <c r="AF3077" t="s">
        <v>401</v>
      </c>
      <c r="AJ3077">
        <v>1</v>
      </c>
      <c r="AM3077" t="str">
        <f t="shared" si="348"/>
        <v>Zone_Entry_Exit</v>
      </c>
      <c r="AN3077" t="str">
        <f t="shared" si="349"/>
        <v>Zone_Entry</v>
      </c>
      <c r="AP3077" t="str">
        <f t="shared" si="350"/>
        <v>Offensive</v>
      </c>
    </row>
    <row r="3078" spans="1:42" x14ac:dyDescent="0.2">
      <c r="A3078">
        <v>1599</v>
      </c>
      <c r="H3078">
        <f t="shared" si="351"/>
        <v>3</v>
      </c>
      <c r="R3078">
        <v>24</v>
      </c>
      <c r="T3078" t="str">
        <f t="shared" si="347"/>
        <v>o</v>
      </c>
      <c r="AJ3078">
        <v>1</v>
      </c>
      <c r="AM3078" t="str">
        <f t="shared" si="348"/>
        <v>Zone_Entry_Exit</v>
      </c>
      <c r="AN3078" t="str">
        <f t="shared" si="349"/>
        <v>Zone_Entry</v>
      </c>
      <c r="AP3078" t="str">
        <f t="shared" si="350"/>
        <v>Defensive</v>
      </c>
    </row>
    <row r="3079" spans="1:42" x14ac:dyDescent="0.2">
      <c r="A3079">
        <v>1600</v>
      </c>
      <c r="H3079">
        <f t="shared" si="351"/>
        <v>3</v>
      </c>
      <c r="I3079" s="5" t="s">
        <v>905</v>
      </c>
      <c r="J3079" s="5" t="s">
        <v>733</v>
      </c>
      <c r="Q3079" t="s">
        <v>620</v>
      </c>
      <c r="R3079">
        <v>24</v>
      </c>
      <c r="S3079">
        <v>1</v>
      </c>
      <c r="T3079" t="str">
        <f t="shared" si="347"/>
        <v>e</v>
      </c>
      <c r="U3079" t="s">
        <v>10</v>
      </c>
      <c r="V3079" t="s">
        <v>200</v>
      </c>
      <c r="W3079" t="s">
        <v>81</v>
      </c>
      <c r="X3079" t="s">
        <v>706</v>
      </c>
      <c r="Y3079" t="s">
        <v>774</v>
      </c>
      <c r="AA3079" t="s">
        <v>706</v>
      </c>
      <c r="AF3079" t="s">
        <v>623</v>
      </c>
      <c r="AJ3079">
        <v>1</v>
      </c>
      <c r="AM3079" t="str">
        <f t="shared" si="348"/>
        <v>Turnover</v>
      </c>
      <c r="AN3079" t="str">
        <f t="shared" si="349"/>
        <v>Turnover_Takeaway</v>
      </c>
      <c r="AP3079" t="str">
        <f t="shared" si="350"/>
        <v>Defensive</v>
      </c>
    </row>
    <row r="3080" spans="1:42" x14ac:dyDescent="0.2">
      <c r="A3080">
        <v>1600</v>
      </c>
      <c r="H3080">
        <f t="shared" si="351"/>
        <v>3</v>
      </c>
      <c r="R3080">
        <v>91</v>
      </c>
      <c r="S3080">
        <v>1</v>
      </c>
      <c r="T3080" t="str">
        <f t="shared" si="347"/>
        <v>e</v>
      </c>
      <c r="Y3080" t="s">
        <v>715</v>
      </c>
      <c r="AA3080" t="s">
        <v>706</v>
      </c>
      <c r="AJ3080">
        <v>1</v>
      </c>
      <c r="AM3080" t="str">
        <f t="shared" si="348"/>
        <v>Turnover</v>
      </c>
      <c r="AN3080" t="str">
        <f t="shared" si="349"/>
        <v>Turnover_Takeaway</v>
      </c>
      <c r="AP3080" t="str">
        <f t="shared" si="350"/>
        <v>Defensive</v>
      </c>
    </row>
    <row r="3081" spans="1:42" x14ac:dyDescent="0.2">
      <c r="A3081">
        <v>1600</v>
      </c>
      <c r="H3081">
        <f t="shared" si="351"/>
        <v>3</v>
      </c>
      <c r="R3081">
        <v>18</v>
      </c>
      <c r="T3081" t="str">
        <f t="shared" si="347"/>
        <v>o</v>
      </c>
      <c r="AJ3081">
        <v>1</v>
      </c>
      <c r="AM3081" t="str">
        <f t="shared" si="348"/>
        <v>Turnover</v>
      </c>
      <c r="AN3081" t="str">
        <f t="shared" si="349"/>
        <v>Turnover_Takeaway</v>
      </c>
      <c r="AP3081" t="str">
        <f t="shared" si="350"/>
        <v>Offensive</v>
      </c>
    </row>
    <row r="3082" spans="1:42" x14ac:dyDescent="0.2">
      <c r="A3082">
        <v>1601</v>
      </c>
      <c r="B3082">
        <v>248</v>
      </c>
      <c r="H3082">
        <f t="shared" si="351"/>
        <v>3</v>
      </c>
      <c r="I3082" s="5" t="s">
        <v>905</v>
      </c>
      <c r="J3082" s="5" t="s">
        <v>742</v>
      </c>
      <c r="Q3082" t="s">
        <v>620</v>
      </c>
      <c r="R3082">
        <v>84</v>
      </c>
      <c r="S3082">
        <v>1</v>
      </c>
      <c r="T3082" t="str">
        <f t="shared" si="347"/>
        <v>e</v>
      </c>
      <c r="U3082" t="s">
        <v>12</v>
      </c>
      <c r="V3082" t="s">
        <v>192</v>
      </c>
      <c r="W3082" t="s">
        <v>141</v>
      </c>
      <c r="AF3082" t="s">
        <v>623</v>
      </c>
      <c r="AM3082" t="str">
        <f t="shared" si="348"/>
        <v>Penalty</v>
      </c>
      <c r="AN3082" t="str">
        <f t="shared" si="349"/>
        <v>Penalty_Minor</v>
      </c>
      <c r="AP3082" t="str">
        <f t="shared" si="350"/>
        <v>Offensive</v>
      </c>
    </row>
    <row r="3083" spans="1:42" x14ac:dyDescent="0.2">
      <c r="A3083">
        <v>1602</v>
      </c>
      <c r="B3083">
        <v>248</v>
      </c>
      <c r="H3083">
        <f t="shared" si="351"/>
        <v>3</v>
      </c>
      <c r="I3083" s="5" t="s">
        <v>905</v>
      </c>
      <c r="J3083" s="5" t="s">
        <v>742</v>
      </c>
      <c r="K3083" s="5" t="s">
        <v>905</v>
      </c>
      <c r="L3083" s="7" t="s">
        <v>446</v>
      </c>
      <c r="Q3083" t="s">
        <v>620</v>
      </c>
      <c r="R3083">
        <v>84</v>
      </c>
      <c r="S3083">
        <v>1</v>
      </c>
      <c r="T3083" t="str">
        <f t="shared" si="347"/>
        <v>e</v>
      </c>
      <c r="U3083" t="s">
        <v>13</v>
      </c>
      <c r="V3083" t="s">
        <v>194</v>
      </c>
      <c r="W3083" t="s">
        <v>41</v>
      </c>
      <c r="AF3083" t="s">
        <v>623</v>
      </c>
      <c r="AM3083" t="str">
        <f t="shared" si="348"/>
        <v>Stoppage</v>
      </c>
      <c r="AN3083" t="str">
        <f t="shared" si="349"/>
        <v>Stoppage_Period</v>
      </c>
      <c r="AP3083" t="str">
        <f t="shared" si="350"/>
        <v/>
      </c>
    </row>
    <row r="3084" spans="1:42" x14ac:dyDescent="0.2">
      <c r="A3084">
        <v>1603</v>
      </c>
      <c r="B3084">
        <v>248</v>
      </c>
      <c r="H3084">
        <f t="shared" si="351"/>
        <v>3</v>
      </c>
      <c r="I3084" s="5" t="s">
        <v>905</v>
      </c>
      <c r="J3084" s="5" t="s">
        <v>446</v>
      </c>
      <c r="T3084" t="str">
        <f t="shared" ref="T3084:T3147" si="352">IF(S3084="x","",IF(S3084=1,"e","o"))</f>
        <v>o</v>
      </c>
      <c r="U3084" t="s">
        <v>433</v>
      </c>
      <c r="AM3084" t="str">
        <f t="shared" si="348"/>
        <v>GameEnd</v>
      </c>
      <c r="AN3084" t="str">
        <f t="shared" si="349"/>
        <v/>
      </c>
      <c r="AP3084" t="str">
        <f t="shared" si="350"/>
        <v>Defensive</v>
      </c>
    </row>
    <row r="3085" spans="1:42" x14ac:dyDescent="0.2">
      <c r="H3085">
        <f t="shared" si="351"/>
        <v>3</v>
      </c>
      <c r="T3085" t="str">
        <f t="shared" si="352"/>
        <v>o</v>
      </c>
      <c r="AM3085" t="str">
        <f t="shared" si="348"/>
        <v/>
      </c>
      <c r="AN3085" t="str">
        <f t="shared" si="349"/>
        <v/>
      </c>
      <c r="AP3085" t="str">
        <f t="shared" si="350"/>
        <v>Defensive</v>
      </c>
    </row>
    <row r="3086" spans="1:42" x14ac:dyDescent="0.2">
      <c r="H3086">
        <f t="shared" si="351"/>
        <v>3</v>
      </c>
      <c r="T3086" t="str">
        <f t="shared" si="352"/>
        <v>o</v>
      </c>
      <c r="AM3086" t="str">
        <f t="shared" si="348"/>
        <v/>
      </c>
      <c r="AN3086" t="str">
        <f t="shared" si="349"/>
        <v/>
      </c>
      <c r="AP3086" t="str">
        <f t="shared" si="350"/>
        <v>Defensive</v>
      </c>
    </row>
    <row r="3087" spans="1:42" x14ac:dyDescent="0.2">
      <c r="H3087">
        <f t="shared" si="351"/>
        <v>3</v>
      </c>
      <c r="T3087" t="str">
        <f t="shared" si="352"/>
        <v>o</v>
      </c>
      <c r="AM3087" t="str">
        <f t="shared" ref="AM3087:AM3150" si="353">IF(U3087&lt;&gt;"",U3087,IF($A3087=$A3086,AM3086,""))</f>
        <v/>
      </c>
      <c r="AN3087" t="str">
        <f t="shared" ref="AN3087:AN3150" si="354">IF(V3087&lt;&gt;"",V3087,IF($A3087=$A3086,AN3086,""))</f>
        <v/>
      </c>
      <c r="AP3087" t="str">
        <f t="shared" ref="AP3087:AP3150" si="355">IF(AND(T3087="e",OR(AM3087="Save",AN3087="Turnover_Takeaway",AN3087="Play_Defensive")),"Defensive",IF(AND(T3087="o",OR(AM3087="Save",AN3087="Turnover_Takeaway",AN3087="Play_Defensive")),"Offensive",IF(OR(AM3087="Deadice",AM3087="Stoppage",AM3087="Intermission"),"",IF(T3087="e","Offensive",IF(T3087="o","Defensive","")))))</f>
        <v>Defensive</v>
      </c>
    </row>
    <row r="3088" spans="1:42" x14ac:dyDescent="0.2">
      <c r="H3088">
        <f t="shared" si="351"/>
        <v>3</v>
      </c>
      <c r="T3088" t="str">
        <f t="shared" si="352"/>
        <v>o</v>
      </c>
      <c r="AM3088" t="str">
        <f t="shared" si="353"/>
        <v/>
      </c>
      <c r="AN3088" t="str">
        <f t="shared" si="354"/>
        <v/>
      </c>
      <c r="AP3088" t="str">
        <f t="shared" si="355"/>
        <v>Defensive</v>
      </c>
    </row>
    <row r="3089" spans="8:42" x14ac:dyDescent="0.2">
      <c r="H3089">
        <f t="shared" si="351"/>
        <v>3</v>
      </c>
      <c r="T3089" t="str">
        <f t="shared" si="352"/>
        <v>o</v>
      </c>
      <c r="AM3089" t="str">
        <f t="shared" si="353"/>
        <v/>
      </c>
      <c r="AN3089" t="str">
        <f t="shared" si="354"/>
        <v/>
      </c>
      <c r="AP3089" t="str">
        <f t="shared" si="355"/>
        <v>Defensive</v>
      </c>
    </row>
    <row r="3090" spans="8:42" x14ac:dyDescent="0.2">
      <c r="H3090">
        <f t="shared" si="351"/>
        <v>3</v>
      </c>
      <c r="T3090" t="str">
        <f t="shared" si="352"/>
        <v>o</v>
      </c>
      <c r="AM3090" t="str">
        <f t="shared" si="353"/>
        <v/>
      </c>
      <c r="AN3090" t="str">
        <f t="shared" si="354"/>
        <v/>
      </c>
      <c r="AP3090" t="str">
        <f t="shared" si="355"/>
        <v>Defensive</v>
      </c>
    </row>
    <row r="3091" spans="8:42" x14ac:dyDescent="0.2">
      <c r="H3091">
        <f t="shared" si="351"/>
        <v>3</v>
      </c>
      <c r="T3091" t="str">
        <f t="shared" si="352"/>
        <v>o</v>
      </c>
      <c r="AM3091" t="str">
        <f t="shared" si="353"/>
        <v/>
      </c>
      <c r="AN3091" t="str">
        <f t="shared" si="354"/>
        <v/>
      </c>
      <c r="AP3091" t="str">
        <f t="shared" si="355"/>
        <v>Defensive</v>
      </c>
    </row>
    <row r="3092" spans="8:42" x14ac:dyDescent="0.2">
      <c r="H3092">
        <f t="shared" si="351"/>
        <v>3</v>
      </c>
      <c r="T3092" t="str">
        <f t="shared" si="352"/>
        <v>o</v>
      </c>
      <c r="AM3092" t="str">
        <f t="shared" si="353"/>
        <v/>
      </c>
      <c r="AN3092" t="str">
        <f t="shared" si="354"/>
        <v/>
      </c>
      <c r="AP3092" t="str">
        <f t="shared" si="355"/>
        <v>Defensive</v>
      </c>
    </row>
    <row r="3093" spans="8:42" x14ac:dyDescent="0.2">
      <c r="H3093">
        <f t="shared" si="351"/>
        <v>3</v>
      </c>
      <c r="T3093" t="str">
        <f t="shared" si="352"/>
        <v>o</v>
      </c>
      <c r="AM3093" t="str">
        <f t="shared" si="353"/>
        <v/>
      </c>
      <c r="AN3093" t="str">
        <f t="shared" si="354"/>
        <v/>
      </c>
      <c r="AP3093" t="str">
        <f t="shared" si="355"/>
        <v>Defensive</v>
      </c>
    </row>
    <row r="3094" spans="8:42" x14ac:dyDescent="0.2">
      <c r="H3094">
        <f t="shared" si="351"/>
        <v>3</v>
      </c>
      <c r="T3094" t="str">
        <f t="shared" si="352"/>
        <v>o</v>
      </c>
      <c r="AM3094" t="str">
        <f t="shared" si="353"/>
        <v/>
      </c>
      <c r="AN3094" t="str">
        <f t="shared" si="354"/>
        <v/>
      </c>
      <c r="AP3094" t="str">
        <f t="shared" si="355"/>
        <v>Defensive</v>
      </c>
    </row>
    <row r="3095" spans="8:42" x14ac:dyDescent="0.2">
      <c r="H3095">
        <f t="shared" si="351"/>
        <v>3</v>
      </c>
      <c r="T3095" t="str">
        <f t="shared" si="352"/>
        <v>o</v>
      </c>
      <c r="AM3095" t="str">
        <f t="shared" si="353"/>
        <v/>
      </c>
      <c r="AN3095" t="str">
        <f t="shared" si="354"/>
        <v/>
      </c>
      <c r="AP3095" t="str">
        <f t="shared" si="355"/>
        <v>Defensive</v>
      </c>
    </row>
    <row r="3096" spans="8:42" x14ac:dyDescent="0.2">
      <c r="H3096">
        <f t="shared" si="351"/>
        <v>3</v>
      </c>
      <c r="T3096" t="str">
        <f t="shared" si="352"/>
        <v>o</v>
      </c>
      <c r="AM3096" t="str">
        <f t="shared" si="353"/>
        <v/>
      </c>
      <c r="AN3096" t="str">
        <f t="shared" si="354"/>
        <v/>
      </c>
      <c r="AP3096" t="str">
        <f t="shared" si="355"/>
        <v>Defensive</v>
      </c>
    </row>
    <row r="3097" spans="8:42" x14ac:dyDescent="0.2">
      <c r="H3097">
        <f t="shared" si="351"/>
        <v>3</v>
      </c>
      <c r="T3097" t="str">
        <f t="shared" si="352"/>
        <v>o</v>
      </c>
      <c r="AM3097" t="str">
        <f t="shared" si="353"/>
        <v/>
      </c>
      <c r="AN3097" t="str">
        <f t="shared" si="354"/>
        <v/>
      </c>
      <c r="AP3097" t="str">
        <f t="shared" si="355"/>
        <v>Defensive</v>
      </c>
    </row>
    <row r="3098" spans="8:42" x14ac:dyDescent="0.2">
      <c r="H3098">
        <f t="shared" si="351"/>
        <v>3</v>
      </c>
      <c r="T3098" t="str">
        <f t="shared" si="352"/>
        <v>o</v>
      </c>
      <c r="AM3098" t="str">
        <f t="shared" si="353"/>
        <v/>
      </c>
      <c r="AN3098" t="str">
        <f t="shared" si="354"/>
        <v/>
      </c>
      <c r="AP3098" t="str">
        <f t="shared" si="355"/>
        <v>Defensive</v>
      </c>
    </row>
    <row r="3099" spans="8:42" x14ac:dyDescent="0.2">
      <c r="H3099">
        <f t="shared" si="351"/>
        <v>3</v>
      </c>
      <c r="T3099" t="str">
        <f t="shared" si="352"/>
        <v>o</v>
      </c>
      <c r="AM3099" t="str">
        <f t="shared" si="353"/>
        <v/>
      </c>
      <c r="AN3099" t="str">
        <f t="shared" si="354"/>
        <v/>
      </c>
      <c r="AP3099" t="str">
        <f t="shared" si="355"/>
        <v>Defensive</v>
      </c>
    </row>
    <row r="3100" spans="8:42" x14ac:dyDescent="0.2">
      <c r="H3100">
        <f t="shared" si="351"/>
        <v>3</v>
      </c>
      <c r="T3100" t="str">
        <f t="shared" si="352"/>
        <v>o</v>
      </c>
      <c r="AM3100" t="str">
        <f t="shared" si="353"/>
        <v/>
      </c>
      <c r="AN3100" t="str">
        <f t="shared" si="354"/>
        <v/>
      </c>
      <c r="AP3100" t="str">
        <f t="shared" si="355"/>
        <v>Defensive</v>
      </c>
    </row>
    <row r="3101" spans="8:42" x14ac:dyDescent="0.2">
      <c r="H3101">
        <f t="shared" si="351"/>
        <v>3</v>
      </c>
      <c r="T3101" t="str">
        <f t="shared" si="352"/>
        <v>o</v>
      </c>
      <c r="AM3101" t="str">
        <f t="shared" si="353"/>
        <v/>
      </c>
      <c r="AN3101" t="str">
        <f t="shared" si="354"/>
        <v/>
      </c>
      <c r="AP3101" t="str">
        <f t="shared" si="355"/>
        <v>Defensive</v>
      </c>
    </row>
    <row r="3102" spans="8:42" x14ac:dyDescent="0.2">
      <c r="H3102">
        <f t="shared" si="351"/>
        <v>3</v>
      </c>
      <c r="T3102" t="str">
        <f t="shared" si="352"/>
        <v>o</v>
      </c>
      <c r="AM3102" t="str">
        <f t="shared" si="353"/>
        <v/>
      </c>
      <c r="AN3102" t="str">
        <f t="shared" si="354"/>
        <v/>
      </c>
      <c r="AP3102" t="str">
        <f t="shared" si="355"/>
        <v>Defensive</v>
      </c>
    </row>
    <row r="3103" spans="8:42" x14ac:dyDescent="0.2">
      <c r="H3103">
        <f t="shared" si="351"/>
        <v>3</v>
      </c>
      <c r="T3103" t="str">
        <f t="shared" si="352"/>
        <v>o</v>
      </c>
      <c r="AM3103" t="str">
        <f t="shared" si="353"/>
        <v/>
      </c>
      <c r="AN3103" t="str">
        <f t="shared" si="354"/>
        <v/>
      </c>
      <c r="AP3103" t="str">
        <f t="shared" si="355"/>
        <v>Defensive</v>
      </c>
    </row>
    <row r="3104" spans="8:42" x14ac:dyDescent="0.2">
      <c r="H3104">
        <f t="shared" si="351"/>
        <v>3</v>
      </c>
      <c r="T3104" t="str">
        <f t="shared" si="352"/>
        <v>o</v>
      </c>
      <c r="AM3104" t="str">
        <f t="shared" si="353"/>
        <v/>
      </c>
      <c r="AN3104" t="str">
        <f t="shared" si="354"/>
        <v/>
      </c>
      <c r="AP3104" t="str">
        <f t="shared" si="355"/>
        <v>Defensive</v>
      </c>
    </row>
    <row r="3105" spans="8:42" x14ac:dyDescent="0.2">
      <c r="H3105">
        <f t="shared" si="351"/>
        <v>3</v>
      </c>
      <c r="T3105" t="str">
        <f t="shared" si="352"/>
        <v>o</v>
      </c>
      <c r="AM3105" t="str">
        <f t="shared" si="353"/>
        <v/>
      </c>
      <c r="AN3105" t="str">
        <f t="shared" si="354"/>
        <v/>
      </c>
      <c r="AP3105" t="str">
        <f t="shared" si="355"/>
        <v>Defensive</v>
      </c>
    </row>
    <row r="3106" spans="8:42" x14ac:dyDescent="0.2">
      <c r="H3106">
        <f t="shared" si="351"/>
        <v>3</v>
      </c>
      <c r="T3106" t="str">
        <f t="shared" si="352"/>
        <v>o</v>
      </c>
      <c r="AM3106" t="str">
        <f t="shared" si="353"/>
        <v/>
      </c>
      <c r="AN3106" t="str">
        <f t="shared" si="354"/>
        <v/>
      </c>
      <c r="AP3106" t="str">
        <f t="shared" si="355"/>
        <v>Defensive</v>
      </c>
    </row>
    <row r="3107" spans="8:42" x14ac:dyDescent="0.2">
      <c r="H3107">
        <f t="shared" si="351"/>
        <v>3</v>
      </c>
      <c r="T3107" t="str">
        <f t="shared" si="352"/>
        <v>o</v>
      </c>
      <c r="AM3107" t="str">
        <f t="shared" si="353"/>
        <v/>
      </c>
      <c r="AN3107" t="str">
        <f t="shared" si="354"/>
        <v/>
      </c>
      <c r="AP3107" t="str">
        <f t="shared" si="355"/>
        <v>Defensive</v>
      </c>
    </row>
    <row r="3108" spans="8:42" x14ac:dyDescent="0.2">
      <c r="H3108">
        <f t="shared" si="351"/>
        <v>3</v>
      </c>
      <c r="T3108" t="str">
        <f t="shared" si="352"/>
        <v>o</v>
      </c>
      <c r="AM3108" t="str">
        <f t="shared" si="353"/>
        <v/>
      </c>
      <c r="AN3108" t="str">
        <f t="shared" si="354"/>
        <v/>
      </c>
      <c r="AP3108" t="str">
        <f t="shared" si="355"/>
        <v>Defensive</v>
      </c>
    </row>
    <row r="3109" spans="8:42" x14ac:dyDescent="0.2">
      <c r="H3109">
        <f t="shared" si="351"/>
        <v>3</v>
      </c>
      <c r="T3109" t="str">
        <f t="shared" si="352"/>
        <v>o</v>
      </c>
      <c r="AM3109" t="str">
        <f t="shared" si="353"/>
        <v/>
      </c>
      <c r="AN3109" t="str">
        <f t="shared" si="354"/>
        <v/>
      </c>
      <c r="AP3109" t="str">
        <f t="shared" si="355"/>
        <v>Defensive</v>
      </c>
    </row>
    <row r="3110" spans="8:42" x14ac:dyDescent="0.2">
      <c r="H3110">
        <f t="shared" si="351"/>
        <v>3</v>
      </c>
      <c r="T3110" t="str">
        <f t="shared" si="352"/>
        <v>o</v>
      </c>
      <c r="AM3110" t="str">
        <f t="shared" si="353"/>
        <v/>
      </c>
      <c r="AN3110" t="str">
        <f t="shared" si="354"/>
        <v/>
      </c>
      <c r="AP3110" t="str">
        <f t="shared" si="355"/>
        <v>Defensive</v>
      </c>
    </row>
    <row r="3111" spans="8:42" x14ac:dyDescent="0.2">
      <c r="H3111">
        <f t="shared" si="351"/>
        <v>3</v>
      </c>
      <c r="T3111" t="str">
        <f t="shared" si="352"/>
        <v>o</v>
      </c>
      <c r="AM3111" t="str">
        <f t="shared" si="353"/>
        <v/>
      </c>
      <c r="AN3111" t="str">
        <f t="shared" si="354"/>
        <v/>
      </c>
      <c r="AP3111" t="str">
        <f t="shared" si="355"/>
        <v>Defensive</v>
      </c>
    </row>
    <row r="3112" spans="8:42" x14ac:dyDescent="0.2">
      <c r="H3112">
        <f t="shared" si="351"/>
        <v>3</v>
      </c>
      <c r="T3112" t="str">
        <f t="shared" si="352"/>
        <v>o</v>
      </c>
      <c r="AM3112" t="str">
        <f t="shared" si="353"/>
        <v/>
      </c>
      <c r="AN3112" t="str">
        <f t="shared" si="354"/>
        <v/>
      </c>
      <c r="AP3112" t="str">
        <f t="shared" si="355"/>
        <v>Defensive</v>
      </c>
    </row>
    <row r="3113" spans="8:42" x14ac:dyDescent="0.2">
      <c r="H3113">
        <f t="shared" si="351"/>
        <v>3</v>
      </c>
      <c r="T3113" t="str">
        <f t="shared" si="352"/>
        <v>o</v>
      </c>
      <c r="AM3113" t="str">
        <f t="shared" si="353"/>
        <v/>
      </c>
      <c r="AN3113" t="str">
        <f t="shared" si="354"/>
        <v/>
      </c>
      <c r="AP3113" t="str">
        <f t="shared" si="355"/>
        <v>Defensive</v>
      </c>
    </row>
    <row r="3114" spans="8:42" x14ac:dyDescent="0.2">
      <c r="H3114">
        <f t="shared" si="351"/>
        <v>3</v>
      </c>
      <c r="T3114" t="str">
        <f t="shared" si="352"/>
        <v>o</v>
      </c>
      <c r="AM3114" t="str">
        <f t="shared" si="353"/>
        <v/>
      </c>
      <c r="AN3114" t="str">
        <f t="shared" si="354"/>
        <v/>
      </c>
      <c r="AP3114" t="str">
        <f t="shared" si="355"/>
        <v>Defensive</v>
      </c>
    </row>
    <row r="3115" spans="8:42" x14ac:dyDescent="0.2">
      <c r="H3115">
        <f t="shared" si="351"/>
        <v>3</v>
      </c>
      <c r="T3115" t="str">
        <f t="shared" si="352"/>
        <v>o</v>
      </c>
      <c r="AM3115" t="str">
        <f t="shared" si="353"/>
        <v/>
      </c>
      <c r="AN3115" t="str">
        <f t="shared" si="354"/>
        <v/>
      </c>
      <c r="AP3115" t="str">
        <f t="shared" si="355"/>
        <v>Defensive</v>
      </c>
    </row>
    <row r="3116" spans="8:42" x14ac:dyDescent="0.2">
      <c r="H3116">
        <f t="shared" si="351"/>
        <v>3</v>
      </c>
      <c r="T3116" t="str">
        <f t="shared" si="352"/>
        <v>o</v>
      </c>
      <c r="AM3116" t="str">
        <f t="shared" si="353"/>
        <v/>
      </c>
      <c r="AN3116" t="str">
        <f t="shared" si="354"/>
        <v/>
      </c>
      <c r="AP3116" t="str">
        <f t="shared" si="355"/>
        <v>Defensive</v>
      </c>
    </row>
    <row r="3117" spans="8:42" x14ac:dyDescent="0.2">
      <c r="H3117">
        <f t="shared" si="351"/>
        <v>3</v>
      </c>
      <c r="T3117" t="str">
        <f t="shared" si="352"/>
        <v>o</v>
      </c>
      <c r="AM3117" t="str">
        <f t="shared" si="353"/>
        <v/>
      </c>
      <c r="AN3117" t="str">
        <f t="shared" si="354"/>
        <v/>
      </c>
      <c r="AP3117" t="str">
        <f t="shared" si="355"/>
        <v>Defensive</v>
      </c>
    </row>
    <row r="3118" spans="8:42" x14ac:dyDescent="0.2">
      <c r="H3118">
        <f t="shared" si="351"/>
        <v>3</v>
      </c>
      <c r="T3118" t="str">
        <f t="shared" si="352"/>
        <v>o</v>
      </c>
      <c r="AM3118" t="str">
        <f t="shared" si="353"/>
        <v/>
      </c>
      <c r="AN3118" t="str">
        <f t="shared" si="354"/>
        <v/>
      </c>
      <c r="AP3118" t="str">
        <f t="shared" si="355"/>
        <v>Defensive</v>
      </c>
    </row>
    <row r="3119" spans="8:42" x14ac:dyDescent="0.2">
      <c r="H3119">
        <f t="shared" si="351"/>
        <v>3</v>
      </c>
      <c r="T3119" t="str">
        <f t="shared" si="352"/>
        <v>o</v>
      </c>
      <c r="AM3119" t="str">
        <f t="shared" si="353"/>
        <v/>
      </c>
      <c r="AN3119" t="str">
        <f t="shared" si="354"/>
        <v/>
      </c>
      <c r="AP3119" t="str">
        <f t="shared" si="355"/>
        <v>Defensive</v>
      </c>
    </row>
    <row r="3120" spans="8:42" x14ac:dyDescent="0.2">
      <c r="H3120">
        <f t="shared" si="351"/>
        <v>3</v>
      </c>
      <c r="T3120" t="str">
        <f t="shared" si="352"/>
        <v>o</v>
      </c>
      <c r="AM3120" t="str">
        <f t="shared" si="353"/>
        <v/>
      </c>
      <c r="AN3120" t="str">
        <f t="shared" si="354"/>
        <v/>
      </c>
      <c r="AP3120" t="str">
        <f t="shared" si="355"/>
        <v>Defensive</v>
      </c>
    </row>
    <row r="3121" spans="8:42" x14ac:dyDescent="0.2">
      <c r="H3121">
        <f t="shared" si="351"/>
        <v>3</v>
      </c>
      <c r="T3121" t="str">
        <f t="shared" si="352"/>
        <v>o</v>
      </c>
      <c r="AM3121" t="str">
        <f t="shared" si="353"/>
        <v/>
      </c>
      <c r="AN3121" t="str">
        <f t="shared" si="354"/>
        <v/>
      </c>
      <c r="AP3121" t="str">
        <f t="shared" si="355"/>
        <v>Defensive</v>
      </c>
    </row>
    <row r="3122" spans="8:42" x14ac:dyDescent="0.2">
      <c r="H3122">
        <f t="shared" si="351"/>
        <v>3</v>
      </c>
      <c r="T3122" t="str">
        <f t="shared" si="352"/>
        <v>o</v>
      </c>
      <c r="AM3122" t="str">
        <f t="shared" si="353"/>
        <v/>
      </c>
      <c r="AN3122" t="str">
        <f t="shared" si="354"/>
        <v/>
      </c>
      <c r="AP3122" t="str">
        <f t="shared" si="355"/>
        <v>Defensive</v>
      </c>
    </row>
    <row r="3123" spans="8:42" x14ac:dyDescent="0.2">
      <c r="H3123">
        <f t="shared" si="351"/>
        <v>3</v>
      </c>
      <c r="T3123" t="str">
        <f t="shared" si="352"/>
        <v>o</v>
      </c>
      <c r="AM3123" t="str">
        <f t="shared" si="353"/>
        <v/>
      </c>
      <c r="AN3123" t="str">
        <f t="shared" si="354"/>
        <v/>
      </c>
      <c r="AP3123" t="str">
        <f t="shared" si="355"/>
        <v>Defensive</v>
      </c>
    </row>
    <row r="3124" spans="8:42" x14ac:dyDescent="0.2">
      <c r="H3124">
        <f t="shared" si="351"/>
        <v>3</v>
      </c>
      <c r="T3124" t="str">
        <f t="shared" si="352"/>
        <v>o</v>
      </c>
      <c r="AM3124" t="str">
        <f t="shared" si="353"/>
        <v/>
      </c>
      <c r="AN3124" t="str">
        <f t="shared" si="354"/>
        <v/>
      </c>
      <c r="AP3124" t="str">
        <f t="shared" si="355"/>
        <v>Defensive</v>
      </c>
    </row>
    <row r="3125" spans="8:42" x14ac:dyDescent="0.2">
      <c r="H3125">
        <f t="shared" si="351"/>
        <v>3</v>
      </c>
      <c r="T3125" t="str">
        <f t="shared" si="352"/>
        <v>o</v>
      </c>
      <c r="AM3125" t="str">
        <f t="shared" si="353"/>
        <v/>
      </c>
      <c r="AN3125" t="str">
        <f t="shared" si="354"/>
        <v/>
      </c>
      <c r="AP3125" t="str">
        <f t="shared" si="355"/>
        <v>Defensive</v>
      </c>
    </row>
    <row r="3126" spans="8:42" x14ac:dyDescent="0.2">
      <c r="H3126">
        <f t="shared" si="351"/>
        <v>3</v>
      </c>
      <c r="T3126" t="str">
        <f t="shared" si="352"/>
        <v>o</v>
      </c>
      <c r="AM3126" t="str">
        <f t="shared" si="353"/>
        <v/>
      </c>
      <c r="AN3126" t="str">
        <f t="shared" si="354"/>
        <v/>
      </c>
      <c r="AP3126" t="str">
        <f t="shared" si="355"/>
        <v>Defensive</v>
      </c>
    </row>
    <row r="3127" spans="8:42" x14ac:dyDescent="0.2">
      <c r="H3127">
        <f t="shared" si="351"/>
        <v>3</v>
      </c>
      <c r="T3127" t="str">
        <f t="shared" si="352"/>
        <v>o</v>
      </c>
      <c r="AM3127" t="str">
        <f t="shared" si="353"/>
        <v/>
      </c>
      <c r="AN3127" t="str">
        <f t="shared" si="354"/>
        <v/>
      </c>
      <c r="AP3127" t="str">
        <f t="shared" si="355"/>
        <v>Defensive</v>
      </c>
    </row>
    <row r="3128" spans="8:42" x14ac:dyDescent="0.2">
      <c r="H3128">
        <f t="shared" si="351"/>
        <v>3</v>
      </c>
      <c r="T3128" t="str">
        <f t="shared" si="352"/>
        <v>o</v>
      </c>
      <c r="AM3128" t="str">
        <f t="shared" si="353"/>
        <v/>
      </c>
      <c r="AN3128" t="str">
        <f t="shared" si="354"/>
        <v/>
      </c>
      <c r="AP3128" t="str">
        <f t="shared" si="355"/>
        <v>Defensive</v>
      </c>
    </row>
    <row r="3129" spans="8:42" x14ac:dyDescent="0.2">
      <c r="H3129">
        <f t="shared" si="351"/>
        <v>3</v>
      </c>
      <c r="T3129" t="str">
        <f t="shared" si="352"/>
        <v>o</v>
      </c>
      <c r="AM3129" t="str">
        <f t="shared" si="353"/>
        <v/>
      </c>
      <c r="AN3129" t="str">
        <f t="shared" si="354"/>
        <v/>
      </c>
      <c r="AP3129" t="str">
        <f t="shared" si="355"/>
        <v>Defensive</v>
      </c>
    </row>
    <row r="3130" spans="8:42" x14ac:dyDescent="0.2">
      <c r="H3130">
        <f t="shared" si="351"/>
        <v>3</v>
      </c>
      <c r="T3130" t="str">
        <f t="shared" si="352"/>
        <v>o</v>
      </c>
      <c r="AM3130" t="str">
        <f t="shared" si="353"/>
        <v/>
      </c>
      <c r="AN3130" t="str">
        <f t="shared" si="354"/>
        <v/>
      </c>
      <c r="AP3130" t="str">
        <f t="shared" si="355"/>
        <v>Defensive</v>
      </c>
    </row>
    <row r="3131" spans="8:42" x14ac:dyDescent="0.2">
      <c r="H3131">
        <f t="shared" si="351"/>
        <v>3</v>
      </c>
      <c r="T3131" t="str">
        <f t="shared" si="352"/>
        <v>o</v>
      </c>
      <c r="AM3131" t="str">
        <f t="shared" si="353"/>
        <v/>
      </c>
      <c r="AN3131" t="str">
        <f t="shared" si="354"/>
        <v/>
      </c>
      <c r="AP3131" t="str">
        <f t="shared" si="355"/>
        <v>Defensive</v>
      </c>
    </row>
    <row r="3132" spans="8:42" x14ac:dyDescent="0.2">
      <c r="H3132">
        <f t="shared" si="351"/>
        <v>3</v>
      </c>
      <c r="T3132" t="str">
        <f t="shared" si="352"/>
        <v>o</v>
      </c>
      <c r="AM3132" t="str">
        <f t="shared" si="353"/>
        <v/>
      </c>
      <c r="AN3132" t="str">
        <f t="shared" si="354"/>
        <v/>
      </c>
      <c r="AP3132" t="str">
        <f t="shared" si="355"/>
        <v>Defensive</v>
      </c>
    </row>
    <row r="3133" spans="8:42" x14ac:dyDescent="0.2">
      <c r="H3133">
        <f t="shared" si="351"/>
        <v>3</v>
      </c>
      <c r="T3133" t="str">
        <f t="shared" si="352"/>
        <v>o</v>
      </c>
      <c r="AM3133" t="str">
        <f t="shared" si="353"/>
        <v/>
      </c>
      <c r="AN3133" t="str">
        <f t="shared" si="354"/>
        <v/>
      </c>
      <c r="AP3133" t="str">
        <f t="shared" si="355"/>
        <v>Defensive</v>
      </c>
    </row>
    <row r="3134" spans="8:42" x14ac:dyDescent="0.2">
      <c r="H3134">
        <f t="shared" si="351"/>
        <v>3</v>
      </c>
      <c r="T3134" t="str">
        <f t="shared" si="352"/>
        <v>o</v>
      </c>
      <c r="AM3134" t="str">
        <f t="shared" si="353"/>
        <v/>
      </c>
      <c r="AN3134" t="str">
        <f t="shared" si="354"/>
        <v/>
      </c>
      <c r="AP3134" t="str">
        <f t="shared" si="355"/>
        <v>Defensive</v>
      </c>
    </row>
    <row r="3135" spans="8:42" x14ac:dyDescent="0.2">
      <c r="H3135">
        <f t="shared" si="351"/>
        <v>3</v>
      </c>
      <c r="T3135" t="str">
        <f t="shared" si="352"/>
        <v>o</v>
      </c>
      <c r="AM3135" t="str">
        <f t="shared" si="353"/>
        <v/>
      </c>
      <c r="AN3135" t="str">
        <f t="shared" si="354"/>
        <v/>
      </c>
      <c r="AP3135" t="str">
        <f t="shared" si="355"/>
        <v>Defensive</v>
      </c>
    </row>
    <row r="3136" spans="8:42" x14ac:dyDescent="0.2">
      <c r="H3136">
        <f t="shared" si="351"/>
        <v>3</v>
      </c>
      <c r="T3136" t="str">
        <f t="shared" si="352"/>
        <v>o</v>
      </c>
      <c r="AM3136" t="str">
        <f t="shared" si="353"/>
        <v/>
      </c>
      <c r="AN3136" t="str">
        <f t="shared" si="354"/>
        <v/>
      </c>
      <c r="AP3136" t="str">
        <f t="shared" si="355"/>
        <v>Defensive</v>
      </c>
    </row>
    <row r="3137" spans="8:42" x14ac:dyDescent="0.2">
      <c r="H3137">
        <f t="shared" si="351"/>
        <v>3</v>
      </c>
      <c r="T3137" t="str">
        <f t="shared" si="352"/>
        <v>o</v>
      </c>
      <c r="AM3137" t="str">
        <f t="shared" si="353"/>
        <v/>
      </c>
      <c r="AN3137" t="str">
        <f t="shared" si="354"/>
        <v/>
      </c>
      <c r="AP3137" t="str">
        <f t="shared" si="355"/>
        <v>Defensive</v>
      </c>
    </row>
    <row r="3138" spans="8:42" x14ac:dyDescent="0.2">
      <c r="H3138">
        <f t="shared" si="351"/>
        <v>3</v>
      </c>
      <c r="T3138" t="str">
        <f t="shared" si="352"/>
        <v>o</v>
      </c>
      <c r="AM3138" t="str">
        <f t="shared" si="353"/>
        <v/>
      </c>
      <c r="AN3138" t="str">
        <f t="shared" si="354"/>
        <v/>
      </c>
      <c r="AP3138" t="str">
        <f t="shared" si="355"/>
        <v>Defensive</v>
      </c>
    </row>
    <row r="3139" spans="8:42" x14ac:dyDescent="0.2">
      <c r="H3139">
        <f t="shared" si="351"/>
        <v>3</v>
      </c>
      <c r="T3139" t="str">
        <f t="shared" si="352"/>
        <v>o</v>
      </c>
      <c r="AM3139" t="str">
        <f t="shared" si="353"/>
        <v/>
      </c>
      <c r="AN3139" t="str">
        <f t="shared" si="354"/>
        <v/>
      </c>
      <c r="AP3139" t="str">
        <f t="shared" si="355"/>
        <v>Defensive</v>
      </c>
    </row>
    <row r="3140" spans="8:42" x14ac:dyDescent="0.2">
      <c r="H3140">
        <f t="shared" si="351"/>
        <v>3</v>
      </c>
      <c r="T3140" t="str">
        <f t="shared" si="352"/>
        <v>o</v>
      </c>
      <c r="AM3140" t="str">
        <f t="shared" si="353"/>
        <v/>
      </c>
      <c r="AN3140" t="str">
        <f t="shared" si="354"/>
        <v/>
      </c>
      <c r="AP3140" t="str">
        <f t="shared" si="355"/>
        <v>Defensive</v>
      </c>
    </row>
    <row r="3141" spans="8:42" x14ac:dyDescent="0.2">
      <c r="H3141">
        <f t="shared" ref="H3141:H3204" si="356">IF(U3141="Intermission",H3140+1,H3140)</f>
        <v>3</v>
      </c>
      <c r="T3141" t="str">
        <f t="shared" si="352"/>
        <v>o</v>
      </c>
      <c r="AM3141" t="str">
        <f t="shared" si="353"/>
        <v/>
      </c>
      <c r="AN3141" t="str">
        <f t="shared" si="354"/>
        <v/>
      </c>
      <c r="AP3141" t="str">
        <f t="shared" si="355"/>
        <v>Defensive</v>
      </c>
    </row>
    <row r="3142" spans="8:42" x14ac:dyDescent="0.2">
      <c r="H3142">
        <f t="shared" si="356"/>
        <v>3</v>
      </c>
      <c r="T3142" t="str">
        <f t="shared" si="352"/>
        <v>o</v>
      </c>
      <c r="AM3142" t="str">
        <f t="shared" si="353"/>
        <v/>
      </c>
      <c r="AN3142" t="str">
        <f t="shared" si="354"/>
        <v/>
      </c>
      <c r="AP3142" t="str">
        <f t="shared" si="355"/>
        <v>Defensive</v>
      </c>
    </row>
    <row r="3143" spans="8:42" x14ac:dyDescent="0.2">
      <c r="H3143">
        <f t="shared" si="356"/>
        <v>3</v>
      </c>
      <c r="T3143" t="str">
        <f t="shared" si="352"/>
        <v>o</v>
      </c>
      <c r="AM3143" t="str">
        <f t="shared" si="353"/>
        <v/>
      </c>
      <c r="AN3143" t="str">
        <f t="shared" si="354"/>
        <v/>
      </c>
      <c r="AP3143" t="str">
        <f t="shared" si="355"/>
        <v>Defensive</v>
      </c>
    </row>
    <row r="3144" spans="8:42" x14ac:dyDescent="0.2">
      <c r="H3144">
        <f t="shared" si="356"/>
        <v>3</v>
      </c>
      <c r="T3144" t="str">
        <f t="shared" si="352"/>
        <v>o</v>
      </c>
      <c r="AM3144" t="str">
        <f t="shared" si="353"/>
        <v/>
      </c>
      <c r="AN3144" t="str">
        <f t="shared" si="354"/>
        <v/>
      </c>
      <c r="AP3144" t="str">
        <f t="shared" si="355"/>
        <v>Defensive</v>
      </c>
    </row>
    <row r="3145" spans="8:42" x14ac:dyDescent="0.2">
      <c r="H3145">
        <f t="shared" si="356"/>
        <v>3</v>
      </c>
      <c r="T3145" t="str">
        <f t="shared" si="352"/>
        <v>o</v>
      </c>
      <c r="AM3145" t="str">
        <f t="shared" si="353"/>
        <v/>
      </c>
      <c r="AN3145" t="str">
        <f t="shared" si="354"/>
        <v/>
      </c>
      <c r="AP3145" t="str">
        <f t="shared" si="355"/>
        <v>Defensive</v>
      </c>
    </row>
    <row r="3146" spans="8:42" x14ac:dyDescent="0.2">
      <c r="H3146">
        <f t="shared" si="356"/>
        <v>3</v>
      </c>
      <c r="T3146" t="str">
        <f t="shared" si="352"/>
        <v>o</v>
      </c>
      <c r="AM3146" t="str">
        <f t="shared" si="353"/>
        <v/>
      </c>
      <c r="AN3146" t="str">
        <f t="shared" si="354"/>
        <v/>
      </c>
      <c r="AP3146" t="str">
        <f t="shared" si="355"/>
        <v>Defensive</v>
      </c>
    </row>
    <row r="3147" spans="8:42" x14ac:dyDescent="0.2">
      <c r="H3147">
        <f t="shared" si="356"/>
        <v>3</v>
      </c>
      <c r="T3147" t="str">
        <f t="shared" si="352"/>
        <v>o</v>
      </c>
      <c r="AM3147" t="str">
        <f t="shared" si="353"/>
        <v/>
      </c>
      <c r="AN3147" t="str">
        <f t="shared" si="354"/>
        <v/>
      </c>
      <c r="AP3147" t="str">
        <f t="shared" si="355"/>
        <v>Defensive</v>
      </c>
    </row>
    <row r="3148" spans="8:42" x14ac:dyDescent="0.2">
      <c r="H3148">
        <f t="shared" si="356"/>
        <v>3</v>
      </c>
      <c r="T3148" t="str">
        <f t="shared" ref="T3148:T3211" si="357">IF(S3148="x","",IF(S3148=1,"e","o"))</f>
        <v>o</v>
      </c>
      <c r="AM3148" t="str">
        <f t="shared" si="353"/>
        <v/>
      </c>
      <c r="AN3148" t="str">
        <f t="shared" si="354"/>
        <v/>
      </c>
      <c r="AP3148" t="str">
        <f t="shared" si="355"/>
        <v>Defensive</v>
      </c>
    </row>
    <row r="3149" spans="8:42" x14ac:dyDescent="0.2">
      <c r="H3149">
        <f t="shared" si="356"/>
        <v>3</v>
      </c>
      <c r="T3149" t="str">
        <f t="shared" si="357"/>
        <v>o</v>
      </c>
      <c r="AM3149" t="str">
        <f t="shared" si="353"/>
        <v/>
      </c>
      <c r="AN3149" t="str">
        <f t="shared" si="354"/>
        <v/>
      </c>
      <c r="AP3149" t="str">
        <f t="shared" si="355"/>
        <v>Defensive</v>
      </c>
    </row>
    <row r="3150" spans="8:42" x14ac:dyDescent="0.2">
      <c r="H3150">
        <f t="shared" si="356"/>
        <v>3</v>
      </c>
      <c r="T3150" t="str">
        <f t="shared" si="357"/>
        <v>o</v>
      </c>
      <c r="AM3150" t="str">
        <f t="shared" si="353"/>
        <v/>
      </c>
      <c r="AN3150" t="str">
        <f t="shared" si="354"/>
        <v/>
      </c>
      <c r="AP3150" t="str">
        <f t="shared" si="355"/>
        <v>Defensive</v>
      </c>
    </row>
    <row r="3151" spans="8:42" x14ac:dyDescent="0.2">
      <c r="H3151">
        <f t="shared" si="356"/>
        <v>3</v>
      </c>
      <c r="T3151" t="str">
        <f t="shared" si="357"/>
        <v>o</v>
      </c>
      <c r="AM3151" t="str">
        <f t="shared" ref="AM3151:AM3214" si="358">IF(U3151&lt;&gt;"",U3151,IF($A3151=$A3150,AM3150,""))</f>
        <v/>
      </c>
      <c r="AN3151" t="str">
        <f t="shared" ref="AN3151:AN3214" si="359">IF(V3151&lt;&gt;"",V3151,IF($A3151=$A3150,AN3150,""))</f>
        <v/>
      </c>
      <c r="AP3151" t="str">
        <f t="shared" ref="AP3151:AP3214" si="360">IF(AND(T3151="e",OR(AM3151="Save",AN3151="Turnover_Takeaway",AN3151="Play_Defensive")),"Defensive",IF(AND(T3151="o",OR(AM3151="Save",AN3151="Turnover_Takeaway",AN3151="Play_Defensive")),"Offensive",IF(OR(AM3151="Deadice",AM3151="Stoppage",AM3151="Intermission"),"",IF(T3151="e","Offensive",IF(T3151="o","Defensive","")))))</f>
        <v>Defensive</v>
      </c>
    </row>
    <row r="3152" spans="8:42" x14ac:dyDescent="0.2">
      <c r="H3152">
        <f t="shared" si="356"/>
        <v>3</v>
      </c>
      <c r="T3152" t="str">
        <f t="shared" si="357"/>
        <v>o</v>
      </c>
      <c r="AM3152" t="str">
        <f t="shared" si="358"/>
        <v/>
      </c>
      <c r="AN3152" t="str">
        <f t="shared" si="359"/>
        <v/>
      </c>
      <c r="AP3152" t="str">
        <f t="shared" si="360"/>
        <v>Defensive</v>
      </c>
    </row>
    <row r="3153" spans="8:42" x14ac:dyDescent="0.2">
      <c r="H3153">
        <f t="shared" si="356"/>
        <v>3</v>
      </c>
      <c r="T3153" t="str">
        <f t="shared" si="357"/>
        <v>o</v>
      </c>
      <c r="AM3153" t="str">
        <f t="shared" si="358"/>
        <v/>
      </c>
      <c r="AN3153" t="str">
        <f t="shared" si="359"/>
        <v/>
      </c>
      <c r="AP3153" t="str">
        <f t="shared" si="360"/>
        <v>Defensive</v>
      </c>
    </row>
    <row r="3154" spans="8:42" x14ac:dyDescent="0.2">
      <c r="H3154">
        <f t="shared" si="356"/>
        <v>3</v>
      </c>
      <c r="T3154" t="str">
        <f t="shared" si="357"/>
        <v>o</v>
      </c>
      <c r="AM3154" t="str">
        <f t="shared" si="358"/>
        <v/>
      </c>
      <c r="AN3154" t="str">
        <f t="shared" si="359"/>
        <v/>
      </c>
      <c r="AP3154" t="str">
        <f t="shared" si="360"/>
        <v>Defensive</v>
      </c>
    </row>
    <row r="3155" spans="8:42" x14ac:dyDescent="0.2">
      <c r="H3155">
        <f t="shared" si="356"/>
        <v>3</v>
      </c>
      <c r="T3155" t="str">
        <f t="shared" si="357"/>
        <v>o</v>
      </c>
      <c r="AM3155" t="str">
        <f t="shared" si="358"/>
        <v/>
      </c>
      <c r="AN3155" t="str">
        <f t="shared" si="359"/>
        <v/>
      </c>
      <c r="AP3155" t="str">
        <f t="shared" si="360"/>
        <v>Defensive</v>
      </c>
    </row>
    <row r="3156" spans="8:42" x14ac:dyDescent="0.2">
      <c r="H3156">
        <f t="shared" si="356"/>
        <v>3</v>
      </c>
      <c r="T3156" t="str">
        <f t="shared" si="357"/>
        <v>o</v>
      </c>
      <c r="AM3156" t="str">
        <f t="shared" si="358"/>
        <v/>
      </c>
      <c r="AN3156" t="str">
        <f t="shared" si="359"/>
        <v/>
      </c>
      <c r="AP3156" t="str">
        <f t="shared" si="360"/>
        <v>Defensive</v>
      </c>
    </row>
    <row r="3157" spans="8:42" x14ac:dyDescent="0.2">
      <c r="H3157">
        <f t="shared" si="356"/>
        <v>3</v>
      </c>
      <c r="T3157" t="str">
        <f t="shared" si="357"/>
        <v>o</v>
      </c>
      <c r="AM3157" t="str">
        <f t="shared" si="358"/>
        <v/>
      </c>
      <c r="AN3157" t="str">
        <f t="shared" si="359"/>
        <v/>
      </c>
      <c r="AP3157" t="str">
        <f t="shared" si="360"/>
        <v>Defensive</v>
      </c>
    </row>
    <row r="3158" spans="8:42" x14ac:dyDescent="0.2">
      <c r="H3158">
        <f t="shared" si="356"/>
        <v>3</v>
      </c>
      <c r="T3158" t="str">
        <f t="shared" si="357"/>
        <v>o</v>
      </c>
      <c r="AM3158" t="str">
        <f t="shared" si="358"/>
        <v/>
      </c>
      <c r="AN3158" t="str">
        <f t="shared" si="359"/>
        <v/>
      </c>
      <c r="AP3158" t="str">
        <f t="shared" si="360"/>
        <v>Defensive</v>
      </c>
    </row>
    <row r="3159" spans="8:42" x14ac:dyDescent="0.2">
      <c r="H3159">
        <f t="shared" si="356"/>
        <v>3</v>
      </c>
      <c r="T3159" t="str">
        <f t="shared" si="357"/>
        <v>o</v>
      </c>
      <c r="AM3159" t="str">
        <f t="shared" si="358"/>
        <v/>
      </c>
      <c r="AN3159" t="str">
        <f t="shared" si="359"/>
        <v/>
      </c>
      <c r="AP3159" t="str">
        <f t="shared" si="360"/>
        <v>Defensive</v>
      </c>
    </row>
    <row r="3160" spans="8:42" x14ac:dyDescent="0.2">
      <c r="H3160">
        <f t="shared" si="356"/>
        <v>3</v>
      </c>
      <c r="T3160" t="str">
        <f t="shared" si="357"/>
        <v>o</v>
      </c>
      <c r="AM3160" t="str">
        <f t="shared" si="358"/>
        <v/>
      </c>
      <c r="AN3160" t="str">
        <f t="shared" si="359"/>
        <v/>
      </c>
      <c r="AP3160" t="str">
        <f t="shared" si="360"/>
        <v>Defensive</v>
      </c>
    </row>
    <row r="3161" spans="8:42" x14ac:dyDescent="0.2">
      <c r="H3161">
        <f t="shared" si="356"/>
        <v>3</v>
      </c>
      <c r="T3161" t="str">
        <f t="shared" si="357"/>
        <v>o</v>
      </c>
      <c r="AM3161" t="str">
        <f t="shared" si="358"/>
        <v/>
      </c>
      <c r="AN3161" t="str">
        <f t="shared" si="359"/>
        <v/>
      </c>
      <c r="AP3161" t="str">
        <f t="shared" si="360"/>
        <v>Defensive</v>
      </c>
    </row>
    <row r="3162" spans="8:42" x14ac:dyDescent="0.2">
      <c r="H3162">
        <f t="shared" si="356"/>
        <v>3</v>
      </c>
      <c r="T3162" t="str">
        <f t="shared" si="357"/>
        <v>o</v>
      </c>
      <c r="AM3162" t="str">
        <f t="shared" si="358"/>
        <v/>
      </c>
      <c r="AN3162" t="str">
        <f t="shared" si="359"/>
        <v/>
      </c>
      <c r="AP3162" t="str">
        <f t="shared" si="360"/>
        <v>Defensive</v>
      </c>
    </row>
    <row r="3163" spans="8:42" x14ac:dyDescent="0.2">
      <c r="H3163">
        <f t="shared" si="356"/>
        <v>3</v>
      </c>
      <c r="T3163" t="str">
        <f t="shared" si="357"/>
        <v>o</v>
      </c>
      <c r="AM3163" t="str">
        <f t="shared" si="358"/>
        <v/>
      </c>
      <c r="AN3163" t="str">
        <f t="shared" si="359"/>
        <v/>
      </c>
      <c r="AP3163" t="str">
        <f t="shared" si="360"/>
        <v>Defensive</v>
      </c>
    </row>
    <row r="3164" spans="8:42" x14ac:dyDescent="0.2">
      <c r="H3164">
        <f t="shared" si="356"/>
        <v>3</v>
      </c>
      <c r="T3164" t="str">
        <f t="shared" si="357"/>
        <v>o</v>
      </c>
      <c r="AM3164" t="str">
        <f t="shared" si="358"/>
        <v/>
      </c>
      <c r="AN3164" t="str">
        <f t="shared" si="359"/>
        <v/>
      </c>
      <c r="AP3164" t="str">
        <f t="shared" si="360"/>
        <v>Defensive</v>
      </c>
    </row>
    <row r="3165" spans="8:42" x14ac:dyDescent="0.2">
      <c r="H3165">
        <f t="shared" si="356"/>
        <v>3</v>
      </c>
      <c r="T3165" t="str">
        <f t="shared" si="357"/>
        <v>o</v>
      </c>
      <c r="AM3165" t="str">
        <f t="shared" si="358"/>
        <v/>
      </c>
      <c r="AN3165" t="str">
        <f t="shared" si="359"/>
        <v/>
      </c>
      <c r="AP3165" t="str">
        <f t="shared" si="360"/>
        <v>Defensive</v>
      </c>
    </row>
    <row r="3166" spans="8:42" x14ac:dyDescent="0.2">
      <c r="H3166">
        <f t="shared" si="356"/>
        <v>3</v>
      </c>
      <c r="T3166" t="str">
        <f t="shared" si="357"/>
        <v>o</v>
      </c>
      <c r="AM3166" t="str">
        <f t="shared" si="358"/>
        <v/>
      </c>
      <c r="AN3166" t="str">
        <f t="shared" si="359"/>
        <v/>
      </c>
      <c r="AP3166" t="str">
        <f t="shared" si="360"/>
        <v>Defensive</v>
      </c>
    </row>
    <row r="3167" spans="8:42" x14ac:dyDescent="0.2">
      <c r="H3167">
        <f t="shared" si="356"/>
        <v>3</v>
      </c>
      <c r="T3167" t="str">
        <f t="shared" si="357"/>
        <v>o</v>
      </c>
      <c r="AM3167" t="str">
        <f t="shared" si="358"/>
        <v/>
      </c>
      <c r="AN3167" t="str">
        <f t="shared" si="359"/>
        <v/>
      </c>
      <c r="AP3167" t="str">
        <f t="shared" si="360"/>
        <v>Defensive</v>
      </c>
    </row>
    <row r="3168" spans="8:42" x14ac:dyDescent="0.2">
      <c r="H3168">
        <f t="shared" si="356"/>
        <v>3</v>
      </c>
      <c r="T3168" t="str">
        <f t="shared" si="357"/>
        <v>o</v>
      </c>
      <c r="AM3168" t="str">
        <f t="shared" si="358"/>
        <v/>
      </c>
      <c r="AN3168" t="str">
        <f t="shared" si="359"/>
        <v/>
      </c>
      <c r="AP3168" t="str">
        <f t="shared" si="360"/>
        <v>Defensive</v>
      </c>
    </row>
    <row r="3169" spans="8:42" x14ac:dyDescent="0.2">
      <c r="H3169">
        <f t="shared" si="356"/>
        <v>3</v>
      </c>
      <c r="T3169" t="str">
        <f t="shared" si="357"/>
        <v>o</v>
      </c>
      <c r="AM3169" t="str">
        <f t="shared" si="358"/>
        <v/>
      </c>
      <c r="AN3169" t="str">
        <f t="shared" si="359"/>
        <v/>
      </c>
      <c r="AP3169" t="str">
        <f t="shared" si="360"/>
        <v>Defensive</v>
      </c>
    </row>
    <row r="3170" spans="8:42" x14ac:dyDescent="0.2">
      <c r="H3170">
        <f t="shared" si="356"/>
        <v>3</v>
      </c>
      <c r="T3170" t="str">
        <f t="shared" si="357"/>
        <v>o</v>
      </c>
      <c r="AM3170" t="str">
        <f t="shared" si="358"/>
        <v/>
      </c>
      <c r="AN3170" t="str">
        <f t="shared" si="359"/>
        <v/>
      </c>
      <c r="AP3170" t="str">
        <f t="shared" si="360"/>
        <v>Defensive</v>
      </c>
    </row>
    <row r="3171" spans="8:42" x14ac:dyDescent="0.2">
      <c r="H3171">
        <f t="shared" si="356"/>
        <v>3</v>
      </c>
      <c r="T3171" t="str">
        <f t="shared" si="357"/>
        <v>o</v>
      </c>
      <c r="AM3171" t="str">
        <f t="shared" si="358"/>
        <v/>
      </c>
      <c r="AN3171" t="str">
        <f t="shared" si="359"/>
        <v/>
      </c>
      <c r="AP3171" t="str">
        <f t="shared" si="360"/>
        <v>Defensive</v>
      </c>
    </row>
    <row r="3172" spans="8:42" x14ac:dyDescent="0.2">
      <c r="H3172">
        <f t="shared" si="356"/>
        <v>3</v>
      </c>
      <c r="T3172" t="str">
        <f t="shared" si="357"/>
        <v>o</v>
      </c>
      <c r="AM3172" t="str">
        <f t="shared" si="358"/>
        <v/>
      </c>
      <c r="AN3172" t="str">
        <f t="shared" si="359"/>
        <v/>
      </c>
      <c r="AP3172" t="str">
        <f t="shared" si="360"/>
        <v>Defensive</v>
      </c>
    </row>
    <row r="3173" spans="8:42" x14ac:dyDescent="0.2">
      <c r="H3173">
        <f t="shared" si="356"/>
        <v>3</v>
      </c>
      <c r="T3173" t="str">
        <f t="shared" si="357"/>
        <v>o</v>
      </c>
      <c r="AM3173" t="str">
        <f t="shared" si="358"/>
        <v/>
      </c>
      <c r="AN3173" t="str">
        <f t="shared" si="359"/>
        <v/>
      </c>
      <c r="AP3173" t="str">
        <f t="shared" si="360"/>
        <v>Defensive</v>
      </c>
    </row>
    <row r="3174" spans="8:42" x14ac:dyDescent="0.2">
      <c r="H3174">
        <f t="shared" si="356"/>
        <v>3</v>
      </c>
      <c r="T3174" t="str">
        <f t="shared" si="357"/>
        <v>o</v>
      </c>
      <c r="AM3174" t="str">
        <f t="shared" si="358"/>
        <v/>
      </c>
      <c r="AN3174" t="str">
        <f t="shared" si="359"/>
        <v/>
      </c>
      <c r="AP3174" t="str">
        <f t="shared" si="360"/>
        <v>Defensive</v>
      </c>
    </row>
    <row r="3175" spans="8:42" x14ac:dyDescent="0.2">
      <c r="H3175">
        <f t="shared" si="356"/>
        <v>3</v>
      </c>
      <c r="T3175" t="str">
        <f t="shared" si="357"/>
        <v>o</v>
      </c>
      <c r="AM3175" t="str">
        <f t="shared" si="358"/>
        <v/>
      </c>
      <c r="AN3175" t="str">
        <f t="shared" si="359"/>
        <v/>
      </c>
      <c r="AP3175" t="str">
        <f t="shared" si="360"/>
        <v>Defensive</v>
      </c>
    </row>
    <row r="3176" spans="8:42" x14ac:dyDescent="0.2">
      <c r="H3176">
        <f t="shared" si="356"/>
        <v>3</v>
      </c>
      <c r="T3176" t="str">
        <f t="shared" si="357"/>
        <v>o</v>
      </c>
      <c r="AM3176" t="str">
        <f t="shared" si="358"/>
        <v/>
      </c>
      <c r="AN3176" t="str">
        <f t="shared" si="359"/>
        <v/>
      </c>
      <c r="AP3176" t="str">
        <f t="shared" si="360"/>
        <v>Defensive</v>
      </c>
    </row>
    <row r="3177" spans="8:42" x14ac:dyDescent="0.2">
      <c r="H3177">
        <f t="shared" si="356"/>
        <v>3</v>
      </c>
      <c r="T3177" t="str">
        <f t="shared" si="357"/>
        <v>o</v>
      </c>
      <c r="AM3177" t="str">
        <f t="shared" si="358"/>
        <v/>
      </c>
      <c r="AN3177" t="str">
        <f t="shared" si="359"/>
        <v/>
      </c>
      <c r="AP3177" t="str">
        <f t="shared" si="360"/>
        <v>Defensive</v>
      </c>
    </row>
    <row r="3178" spans="8:42" x14ac:dyDescent="0.2">
      <c r="H3178">
        <f t="shared" si="356"/>
        <v>3</v>
      </c>
      <c r="T3178" t="str">
        <f t="shared" si="357"/>
        <v>o</v>
      </c>
      <c r="AM3178" t="str">
        <f t="shared" si="358"/>
        <v/>
      </c>
      <c r="AN3178" t="str">
        <f t="shared" si="359"/>
        <v/>
      </c>
      <c r="AP3178" t="str">
        <f t="shared" si="360"/>
        <v>Defensive</v>
      </c>
    </row>
    <row r="3179" spans="8:42" x14ac:dyDescent="0.2">
      <c r="H3179">
        <f t="shared" si="356"/>
        <v>3</v>
      </c>
      <c r="T3179" t="str">
        <f t="shared" si="357"/>
        <v>o</v>
      </c>
      <c r="AM3179" t="str">
        <f t="shared" si="358"/>
        <v/>
      </c>
      <c r="AN3179" t="str">
        <f t="shared" si="359"/>
        <v/>
      </c>
      <c r="AP3179" t="str">
        <f t="shared" si="360"/>
        <v>Defensive</v>
      </c>
    </row>
    <row r="3180" spans="8:42" x14ac:dyDescent="0.2">
      <c r="H3180">
        <f t="shared" si="356"/>
        <v>3</v>
      </c>
      <c r="T3180" t="str">
        <f t="shared" si="357"/>
        <v>o</v>
      </c>
      <c r="AM3180" t="str">
        <f t="shared" si="358"/>
        <v/>
      </c>
      <c r="AN3180" t="str">
        <f t="shared" si="359"/>
        <v/>
      </c>
      <c r="AP3180" t="str">
        <f t="shared" si="360"/>
        <v>Defensive</v>
      </c>
    </row>
    <row r="3181" spans="8:42" x14ac:dyDescent="0.2">
      <c r="H3181">
        <f t="shared" si="356"/>
        <v>3</v>
      </c>
      <c r="T3181" t="str">
        <f t="shared" si="357"/>
        <v>o</v>
      </c>
      <c r="AM3181" t="str">
        <f t="shared" si="358"/>
        <v/>
      </c>
      <c r="AN3181" t="str">
        <f t="shared" si="359"/>
        <v/>
      </c>
      <c r="AP3181" t="str">
        <f t="shared" si="360"/>
        <v>Defensive</v>
      </c>
    </row>
    <row r="3182" spans="8:42" x14ac:dyDescent="0.2">
      <c r="H3182">
        <f t="shared" si="356"/>
        <v>3</v>
      </c>
      <c r="T3182" t="str">
        <f t="shared" si="357"/>
        <v>o</v>
      </c>
      <c r="AM3182" t="str">
        <f t="shared" si="358"/>
        <v/>
      </c>
      <c r="AN3182" t="str">
        <f t="shared" si="359"/>
        <v/>
      </c>
      <c r="AP3182" t="str">
        <f t="shared" si="360"/>
        <v>Defensive</v>
      </c>
    </row>
    <row r="3183" spans="8:42" x14ac:dyDescent="0.2">
      <c r="H3183">
        <f t="shared" si="356"/>
        <v>3</v>
      </c>
      <c r="T3183" t="str">
        <f t="shared" si="357"/>
        <v>o</v>
      </c>
      <c r="AM3183" t="str">
        <f t="shared" si="358"/>
        <v/>
      </c>
      <c r="AN3183" t="str">
        <f t="shared" si="359"/>
        <v/>
      </c>
      <c r="AP3183" t="str">
        <f t="shared" si="360"/>
        <v>Defensive</v>
      </c>
    </row>
    <row r="3184" spans="8:42" x14ac:dyDescent="0.2">
      <c r="H3184">
        <f t="shared" si="356"/>
        <v>3</v>
      </c>
      <c r="T3184" t="str">
        <f t="shared" si="357"/>
        <v>o</v>
      </c>
      <c r="AM3184" t="str">
        <f t="shared" si="358"/>
        <v/>
      </c>
      <c r="AN3184" t="str">
        <f t="shared" si="359"/>
        <v/>
      </c>
      <c r="AP3184" t="str">
        <f t="shared" si="360"/>
        <v>Defensive</v>
      </c>
    </row>
    <row r="3185" spans="8:42" x14ac:dyDescent="0.2">
      <c r="H3185">
        <f t="shared" si="356"/>
        <v>3</v>
      </c>
      <c r="T3185" t="str">
        <f t="shared" si="357"/>
        <v>o</v>
      </c>
      <c r="AM3185" t="str">
        <f t="shared" si="358"/>
        <v/>
      </c>
      <c r="AN3185" t="str">
        <f t="shared" si="359"/>
        <v/>
      </c>
      <c r="AP3185" t="str">
        <f t="shared" si="360"/>
        <v>Defensive</v>
      </c>
    </row>
    <row r="3186" spans="8:42" x14ac:dyDescent="0.2">
      <c r="H3186">
        <f t="shared" si="356"/>
        <v>3</v>
      </c>
      <c r="T3186" t="str">
        <f t="shared" si="357"/>
        <v>o</v>
      </c>
      <c r="AM3186" t="str">
        <f t="shared" si="358"/>
        <v/>
      </c>
      <c r="AN3186" t="str">
        <f t="shared" si="359"/>
        <v/>
      </c>
      <c r="AP3186" t="str">
        <f t="shared" si="360"/>
        <v>Defensive</v>
      </c>
    </row>
    <row r="3187" spans="8:42" x14ac:dyDescent="0.2">
      <c r="H3187">
        <f t="shared" si="356"/>
        <v>3</v>
      </c>
      <c r="T3187" t="str">
        <f t="shared" si="357"/>
        <v>o</v>
      </c>
      <c r="AM3187" t="str">
        <f t="shared" si="358"/>
        <v/>
      </c>
      <c r="AN3187" t="str">
        <f t="shared" si="359"/>
        <v/>
      </c>
      <c r="AP3187" t="str">
        <f t="shared" si="360"/>
        <v>Defensive</v>
      </c>
    </row>
    <row r="3188" spans="8:42" x14ac:dyDescent="0.2">
      <c r="H3188">
        <f t="shared" si="356"/>
        <v>3</v>
      </c>
      <c r="T3188" t="str">
        <f t="shared" si="357"/>
        <v>o</v>
      </c>
      <c r="AM3188" t="str">
        <f t="shared" si="358"/>
        <v/>
      </c>
      <c r="AN3188" t="str">
        <f t="shared" si="359"/>
        <v/>
      </c>
      <c r="AP3188" t="str">
        <f t="shared" si="360"/>
        <v>Defensive</v>
      </c>
    </row>
    <row r="3189" spans="8:42" x14ac:dyDescent="0.2">
      <c r="H3189">
        <f t="shared" si="356"/>
        <v>3</v>
      </c>
      <c r="T3189" t="str">
        <f t="shared" si="357"/>
        <v>o</v>
      </c>
      <c r="AM3189" t="str">
        <f t="shared" si="358"/>
        <v/>
      </c>
      <c r="AN3189" t="str">
        <f t="shared" si="359"/>
        <v/>
      </c>
      <c r="AP3189" t="str">
        <f t="shared" si="360"/>
        <v>Defensive</v>
      </c>
    </row>
    <row r="3190" spans="8:42" x14ac:dyDescent="0.2">
      <c r="H3190">
        <f t="shared" si="356"/>
        <v>3</v>
      </c>
      <c r="T3190" t="str">
        <f t="shared" si="357"/>
        <v>o</v>
      </c>
      <c r="AM3190" t="str">
        <f t="shared" si="358"/>
        <v/>
      </c>
      <c r="AN3190" t="str">
        <f t="shared" si="359"/>
        <v/>
      </c>
      <c r="AP3190" t="str">
        <f t="shared" si="360"/>
        <v>Defensive</v>
      </c>
    </row>
    <row r="3191" spans="8:42" x14ac:dyDescent="0.2">
      <c r="H3191">
        <f t="shared" si="356"/>
        <v>3</v>
      </c>
      <c r="T3191" t="str">
        <f t="shared" si="357"/>
        <v>o</v>
      </c>
      <c r="AM3191" t="str">
        <f t="shared" si="358"/>
        <v/>
      </c>
      <c r="AN3191" t="str">
        <f t="shared" si="359"/>
        <v/>
      </c>
      <c r="AP3191" t="str">
        <f t="shared" si="360"/>
        <v>Defensive</v>
      </c>
    </row>
    <row r="3192" spans="8:42" x14ac:dyDescent="0.2">
      <c r="H3192">
        <f t="shared" si="356"/>
        <v>3</v>
      </c>
      <c r="T3192" t="str">
        <f t="shared" si="357"/>
        <v>o</v>
      </c>
      <c r="AM3192" t="str">
        <f t="shared" si="358"/>
        <v/>
      </c>
      <c r="AN3192" t="str">
        <f t="shared" si="359"/>
        <v/>
      </c>
      <c r="AP3192" t="str">
        <f t="shared" si="360"/>
        <v>Defensive</v>
      </c>
    </row>
    <row r="3193" spans="8:42" x14ac:dyDescent="0.2">
      <c r="H3193">
        <f t="shared" si="356"/>
        <v>3</v>
      </c>
      <c r="T3193" t="str">
        <f t="shared" si="357"/>
        <v>o</v>
      </c>
      <c r="AM3193" t="str">
        <f t="shared" si="358"/>
        <v/>
      </c>
      <c r="AN3193" t="str">
        <f t="shared" si="359"/>
        <v/>
      </c>
      <c r="AP3193" t="str">
        <f t="shared" si="360"/>
        <v>Defensive</v>
      </c>
    </row>
    <row r="3194" spans="8:42" x14ac:dyDescent="0.2">
      <c r="H3194">
        <f t="shared" si="356"/>
        <v>3</v>
      </c>
      <c r="T3194" t="str">
        <f t="shared" si="357"/>
        <v>o</v>
      </c>
      <c r="AM3194" t="str">
        <f t="shared" si="358"/>
        <v/>
      </c>
      <c r="AN3194" t="str">
        <f t="shared" si="359"/>
        <v/>
      </c>
      <c r="AP3194" t="str">
        <f t="shared" si="360"/>
        <v>Defensive</v>
      </c>
    </row>
    <row r="3195" spans="8:42" x14ac:dyDescent="0.2">
      <c r="H3195">
        <f t="shared" si="356"/>
        <v>3</v>
      </c>
      <c r="T3195" t="str">
        <f t="shared" si="357"/>
        <v>o</v>
      </c>
      <c r="AM3195" t="str">
        <f t="shared" si="358"/>
        <v/>
      </c>
      <c r="AN3195" t="str">
        <f t="shared" si="359"/>
        <v/>
      </c>
      <c r="AP3195" t="str">
        <f t="shared" si="360"/>
        <v>Defensive</v>
      </c>
    </row>
    <row r="3196" spans="8:42" x14ac:dyDescent="0.2">
      <c r="H3196">
        <f t="shared" si="356"/>
        <v>3</v>
      </c>
      <c r="T3196" t="str">
        <f t="shared" si="357"/>
        <v>o</v>
      </c>
      <c r="AM3196" t="str">
        <f t="shared" si="358"/>
        <v/>
      </c>
      <c r="AN3196" t="str">
        <f t="shared" si="359"/>
        <v/>
      </c>
      <c r="AP3196" t="str">
        <f t="shared" si="360"/>
        <v>Defensive</v>
      </c>
    </row>
    <row r="3197" spans="8:42" x14ac:dyDescent="0.2">
      <c r="H3197">
        <f t="shared" si="356"/>
        <v>3</v>
      </c>
      <c r="T3197" t="str">
        <f t="shared" si="357"/>
        <v>o</v>
      </c>
      <c r="AM3197" t="str">
        <f t="shared" si="358"/>
        <v/>
      </c>
      <c r="AN3197" t="str">
        <f t="shared" si="359"/>
        <v/>
      </c>
      <c r="AP3197" t="str">
        <f t="shared" si="360"/>
        <v>Defensive</v>
      </c>
    </row>
    <row r="3198" spans="8:42" x14ac:dyDescent="0.2">
      <c r="H3198">
        <f t="shared" si="356"/>
        <v>3</v>
      </c>
      <c r="T3198" t="str">
        <f t="shared" si="357"/>
        <v>o</v>
      </c>
      <c r="AM3198" t="str">
        <f t="shared" si="358"/>
        <v/>
      </c>
      <c r="AN3198" t="str">
        <f t="shared" si="359"/>
        <v/>
      </c>
      <c r="AP3198" t="str">
        <f t="shared" si="360"/>
        <v>Defensive</v>
      </c>
    </row>
    <row r="3199" spans="8:42" x14ac:dyDescent="0.2">
      <c r="H3199">
        <f t="shared" si="356"/>
        <v>3</v>
      </c>
      <c r="T3199" t="str">
        <f t="shared" si="357"/>
        <v>o</v>
      </c>
      <c r="AM3199" t="str">
        <f t="shared" si="358"/>
        <v/>
      </c>
      <c r="AN3199" t="str">
        <f t="shared" si="359"/>
        <v/>
      </c>
      <c r="AP3199" t="str">
        <f t="shared" si="360"/>
        <v>Defensive</v>
      </c>
    </row>
    <row r="3200" spans="8:42" x14ac:dyDescent="0.2">
      <c r="H3200">
        <f t="shared" si="356"/>
        <v>3</v>
      </c>
      <c r="T3200" t="str">
        <f t="shared" si="357"/>
        <v>o</v>
      </c>
      <c r="AM3200" t="str">
        <f t="shared" si="358"/>
        <v/>
      </c>
      <c r="AN3200" t="str">
        <f t="shared" si="359"/>
        <v/>
      </c>
      <c r="AP3200" t="str">
        <f t="shared" si="360"/>
        <v>Defensive</v>
      </c>
    </row>
    <row r="3201" spans="8:42" x14ac:dyDescent="0.2">
      <c r="H3201">
        <f t="shared" si="356"/>
        <v>3</v>
      </c>
      <c r="T3201" t="str">
        <f t="shared" si="357"/>
        <v>o</v>
      </c>
      <c r="AM3201" t="str">
        <f t="shared" si="358"/>
        <v/>
      </c>
      <c r="AN3201" t="str">
        <f t="shared" si="359"/>
        <v/>
      </c>
      <c r="AP3201" t="str">
        <f t="shared" si="360"/>
        <v>Defensive</v>
      </c>
    </row>
    <row r="3202" spans="8:42" x14ac:dyDescent="0.2">
      <c r="H3202">
        <f t="shared" si="356"/>
        <v>3</v>
      </c>
      <c r="T3202" t="str">
        <f t="shared" si="357"/>
        <v>o</v>
      </c>
      <c r="AM3202" t="str">
        <f t="shared" si="358"/>
        <v/>
      </c>
      <c r="AN3202" t="str">
        <f t="shared" si="359"/>
        <v/>
      </c>
      <c r="AP3202" t="str">
        <f t="shared" si="360"/>
        <v>Defensive</v>
      </c>
    </row>
    <row r="3203" spans="8:42" x14ac:dyDescent="0.2">
      <c r="H3203">
        <f t="shared" si="356"/>
        <v>3</v>
      </c>
      <c r="T3203" t="str">
        <f t="shared" si="357"/>
        <v>o</v>
      </c>
      <c r="AM3203" t="str">
        <f t="shared" si="358"/>
        <v/>
      </c>
      <c r="AN3203" t="str">
        <f t="shared" si="359"/>
        <v/>
      </c>
      <c r="AP3203" t="str">
        <f t="shared" si="360"/>
        <v>Defensive</v>
      </c>
    </row>
    <row r="3204" spans="8:42" x14ac:dyDescent="0.2">
      <c r="H3204">
        <f t="shared" si="356"/>
        <v>3</v>
      </c>
      <c r="T3204" t="str">
        <f t="shared" si="357"/>
        <v>o</v>
      </c>
      <c r="AM3204" t="str">
        <f t="shared" si="358"/>
        <v/>
      </c>
      <c r="AN3204" t="str">
        <f t="shared" si="359"/>
        <v/>
      </c>
      <c r="AP3204" t="str">
        <f t="shared" si="360"/>
        <v>Defensive</v>
      </c>
    </row>
    <row r="3205" spans="8:42" x14ac:dyDescent="0.2">
      <c r="H3205">
        <f t="shared" ref="H3205:H3226" si="361">IF(U3205="Intermission",H3204+1,H3204)</f>
        <v>3</v>
      </c>
      <c r="T3205" t="str">
        <f t="shared" si="357"/>
        <v>o</v>
      </c>
      <c r="AM3205" t="str">
        <f t="shared" si="358"/>
        <v/>
      </c>
      <c r="AN3205" t="str">
        <f t="shared" si="359"/>
        <v/>
      </c>
      <c r="AP3205" t="str">
        <f t="shared" si="360"/>
        <v>Defensive</v>
      </c>
    </row>
    <row r="3206" spans="8:42" x14ac:dyDescent="0.2">
      <c r="H3206">
        <f t="shared" si="361"/>
        <v>3</v>
      </c>
      <c r="T3206" t="str">
        <f t="shared" si="357"/>
        <v>o</v>
      </c>
      <c r="AM3206" t="str">
        <f t="shared" si="358"/>
        <v/>
      </c>
      <c r="AN3206" t="str">
        <f t="shared" si="359"/>
        <v/>
      </c>
      <c r="AP3206" t="str">
        <f t="shared" si="360"/>
        <v>Defensive</v>
      </c>
    </row>
    <row r="3207" spans="8:42" x14ac:dyDescent="0.2">
      <c r="H3207">
        <f t="shared" si="361"/>
        <v>3</v>
      </c>
      <c r="T3207" t="str">
        <f t="shared" si="357"/>
        <v>o</v>
      </c>
      <c r="AM3207" t="str">
        <f t="shared" si="358"/>
        <v/>
      </c>
      <c r="AN3207" t="str">
        <f t="shared" si="359"/>
        <v/>
      </c>
      <c r="AP3207" t="str">
        <f t="shared" si="360"/>
        <v>Defensive</v>
      </c>
    </row>
    <row r="3208" spans="8:42" x14ac:dyDescent="0.2">
      <c r="H3208">
        <f t="shared" si="361"/>
        <v>3</v>
      </c>
      <c r="T3208" t="str">
        <f t="shared" si="357"/>
        <v>o</v>
      </c>
      <c r="AM3208" t="str">
        <f t="shared" si="358"/>
        <v/>
      </c>
      <c r="AN3208" t="str">
        <f t="shared" si="359"/>
        <v/>
      </c>
      <c r="AP3208" t="str">
        <f t="shared" si="360"/>
        <v>Defensive</v>
      </c>
    </row>
    <row r="3209" spans="8:42" x14ac:dyDescent="0.2">
      <c r="H3209">
        <f t="shared" si="361"/>
        <v>3</v>
      </c>
      <c r="T3209" t="str">
        <f t="shared" si="357"/>
        <v>o</v>
      </c>
      <c r="AM3209" t="str">
        <f t="shared" si="358"/>
        <v/>
      </c>
      <c r="AN3209" t="str">
        <f t="shared" si="359"/>
        <v/>
      </c>
      <c r="AP3209" t="str">
        <f t="shared" si="360"/>
        <v>Defensive</v>
      </c>
    </row>
    <row r="3210" spans="8:42" x14ac:dyDescent="0.2">
      <c r="H3210">
        <f t="shared" si="361"/>
        <v>3</v>
      </c>
      <c r="T3210" t="str">
        <f t="shared" si="357"/>
        <v>o</v>
      </c>
      <c r="AM3210" t="str">
        <f t="shared" si="358"/>
        <v/>
      </c>
      <c r="AN3210" t="str">
        <f t="shared" si="359"/>
        <v/>
      </c>
      <c r="AP3210" t="str">
        <f t="shared" si="360"/>
        <v>Defensive</v>
      </c>
    </row>
    <row r="3211" spans="8:42" x14ac:dyDescent="0.2">
      <c r="H3211">
        <f t="shared" si="361"/>
        <v>3</v>
      </c>
      <c r="T3211" t="str">
        <f t="shared" si="357"/>
        <v>o</v>
      </c>
      <c r="AM3211" t="str">
        <f t="shared" si="358"/>
        <v/>
      </c>
      <c r="AN3211" t="str">
        <f t="shared" si="359"/>
        <v/>
      </c>
      <c r="AP3211" t="str">
        <f t="shared" si="360"/>
        <v>Defensive</v>
      </c>
    </row>
    <row r="3212" spans="8:42" x14ac:dyDescent="0.2">
      <c r="H3212">
        <f t="shared" si="361"/>
        <v>3</v>
      </c>
      <c r="T3212" t="str">
        <f t="shared" ref="T3212:T3275" si="362">IF(S3212="x","",IF(S3212=1,"e","o"))</f>
        <v>o</v>
      </c>
      <c r="AM3212" t="str">
        <f t="shared" si="358"/>
        <v/>
      </c>
      <c r="AN3212" t="str">
        <f t="shared" si="359"/>
        <v/>
      </c>
      <c r="AP3212" t="str">
        <f t="shared" si="360"/>
        <v>Defensive</v>
      </c>
    </row>
    <row r="3213" spans="8:42" x14ac:dyDescent="0.2">
      <c r="H3213">
        <f t="shared" si="361"/>
        <v>3</v>
      </c>
      <c r="T3213" t="str">
        <f t="shared" si="362"/>
        <v>o</v>
      </c>
      <c r="AM3213" t="str">
        <f t="shared" si="358"/>
        <v/>
      </c>
      <c r="AN3213" t="str">
        <f t="shared" si="359"/>
        <v/>
      </c>
      <c r="AP3213" t="str">
        <f t="shared" si="360"/>
        <v>Defensive</v>
      </c>
    </row>
    <row r="3214" spans="8:42" x14ac:dyDescent="0.2">
      <c r="H3214">
        <f t="shared" si="361"/>
        <v>3</v>
      </c>
      <c r="T3214" t="str">
        <f t="shared" si="362"/>
        <v>o</v>
      </c>
      <c r="AM3214" t="str">
        <f t="shared" si="358"/>
        <v/>
      </c>
      <c r="AN3214" t="str">
        <f t="shared" si="359"/>
        <v/>
      </c>
      <c r="AP3214" t="str">
        <f t="shared" si="360"/>
        <v>Defensive</v>
      </c>
    </row>
    <row r="3215" spans="8:42" x14ac:dyDescent="0.2">
      <c r="H3215">
        <f t="shared" si="361"/>
        <v>3</v>
      </c>
      <c r="T3215" t="str">
        <f t="shared" si="362"/>
        <v>o</v>
      </c>
      <c r="AM3215" t="str">
        <f t="shared" ref="AM3215:AM3278" si="363">IF(U3215&lt;&gt;"",U3215,IF($A3215=$A3214,AM3214,""))</f>
        <v/>
      </c>
      <c r="AN3215" t="str">
        <f t="shared" ref="AN3215:AN3278" si="364">IF(V3215&lt;&gt;"",V3215,IF($A3215=$A3214,AN3214,""))</f>
        <v/>
      </c>
      <c r="AP3215" t="str">
        <f t="shared" ref="AP3215:AP3278" si="365">IF(AND(T3215="e",OR(AM3215="Save",AN3215="Turnover_Takeaway",AN3215="Play_Defensive")),"Defensive",IF(AND(T3215="o",OR(AM3215="Save",AN3215="Turnover_Takeaway",AN3215="Play_Defensive")),"Offensive",IF(OR(AM3215="Deadice",AM3215="Stoppage",AM3215="Intermission"),"",IF(T3215="e","Offensive",IF(T3215="o","Defensive","")))))</f>
        <v>Defensive</v>
      </c>
    </row>
    <row r="3216" spans="8:42" x14ac:dyDescent="0.2">
      <c r="H3216">
        <f t="shared" si="361"/>
        <v>3</v>
      </c>
      <c r="T3216" t="str">
        <f t="shared" si="362"/>
        <v>o</v>
      </c>
      <c r="AM3216" t="str">
        <f t="shared" si="363"/>
        <v/>
      </c>
      <c r="AN3216" t="str">
        <f t="shared" si="364"/>
        <v/>
      </c>
      <c r="AP3216" t="str">
        <f t="shared" si="365"/>
        <v>Defensive</v>
      </c>
    </row>
    <row r="3217" spans="8:42" x14ac:dyDescent="0.2">
      <c r="H3217">
        <f t="shared" si="361"/>
        <v>3</v>
      </c>
      <c r="T3217" t="str">
        <f t="shared" si="362"/>
        <v>o</v>
      </c>
      <c r="AM3217" t="str">
        <f t="shared" si="363"/>
        <v/>
      </c>
      <c r="AN3217" t="str">
        <f t="shared" si="364"/>
        <v/>
      </c>
      <c r="AP3217" t="str">
        <f t="shared" si="365"/>
        <v>Defensive</v>
      </c>
    </row>
    <row r="3218" spans="8:42" x14ac:dyDescent="0.2">
      <c r="H3218">
        <f t="shared" si="361"/>
        <v>3</v>
      </c>
      <c r="T3218" t="str">
        <f t="shared" si="362"/>
        <v>o</v>
      </c>
      <c r="AM3218" t="str">
        <f t="shared" si="363"/>
        <v/>
      </c>
      <c r="AN3218" t="str">
        <f t="shared" si="364"/>
        <v/>
      </c>
      <c r="AP3218" t="str">
        <f t="shared" si="365"/>
        <v>Defensive</v>
      </c>
    </row>
    <row r="3219" spans="8:42" x14ac:dyDescent="0.2">
      <c r="H3219">
        <f t="shared" si="361"/>
        <v>3</v>
      </c>
      <c r="T3219" t="str">
        <f t="shared" si="362"/>
        <v>o</v>
      </c>
      <c r="AM3219" t="str">
        <f t="shared" si="363"/>
        <v/>
      </c>
      <c r="AN3219" t="str">
        <f t="shared" si="364"/>
        <v/>
      </c>
      <c r="AP3219" t="str">
        <f t="shared" si="365"/>
        <v>Defensive</v>
      </c>
    </row>
    <row r="3220" spans="8:42" x14ac:dyDescent="0.2">
      <c r="H3220">
        <f t="shared" si="361"/>
        <v>3</v>
      </c>
      <c r="T3220" t="str">
        <f t="shared" si="362"/>
        <v>o</v>
      </c>
      <c r="AM3220" t="str">
        <f t="shared" si="363"/>
        <v/>
      </c>
      <c r="AN3220" t="str">
        <f t="shared" si="364"/>
        <v/>
      </c>
      <c r="AP3220" t="str">
        <f t="shared" si="365"/>
        <v>Defensive</v>
      </c>
    </row>
    <row r="3221" spans="8:42" x14ac:dyDescent="0.2">
      <c r="H3221">
        <f t="shared" si="361"/>
        <v>3</v>
      </c>
      <c r="T3221" t="str">
        <f t="shared" si="362"/>
        <v>o</v>
      </c>
      <c r="AM3221" t="str">
        <f t="shared" si="363"/>
        <v/>
      </c>
      <c r="AN3221" t="str">
        <f t="shared" si="364"/>
        <v/>
      </c>
      <c r="AP3221" t="str">
        <f t="shared" si="365"/>
        <v>Defensive</v>
      </c>
    </row>
    <row r="3222" spans="8:42" x14ac:dyDescent="0.2">
      <c r="H3222">
        <f t="shared" si="361"/>
        <v>3</v>
      </c>
      <c r="T3222" t="str">
        <f t="shared" si="362"/>
        <v>o</v>
      </c>
      <c r="AM3222" t="str">
        <f t="shared" si="363"/>
        <v/>
      </c>
      <c r="AN3222" t="str">
        <f t="shared" si="364"/>
        <v/>
      </c>
      <c r="AP3222" t="str">
        <f t="shared" si="365"/>
        <v>Defensive</v>
      </c>
    </row>
    <row r="3223" spans="8:42" x14ac:dyDescent="0.2">
      <c r="H3223">
        <f t="shared" si="361"/>
        <v>3</v>
      </c>
      <c r="T3223" t="str">
        <f t="shared" si="362"/>
        <v>o</v>
      </c>
      <c r="AM3223" t="str">
        <f t="shared" si="363"/>
        <v/>
      </c>
      <c r="AN3223" t="str">
        <f t="shared" si="364"/>
        <v/>
      </c>
      <c r="AP3223" t="str">
        <f t="shared" si="365"/>
        <v>Defensive</v>
      </c>
    </row>
    <row r="3224" spans="8:42" x14ac:dyDescent="0.2">
      <c r="H3224">
        <f t="shared" si="361"/>
        <v>3</v>
      </c>
      <c r="T3224" t="str">
        <f t="shared" si="362"/>
        <v>o</v>
      </c>
      <c r="AM3224" t="str">
        <f t="shared" si="363"/>
        <v/>
      </c>
      <c r="AN3224" t="str">
        <f t="shared" si="364"/>
        <v/>
      </c>
      <c r="AP3224" t="str">
        <f t="shared" si="365"/>
        <v>Defensive</v>
      </c>
    </row>
    <row r="3225" spans="8:42" x14ac:dyDescent="0.2">
      <c r="H3225">
        <f t="shared" si="361"/>
        <v>3</v>
      </c>
      <c r="T3225" t="str">
        <f t="shared" si="362"/>
        <v>o</v>
      </c>
      <c r="AM3225" t="str">
        <f t="shared" si="363"/>
        <v/>
      </c>
      <c r="AN3225" t="str">
        <f t="shared" si="364"/>
        <v/>
      </c>
      <c r="AP3225" t="str">
        <f t="shared" si="365"/>
        <v>Defensive</v>
      </c>
    </row>
    <row r="3226" spans="8:42" x14ac:dyDescent="0.2">
      <c r="H3226">
        <f t="shared" si="361"/>
        <v>3</v>
      </c>
      <c r="T3226" t="str">
        <f t="shared" si="362"/>
        <v>o</v>
      </c>
      <c r="AM3226" t="str">
        <f t="shared" si="363"/>
        <v/>
      </c>
      <c r="AN3226" t="str">
        <f t="shared" si="364"/>
        <v/>
      </c>
      <c r="AP3226" t="str">
        <f t="shared" si="365"/>
        <v>Defensive</v>
      </c>
    </row>
    <row r="3227" spans="8:42" x14ac:dyDescent="0.2">
      <c r="T3227" t="str">
        <f t="shared" si="362"/>
        <v>o</v>
      </c>
      <c r="AM3227" t="str">
        <f t="shared" si="363"/>
        <v/>
      </c>
      <c r="AN3227" t="str">
        <f t="shared" si="364"/>
        <v/>
      </c>
      <c r="AP3227" t="str">
        <f t="shared" si="365"/>
        <v>Defensive</v>
      </c>
    </row>
    <row r="3228" spans="8:42" x14ac:dyDescent="0.2">
      <c r="T3228" t="str">
        <f t="shared" si="362"/>
        <v>o</v>
      </c>
      <c r="AM3228" t="str">
        <f t="shared" si="363"/>
        <v/>
      </c>
      <c r="AN3228" t="str">
        <f t="shared" si="364"/>
        <v/>
      </c>
      <c r="AP3228" t="str">
        <f t="shared" si="365"/>
        <v>Defensive</v>
      </c>
    </row>
    <row r="3229" spans="8:42" x14ac:dyDescent="0.2">
      <c r="T3229" t="str">
        <f t="shared" si="362"/>
        <v>o</v>
      </c>
      <c r="AM3229" t="str">
        <f t="shared" si="363"/>
        <v/>
      </c>
      <c r="AN3229" t="str">
        <f t="shared" si="364"/>
        <v/>
      </c>
      <c r="AP3229" t="str">
        <f t="shared" si="365"/>
        <v>Defensive</v>
      </c>
    </row>
    <row r="3230" spans="8:42" x14ac:dyDescent="0.2">
      <c r="T3230" t="str">
        <f t="shared" si="362"/>
        <v>o</v>
      </c>
      <c r="AM3230" t="str">
        <f t="shared" si="363"/>
        <v/>
      </c>
      <c r="AN3230" t="str">
        <f t="shared" si="364"/>
        <v/>
      </c>
      <c r="AP3230" t="str">
        <f t="shared" si="365"/>
        <v>Defensive</v>
      </c>
    </row>
    <row r="3231" spans="8:42" x14ac:dyDescent="0.2">
      <c r="T3231" t="str">
        <f t="shared" si="362"/>
        <v>o</v>
      </c>
      <c r="AM3231" t="str">
        <f t="shared" si="363"/>
        <v/>
      </c>
      <c r="AN3231" t="str">
        <f t="shared" si="364"/>
        <v/>
      </c>
      <c r="AP3231" t="str">
        <f t="shared" si="365"/>
        <v>Defensive</v>
      </c>
    </row>
    <row r="3232" spans="8:42" x14ac:dyDescent="0.2">
      <c r="T3232" t="str">
        <f t="shared" si="362"/>
        <v>o</v>
      </c>
      <c r="AM3232" t="str">
        <f t="shared" si="363"/>
        <v/>
      </c>
      <c r="AN3232" t="str">
        <f t="shared" si="364"/>
        <v/>
      </c>
      <c r="AP3232" t="str">
        <f t="shared" si="365"/>
        <v>Defensive</v>
      </c>
    </row>
    <row r="3233" spans="20:42" x14ac:dyDescent="0.2">
      <c r="T3233" t="str">
        <f t="shared" si="362"/>
        <v>o</v>
      </c>
      <c r="AM3233" t="str">
        <f t="shared" si="363"/>
        <v/>
      </c>
      <c r="AN3233" t="str">
        <f t="shared" si="364"/>
        <v/>
      </c>
      <c r="AP3233" t="str">
        <f t="shared" si="365"/>
        <v>Defensive</v>
      </c>
    </row>
    <row r="3234" spans="20:42" x14ac:dyDescent="0.2">
      <c r="T3234" t="str">
        <f t="shared" si="362"/>
        <v>o</v>
      </c>
      <c r="AM3234" t="str">
        <f t="shared" si="363"/>
        <v/>
      </c>
      <c r="AN3234" t="str">
        <f t="shared" si="364"/>
        <v/>
      </c>
      <c r="AP3234" t="str">
        <f t="shared" si="365"/>
        <v>Defensive</v>
      </c>
    </row>
    <row r="3235" spans="20:42" x14ac:dyDescent="0.2">
      <c r="T3235" t="str">
        <f t="shared" si="362"/>
        <v>o</v>
      </c>
      <c r="AM3235" t="str">
        <f t="shared" si="363"/>
        <v/>
      </c>
      <c r="AN3235" t="str">
        <f t="shared" si="364"/>
        <v/>
      </c>
      <c r="AP3235" t="str">
        <f t="shared" si="365"/>
        <v>Defensive</v>
      </c>
    </row>
    <row r="3236" spans="20:42" x14ac:dyDescent="0.2">
      <c r="T3236" t="str">
        <f t="shared" si="362"/>
        <v>o</v>
      </c>
      <c r="AM3236" t="str">
        <f t="shared" si="363"/>
        <v/>
      </c>
      <c r="AN3236" t="str">
        <f t="shared" si="364"/>
        <v/>
      </c>
      <c r="AP3236" t="str">
        <f t="shared" si="365"/>
        <v>Defensive</v>
      </c>
    </row>
    <row r="3237" spans="20:42" x14ac:dyDescent="0.2">
      <c r="T3237" t="str">
        <f t="shared" si="362"/>
        <v>o</v>
      </c>
      <c r="AM3237" t="str">
        <f t="shared" si="363"/>
        <v/>
      </c>
      <c r="AN3237" t="str">
        <f t="shared" si="364"/>
        <v/>
      </c>
      <c r="AP3237" t="str">
        <f t="shared" si="365"/>
        <v>Defensive</v>
      </c>
    </row>
    <row r="3238" spans="20:42" x14ac:dyDescent="0.2">
      <c r="T3238" t="str">
        <f t="shared" si="362"/>
        <v>o</v>
      </c>
      <c r="AM3238" t="str">
        <f t="shared" si="363"/>
        <v/>
      </c>
      <c r="AN3238" t="str">
        <f t="shared" si="364"/>
        <v/>
      </c>
      <c r="AP3238" t="str">
        <f t="shared" si="365"/>
        <v>Defensive</v>
      </c>
    </row>
    <row r="3239" spans="20:42" x14ac:dyDescent="0.2">
      <c r="T3239" t="str">
        <f t="shared" si="362"/>
        <v>o</v>
      </c>
      <c r="AM3239" t="str">
        <f t="shared" si="363"/>
        <v/>
      </c>
      <c r="AN3239" t="str">
        <f t="shared" si="364"/>
        <v/>
      </c>
      <c r="AP3239" t="str">
        <f t="shared" si="365"/>
        <v>Defensive</v>
      </c>
    </row>
    <row r="3240" spans="20:42" x14ac:dyDescent="0.2">
      <c r="T3240" t="str">
        <f t="shared" si="362"/>
        <v>o</v>
      </c>
      <c r="AM3240" t="str">
        <f t="shared" si="363"/>
        <v/>
      </c>
      <c r="AN3240" t="str">
        <f t="shared" si="364"/>
        <v/>
      </c>
      <c r="AP3240" t="str">
        <f t="shared" si="365"/>
        <v>Defensive</v>
      </c>
    </row>
    <row r="3241" spans="20:42" x14ac:dyDescent="0.2">
      <c r="T3241" t="str">
        <f t="shared" si="362"/>
        <v>o</v>
      </c>
      <c r="AM3241" t="str">
        <f t="shared" si="363"/>
        <v/>
      </c>
      <c r="AN3241" t="str">
        <f t="shared" si="364"/>
        <v/>
      </c>
      <c r="AP3241" t="str">
        <f t="shared" si="365"/>
        <v>Defensive</v>
      </c>
    </row>
    <row r="3242" spans="20:42" x14ac:dyDescent="0.2">
      <c r="T3242" t="str">
        <f t="shared" si="362"/>
        <v>o</v>
      </c>
      <c r="AM3242" t="str">
        <f t="shared" si="363"/>
        <v/>
      </c>
      <c r="AN3242" t="str">
        <f t="shared" si="364"/>
        <v/>
      </c>
      <c r="AP3242" t="str">
        <f t="shared" si="365"/>
        <v>Defensive</v>
      </c>
    </row>
    <row r="3243" spans="20:42" x14ac:dyDescent="0.2">
      <c r="T3243" t="str">
        <f t="shared" si="362"/>
        <v>o</v>
      </c>
      <c r="AM3243" t="str">
        <f t="shared" si="363"/>
        <v/>
      </c>
      <c r="AN3243" t="str">
        <f t="shared" si="364"/>
        <v/>
      </c>
      <c r="AP3243" t="str">
        <f t="shared" si="365"/>
        <v>Defensive</v>
      </c>
    </row>
    <row r="3244" spans="20:42" x14ac:dyDescent="0.2">
      <c r="T3244" t="str">
        <f t="shared" si="362"/>
        <v>o</v>
      </c>
      <c r="AM3244" t="str">
        <f t="shared" si="363"/>
        <v/>
      </c>
      <c r="AN3244" t="str">
        <f t="shared" si="364"/>
        <v/>
      </c>
      <c r="AP3244" t="str">
        <f t="shared" si="365"/>
        <v>Defensive</v>
      </c>
    </row>
    <row r="3245" spans="20:42" x14ac:dyDescent="0.2">
      <c r="T3245" t="str">
        <f t="shared" si="362"/>
        <v>o</v>
      </c>
      <c r="AM3245" t="str">
        <f t="shared" si="363"/>
        <v/>
      </c>
      <c r="AN3245" t="str">
        <f t="shared" si="364"/>
        <v/>
      </c>
      <c r="AP3245" t="str">
        <f t="shared" si="365"/>
        <v>Defensive</v>
      </c>
    </row>
    <row r="3246" spans="20:42" x14ac:dyDescent="0.2">
      <c r="T3246" t="str">
        <f t="shared" si="362"/>
        <v>o</v>
      </c>
      <c r="AM3246" t="str">
        <f t="shared" si="363"/>
        <v/>
      </c>
      <c r="AN3246" t="str">
        <f t="shared" si="364"/>
        <v/>
      </c>
      <c r="AP3246" t="str">
        <f t="shared" si="365"/>
        <v>Defensive</v>
      </c>
    </row>
    <row r="3247" spans="20:42" x14ac:dyDescent="0.2">
      <c r="T3247" t="str">
        <f t="shared" si="362"/>
        <v>o</v>
      </c>
      <c r="AM3247" t="str">
        <f t="shared" si="363"/>
        <v/>
      </c>
      <c r="AN3247" t="str">
        <f t="shared" si="364"/>
        <v/>
      </c>
      <c r="AP3247" t="str">
        <f t="shared" si="365"/>
        <v>Defensive</v>
      </c>
    </row>
    <row r="3248" spans="20:42" x14ac:dyDescent="0.2">
      <c r="T3248" t="str">
        <f t="shared" si="362"/>
        <v>o</v>
      </c>
      <c r="AM3248" t="str">
        <f t="shared" si="363"/>
        <v/>
      </c>
      <c r="AN3248" t="str">
        <f t="shared" si="364"/>
        <v/>
      </c>
      <c r="AP3248" t="str">
        <f t="shared" si="365"/>
        <v>Defensive</v>
      </c>
    </row>
    <row r="3249" spans="20:42" x14ac:dyDescent="0.2">
      <c r="T3249" t="str">
        <f t="shared" si="362"/>
        <v>o</v>
      </c>
      <c r="AM3249" t="str">
        <f t="shared" si="363"/>
        <v/>
      </c>
      <c r="AN3249" t="str">
        <f t="shared" si="364"/>
        <v/>
      </c>
      <c r="AP3249" t="str">
        <f t="shared" si="365"/>
        <v>Defensive</v>
      </c>
    </row>
    <row r="3250" spans="20:42" x14ac:dyDescent="0.2">
      <c r="T3250" t="str">
        <f t="shared" si="362"/>
        <v>o</v>
      </c>
      <c r="AM3250" t="str">
        <f t="shared" si="363"/>
        <v/>
      </c>
      <c r="AN3250" t="str">
        <f t="shared" si="364"/>
        <v/>
      </c>
      <c r="AP3250" t="str">
        <f t="shared" si="365"/>
        <v>Defensive</v>
      </c>
    </row>
    <row r="3251" spans="20:42" x14ac:dyDescent="0.2">
      <c r="T3251" t="str">
        <f t="shared" si="362"/>
        <v>o</v>
      </c>
      <c r="AM3251" t="str">
        <f t="shared" si="363"/>
        <v/>
      </c>
      <c r="AN3251" t="str">
        <f t="shared" si="364"/>
        <v/>
      </c>
      <c r="AP3251" t="str">
        <f t="shared" si="365"/>
        <v>Defensive</v>
      </c>
    </row>
    <row r="3252" spans="20:42" x14ac:dyDescent="0.2">
      <c r="T3252" t="str">
        <f t="shared" si="362"/>
        <v>o</v>
      </c>
      <c r="AM3252" t="str">
        <f t="shared" si="363"/>
        <v/>
      </c>
      <c r="AN3252" t="str">
        <f t="shared" si="364"/>
        <v/>
      </c>
      <c r="AP3252" t="str">
        <f t="shared" si="365"/>
        <v>Defensive</v>
      </c>
    </row>
    <row r="3253" spans="20:42" x14ac:dyDescent="0.2">
      <c r="T3253" t="str">
        <f t="shared" si="362"/>
        <v>o</v>
      </c>
      <c r="AM3253" t="str">
        <f t="shared" si="363"/>
        <v/>
      </c>
      <c r="AN3253" t="str">
        <f t="shared" si="364"/>
        <v/>
      </c>
      <c r="AP3253" t="str">
        <f t="shared" si="365"/>
        <v>Defensive</v>
      </c>
    </row>
    <row r="3254" spans="20:42" x14ac:dyDescent="0.2">
      <c r="T3254" t="str">
        <f t="shared" si="362"/>
        <v>o</v>
      </c>
      <c r="AM3254" t="str">
        <f t="shared" si="363"/>
        <v/>
      </c>
      <c r="AN3254" t="str">
        <f t="shared" si="364"/>
        <v/>
      </c>
      <c r="AP3254" t="str">
        <f t="shared" si="365"/>
        <v>Defensive</v>
      </c>
    </row>
    <row r="3255" spans="20:42" x14ac:dyDescent="0.2">
      <c r="T3255" t="str">
        <f t="shared" si="362"/>
        <v>o</v>
      </c>
      <c r="AM3255" t="str">
        <f t="shared" si="363"/>
        <v/>
      </c>
      <c r="AN3255" t="str">
        <f t="shared" si="364"/>
        <v/>
      </c>
      <c r="AP3255" t="str">
        <f t="shared" si="365"/>
        <v>Defensive</v>
      </c>
    </row>
    <row r="3256" spans="20:42" x14ac:dyDescent="0.2">
      <c r="T3256" t="str">
        <f t="shared" si="362"/>
        <v>o</v>
      </c>
      <c r="AM3256" t="str">
        <f t="shared" si="363"/>
        <v/>
      </c>
      <c r="AN3256" t="str">
        <f t="shared" si="364"/>
        <v/>
      </c>
      <c r="AP3256" t="str">
        <f t="shared" si="365"/>
        <v>Defensive</v>
      </c>
    </row>
    <row r="3257" spans="20:42" x14ac:dyDescent="0.2">
      <c r="T3257" t="str">
        <f t="shared" si="362"/>
        <v>o</v>
      </c>
      <c r="AM3257" t="str">
        <f t="shared" si="363"/>
        <v/>
      </c>
      <c r="AN3257" t="str">
        <f t="shared" si="364"/>
        <v/>
      </c>
      <c r="AP3257" t="str">
        <f t="shared" si="365"/>
        <v>Defensive</v>
      </c>
    </row>
    <row r="3258" spans="20:42" x14ac:dyDescent="0.2">
      <c r="T3258" t="str">
        <f t="shared" si="362"/>
        <v>o</v>
      </c>
      <c r="AM3258" t="str">
        <f t="shared" si="363"/>
        <v/>
      </c>
      <c r="AN3258" t="str">
        <f t="shared" si="364"/>
        <v/>
      </c>
      <c r="AP3258" t="str">
        <f t="shared" si="365"/>
        <v>Defensive</v>
      </c>
    </row>
    <row r="3259" spans="20:42" x14ac:dyDescent="0.2">
      <c r="T3259" t="str">
        <f t="shared" si="362"/>
        <v>o</v>
      </c>
      <c r="AM3259" t="str">
        <f t="shared" si="363"/>
        <v/>
      </c>
      <c r="AN3259" t="str">
        <f t="shared" si="364"/>
        <v/>
      </c>
      <c r="AP3259" t="str">
        <f t="shared" si="365"/>
        <v>Defensive</v>
      </c>
    </row>
    <row r="3260" spans="20:42" x14ac:dyDescent="0.2">
      <c r="T3260" t="str">
        <f t="shared" si="362"/>
        <v>o</v>
      </c>
      <c r="AM3260" t="str">
        <f t="shared" si="363"/>
        <v/>
      </c>
      <c r="AN3260" t="str">
        <f t="shared" si="364"/>
        <v/>
      </c>
      <c r="AP3260" t="str">
        <f t="shared" si="365"/>
        <v>Defensive</v>
      </c>
    </row>
    <row r="3261" spans="20:42" x14ac:dyDescent="0.2">
      <c r="T3261" t="str">
        <f t="shared" si="362"/>
        <v>o</v>
      </c>
      <c r="AM3261" t="str">
        <f t="shared" si="363"/>
        <v/>
      </c>
      <c r="AN3261" t="str">
        <f t="shared" si="364"/>
        <v/>
      </c>
      <c r="AP3261" t="str">
        <f t="shared" si="365"/>
        <v>Defensive</v>
      </c>
    </row>
    <row r="3262" spans="20:42" x14ac:dyDescent="0.2">
      <c r="T3262" t="str">
        <f t="shared" si="362"/>
        <v>o</v>
      </c>
      <c r="AM3262" t="str">
        <f t="shared" si="363"/>
        <v/>
      </c>
      <c r="AN3262" t="str">
        <f t="shared" si="364"/>
        <v/>
      </c>
      <c r="AP3262" t="str">
        <f t="shared" si="365"/>
        <v>Defensive</v>
      </c>
    </row>
    <row r="3263" spans="20:42" x14ac:dyDescent="0.2">
      <c r="T3263" t="str">
        <f t="shared" si="362"/>
        <v>o</v>
      </c>
      <c r="AM3263" t="str">
        <f t="shared" si="363"/>
        <v/>
      </c>
      <c r="AN3263" t="str">
        <f t="shared" si="364"/>
        <v/>
      </c>
      <c r="AP3263" t="str">
        <f t="shared" si="365"/>
        <v>Defensive</v>
      </c>
    </row>
    <row r="3264" spans="20:42" x14ac:dyDescent="0.2">
      <c r="T3264" t="str">
        <f t="shared" si="362"/>
        <v>o</v>
      </c>
      <c r="AM3264" t="str">
        <f t="shared" si="363"/>
        <v/>
      </c>
      <c r="AN3264" t="str">
        <f t="shared" si="364"/>
        <v/>
      </c>
      <c r="AP3264" t="str">
        <f t="shared" si="365"/>
        <v>Defensive</v>
      </c>
    </row>
    <row r="3265" spans="20:42" x14ac:dyDescent="0.2">
      <c r="T3265" t="str">
        <f t="shared" si="362"/>
        <v>o</v>
      </c>
      <c r="AM3265" t="str">
        <f t="shared" si="363"/>
        <v/>
      </c>
      <c r="AN3265" t="str">
        <f t="shared" si="364"/>
        <v/>
      </c>
      <c r="AP3265" t="str">
        <f t="shared" si="365"/>
        <v>Defensive</v>
      </c>
    </row>
    <row r="3266" spans="20:42" x14ac:dyDescent="0.2">
      <c r="T3266" t="str">
        <f t="shared" si="362"/>
        <v>o</v>
      </c>
      <c r="AM3266" t="str">
        <f t="shared" si="363"/>
        <v/>
      </c>
      <c r="AN3266" t="str">
        <f t="shared" si="364"/>
        <v/>
      </c>
      <c r="AP3266" t="str">
        <f t="shared" si="365"/>
        <v>Defensive</v>
      </c>
    </row>
    <row r="3267" spans="20:42" x14ac:dyDescent="0.2">
      <c r="T3267" t="str">
        <f t="shared" si="362"/>
        <v>o</v>
      </c>
      <c r="AM3267" t="str">
        <f t="shared" si="363"/>
        <v/>
      </c>
      <c r="AN3267" t="str">
        <f t="shared" si="364"/>
        <v/>
      </c>
      <c r="AP3267" t="str">
        <f t="shared" si="365"/>
        <v>Defensive</v>
      </c>
    </row>
    <row r="3268" spans="20:42" x14ac:dyDescent="0.2">
      <c r="T3268" t="str">
        <f t="shared" si="362"/>
        <v>o</v>
      </c>
      <c r="AM3268" t="str">
        <f t="shared" si="363"/>
        <v/>
      </c>
      <c r="AN3268" t="str">
        <f t="shared" si="364"/>
        <v/>
      </c>
      <c r="AP3268" t="str">
        <f t="shared" si="365"/>
        <v>Defensive</v>
      </c>
    </row>
    <row r="3269" spans="20:42" x14ac:dyDescent="0.2">
      <c r="T3269" t="str">
        <f t="shared" si="362"/>
        <v>o</v>
      </c>
      <c r="AM3269" t="str">
        <f t="shared" si="363"/>
        <v/>
      </c>
      <c r="AN3269" t="str">
        <f t="shared" si="364"/>
        <v/>
      </c>
      <c r="AP3269" t="str">
        <f t="shared" si="365"/>
        <v>Defensive</v>
      </c>
    </row>
    <row r="3270" spans="20:42" x14ac:dyDescent="0.2">
      <c r="T3270" t="str">
        <f t="shared" si="362"/>
        <v>o</v>
      </c>
      <c r="AM3270" t="str">
        <f t="shared" si="363"/>
        <v/>
      </c>
      <c r="AN3270" t="str">
        <f t="shared" si="364"/>
        <v/>
      </c>
      <c r="AP3270" t="str">
        <f t="shared" si="365"/>
        <v>Defensive</v>
      </c>
    </row>
    <row r="3271" spans="20:42" x14ac:dyDescent="0.2">
      <c r="T3271" t="str">
        <f t="shared" si="362"/>
        <v>o</v>
      </c>
      <c r="AM3271" t="str">
        <f t="shared" si="363"/>
        <v/>
      </c>
      <c r="AN3271" t="str">
        <f t="shared" si="364"/>
        <v/>
      </c>
      <c r="AP3271" t="str">
        <f t="shared" si="365"/>
        <v>Defensive</v>
      </c>
    </row>
    <row r="3272" spans="20:42" x14ac:dyDescent="0.2">
      <c r="T3272" t="str">
        <f t="shared" si="362"/>
        <v>o</v>
      </c>
      <c r="AM3272" t="str">
        <f t="shared" si="363"/>
        <v/>
      </c>
      <c r="AN3272" t="str">
        <f t="shared" si="364"/>
        <v/>
      </c>
      <c r="AP3272" t="str">
        <f t="shared" si="365"/>
        <v>Defensive</v>
      </c>
    </row>
    <row r="3273" spans="20:42" x14ac:dyDescent="0.2">
      <c r="T3273" t="str">
        <f t="shared" si="362"/>
        <v>o</v>
      </c>
      <c r="AM3273" t="str">
        <f t="shared" si="363"/>
        <v/>
      </c>
      <c r="AN3273" t="str">
        <f t="shared" si="364"/>
        <v/>
      </c>
      <c r="AP3273" t="str">
        <f t="shared" si="365"/>
        <v>Defensive</v>
      </c>
    </row>
    <row r="3274" spans="20:42" x14ac:dyDescent="0.2">
      <c r="T3274" t="str">
        <f t="shared" si="362"/>
        <v>o</v>
      </c>
      <c r="AM3274" t="str">
        <f t="shared" si="363"/>
        <v/>
      </c>
      <c r="AN3274" t="str">
        <f t="shared" si="364"/>
        <v/>
      </c>
      <c r="AP3274" t="str">
        <f t="shared" si="365"/>
        <v>Defensive</v>
      </c>
    </row>
    <row r="3275" spans="20:42" x14ac:dyDescent="0.2">
      <c r="T3275" t="str">
        <f t="shared" si="362"/>
        <v>o</v>
      </c>
      <c r="AM3275" t="str">
        <f t="shared" si="363"/>
        <v/>
      </c>
      <c r="AN3275" t="str">
        <f t="shared" si="364"/>
        <v/>
      </c>
      <c r="AP3275" t="str">
        <f t="shared" si="365"/>
        <v>Defensive</v>
      </c>
    </row>
    <row r="3276" spans="20:42" x14ac:dyDescent="0.2">
      <c r="T3276" t="str">
        <f t="shared" ref="T3276:T3339" si="366">IF(S3276="x","",IF(S3276=1,"e","o"))</f>
        <v>o</v>
      </c>
      <c r="AM3276" t="str">
        <f t="shared" si="363"/>
        <v/>
      </c>
      <c r="AN3276" t="str">
        <f t="shared" si="364"/>
        <v/>
      </c>
      <c r="AP3276" t="str">
        <f t="shared" si="365"/>
        <v>Defensive</v>
      </c>
    </row>
    <row r="3277" spans="20:42" x14ac:dyDescent="0.2">
      <c r="T3277" t="str">
        <f t="shared" si="366"/>
        <v>o</v>
      </c>
      <c r="AM3277" t="str">
        <f t="shared" si="363"/>
        <v/>
      </c>
      <c r="AN3277" t="str">
        <f t="shared" si="364"/>
        <v/>
      </c>
      <c r="AP3277" t="str">
        <f t="shared" si="365"/>
        <v>Defensive</v>
      </c>
    </row>
    <row r="3278" spans="20:42" x14ac:dyDescent="0.2">
      <c r="T3278" t="str">
        <f t="shared" si="366"/>
        <v>o</v>
      </c>
      <c r="AM3278" t="str">
        <f t="shared" si="363"/>
        <v/>
      </c>
      <c r="AN3278" t="str">
        <f t="shared" si="364"/>
        <v/>
      </c>
      <c r="AP3278" t="str">
        <f t="shared" si="365"/>
        <v>Defensive</v>
      </c>
    </row>
    <row r="3279" spans="20:42" x14ac:dyDescent="0.2">
      <c r="T3279" t="str">
        <f t="shared" si="366"/>
        <v>o</v>
      </c>
      <c r="AM3279" t="str">
        <f t="shared" ref="AM3279:AM3342" si="367">IF(U3279&lt;&gt;"",U3279,IF($A3279=$A3278,AM3278,""))</f>
        <v/>
      </c>
      <c r="AN3279" t="str">
        <f t="shared" ref="AN3279:AN3342" si="368">IF(V3279&lt;&gt;"",V3279,IF($A3279=$A3278,AN3278,""))</f>
        <v/>
      </c>
      <c r="AP3279" t="str">
        <f t="shared" ref="AP3279:AP3342" si="369">IF(AND(T3279="e",OR(AM3279="Save",AN3279="Turnover_Takeaway",AN3279="Play_Defensive")),"Defensive",IF(AND(T3279="o",OR(AM3279="Save",AN3279="Turnover_Takeaway",AN3279="Play_Defensive")),"Offensive",IF(OR(AM3279="Deadice",AM3279="Stoppage",AM3279="Intermission"),"",IF(T3279="e","Offensive",IF(T3279="o","Defensive","")))))</f>
        <v>Defensive</v>
      </c>
    </row>
    <row r="3280" spans="20:42" x14ac:dyDescent="0.2">
      <c r="T3280" t="str">
        <f t="shared" si="366"/>
        <v>o</v>
      </c>
      <c r="AM3280" t="str">
        <f t="shared" si="367"/>
        <v/>
      </c>
      <c r="AN3280" t="str">
        <f t="shared" si="368"/>
        <v/>
      </c>
      <c r="AP3280" t="str">
        <f t="shared" si="369"/>
        <v>Defensive</v>
      </c>
    </row>
    <row r="3281" spans="20:42" x14ac:dyDescent="0.2">
      <c r="T3281" t="str">
        <f t="shared" si="366"/>
        <v>o</v>
      </c>
      <c r="AM3281" t="str">
        <f t="shared" si="367"/>
        <v/>
      </c>
      <c r="AN3281" t="str">
        <f t="shared" si="368"/>
        <v/>
      </c>
      <c r="AP3281" t="str">
        <f t="shared" si="369"/>
        <v>Defensive</v>
      </c>
    </row>
    <row r="3282" spans="20:42" x14ac:dyDescent="0.2">
      <c r="T3282" t="str">
        <f t="shared" si="366"/>
        <v>o</v>
      </c>
      <c r="AM3282" t="str">
        <f t="shared" si="367"/>
        <v/>
      </c>
      <c r="AN3282" t="str">
        <f t="shared" si="368"/>
        <v/>
      </c>
      <c r="AP3282" t="str">
        <f t="shared" si="369"/>
        <v>Defensive</v>
      </c>
    </row>
    <row r="3283" spans="20:42" x14ac:dyDescent="0.2">
      <c r="T3283" t="str">
        <f t="shared" si="366"/>
        <v>o</v>
      </c>
      <c r="AM3283" t="str">
        <f t="shared" si="367"/>
        <v/>
      </c>
      <c r="AN3283" t="str">
        <f t="shared" si="368"/>
        <v/>
      </c>
      <c r="AP3283" t="str">
        <f t="shared" si="369"/>
        <v>Defensive</v>
      </c>
    </row>
    <row r="3284" spans="20:42" x14ac:dyDescent="0.2">
      <c r="T3284" t="str">
        <f t="shared" si="366"/>
        <v>o</v>
      </c>
      <c r="AM3284" t="str">
        <f t="shared" si="367"/>
        <v/>
      </c>
      <c r="AN3284" t="str">
        <f t="shared" si="368"/>
        <v/>
      </c>
      <c r="AP3284" t="str">
        <f t="shared" si="369"/>
        <v>Defensive</v>
      </c>
    </row>
    <row r="3285" spans="20:42" x14ac:dyDescent="0.2">
      <c r="T3285" t="str">
        <f t="shared" si="366"/>
        <v>o</v>
      </c>
      <c r="AM3285" t="str">
        <f t="shared" si="367"/>
        <v/>
      </c>
      <c r="AN3285" t="str">
        <f t="shared" si="368"/>
        <v/>
      </c>
      <c r="AP3285" t="str">
        <f t="shared" si="369"/>
        <v>Defensive</v>
      </c>
    </row>
    <row r="3286" spans="20:42" x14ac:dyDescent="0.2">
      <c r="T3286" t="str">
        <f t="shared" si="366"/>
        <v>o</v>
      </c>
      <c r="AM3286" t="str">
        <f t="shared" si="367"/>
        <v/>
      </c>
      <c r="AN3286" t="str">
        <f t="shared" si="368"/>
        <v/>
      </c>
      <c r="AP3286" t="str">
        <f t="shared" si="369"/>
        <v>Defensive</v>
      </c>
    </row>
    <row r="3287" spans="20:42" x14ac:dyDescent="0.2">
      <c r="T3287" t="str">
        <f t="shared" si="366"/>
        <v>o</v>
      </c>
      <c r="AM3287" t="str">
        <f t="shared" si="367"/>
        <v/>
      </c>
      <c r="AN3287" t="str">
        <f t="shared" si="368"/>
        <v/>
      </c>
      <c r="AP3287" t="str">
        <f t="shared" si="369"/>
        <v>Defensive</v>
      </c>
    </row>
    <row r="3288" spans="20:42" x14ac:dyDescent="0.2">
      <c r="T3288" t="str">
        <f t="shared" si="366"/>
        <v>o</v>
      </c>
      <c r="AM3288" t="str">
        <f t="shared" si="367"/>
        <v/>
      </c>
      <c r="AN3288" t="str">
        <f t="shared" si="368"/>
        <v/>
      </c>
      <c r="AP3288" t="str">
        <f t="shared" si="369"/>
        <v>Defensive</v>
      </c>
    </row>
    <row r="3289" spans="20:42" x14ac:dyDescent="0.2">
      <c r="T3289" t="str">
        <f t="shared" si="366"/>
        <v>o</v>
      </c>
      <c r="AM3289" t="str">
        <f t="shared" si="367"/>
        <v/>
      </c>
      <c r="AN3289" t="str">
        <f t="shared" si="368"/>
        <v/>
      </c>
      <c r="AP3289" t="str">
        <f t="shared" si="369"/>
        <v>Defensive</v>
      </c>
    </row>
    <row r="3290" spans="20:42" x14ac:dyDescent="0.2">
      <c r="T3290" t="str">
        <f t="shared" si="366"/>
        <v>o</v>
      </c>
      <c r="AM3290" t="str">
        <f t="shared" si="367"/>
        <v/>
      </c>
      <c r="AN3290" t="str">
        <f t="shared" si="368"/>
        <v/>
      </c>
      <c r="AP3290" t="str">
        <f t="shared" si="369"/>
        <v>Defensive</v>
      </c>
    </row>
    <row r="3291" spans="20:42" x14ac:dyDescent="0.2">
      <c r="T3291" t="str">
        <f t="shared" si="366"/>
        <v>o</v>
      </c>
      <c r="AM3291" t="str">
        <f t="shared" si="367"/>
        <v/>
      </c>
      <c r="AN3291" t="str">
        <f t="shared" si="368"/>
        <v/>
      </c>
      <c r="AP3291" t="str">
        <f t="shared" si="369"/>
        <v>Defensive</v>
      </c>
    </row>
    <row r="3292" spans="20:42" x14ac:dyDescent="0.2">
      <c r="T3292" t="str">
        <f t="shared" si="366"/>
        <v>o</v>
      </c>
      <c r="AM3292" t="str">
        <f t="shared" si="367"/>
        <v/>
      </c>
      <c r="AN3292" t="str">
        <f t="shared" si="368"/>
        <v/>
      </c>
      <c r="AP3292" t="str">
        <f t="shared" si="369"/>
        <v>Defensive</v>
      </c>
    </row>
    <row r="3293" spans="20:42" x14ac:dyDescent="0.2">
      <c r="T3293" t="str">
        <f t="shared" si="366"/>
        <v>o</v>
      </c>
      <c r="AM3293" t="str">
        <f t="shared" si="367"/>
        <v/>
      </c>
      <c r="AN3293" t="str">
        <f t="shared" si="368"/>
        <v/>
      </c>
      <c r="AP3293" t="str">
        <f t="shared" si="369"/>
        <v>Defensive</v>
      </c>
    </row>
    <row r="3294" spans="20:42" x14ac:dyDescent="0.2">
      <c r="T3294" t="str">
        <f t="shared" si="366"/>
        <v>o</v>
      </c>
      <c r="AM3294" t="str">
        <f t="shared" si="367"/>
        <v/>
      </c>
      <c r="AN3294" t="str">
        <f t="shared" si="368"/>
        <v/>
      </c>
      <c r="AP3294" t="str">
        <f t="shared" si="369"/>
        <v>Defensive</v>
      </c>
    </row>
    <row r="3295" spans="20:42" x14ac:dyDescent="0.2">
      <c r="T3295" t="str">
        <f t="shared" si="366"/>
        <v>o</v>
      </c>
      <c r="AM3295" t="str">
        <f t="shared" si="367"/>
        <v/>
      </c>
      <c r="AN3295" t="str">
        <f t="shared" si="368"/>
        <v/>
      </c>
      <c r="AP3295" t="str">
        <f t="shared" si="369"/>
        <v>Defensive</v>
      </c>
    </row>
    <row r="3296" spans="20:42" x14ac:dyDescent="0.2">
      <c r="T3296" t="str">
        <f t="shared" si="366"/>
        <v>o</v>
      </c>
      <c r="AM3296" t="str">
        <f t="shared" si="367"/>
        <v/>
      </c>
      <c r="AN3296" t="str">
        <f t="shared" si="368"/>
        <v/>
      </c>
      <c r="AP3296" t="str">
        <f t="shared" si="369"/>
        <v>Defensive</v>
      </c>
    </row>
    <row r="3297" spans="20:42" x14ac:dyDescent="0.2">
      <c r="T3297" t="str">
        <f t="shared" si="366"/>
        <v>o</v>
      </c>
      <c r="AM3297" t="str">
        <f t="shared" si="367"/>
        <v/>
      </c>
      <c r="AN3297" t="str">
        <f t="shared" si="368"/>
        <v/>
      </c>
      <c r="AP3297" t="str">
        <f t="shared" si="369"/>
        <v>Defensive</v>
      </c>
    </row>
    <row r="3298" spans="20:42" x14ac:dyDescent="0.2">
      <c r="T3298" t="str">
        <f t="shared" si="366"/>
        <v>o</v>
      </c>
      <c r="AM3298" t="str">
        <f t="shared" si="367"/>
        <v/>
      </c>
      <c r="AN3298" t="str">
        <f t="shared" si="368"/>
        <v/>
      </c>
      <c r="AP3298" t="str">
        <f t="shared" si="369"/>
        <v>Defensive</v>
      </c>
    </row>
    <row r="3299" spans="20:42" x14ac:dyDescent="0.2">
      <c r="T3299" t="str">
        <f t="shared" si="366"/>
        <v>o</v>
      </c>
      <c r="AM3299" t="str">
        <f t="shared" si="367"/>
        <v/>
      </c>
      <c r="AN3299" t="str">
        <f t="shared" si="368"/>
        <v/>
      </c>
      <c r="AP3299" t="str">
        <f t="shared" si="369"/>
        <v>Defensive</v>
      </c>
    </row>
    <row r="3300" spans="20:42" x14ac:dyDescent="0.2">
      <c r="T3300" t="str">
        <f t="shared" si="366"/>
        <v>o</v>
      </c>
      <c r="AM3300" t="str">
        <f t="shared" si="367"/>
        <v/>
      </c>
      <c r="AN3300" t="str">
        <f t="shared" si="368"/>
        <v/>
      </c>
      <c r="AP3300" t="str">
        <f t="shared" si="369"/>
        <v>Defensive</v>
      </c>
    </row>
    <row r="3301" spans="20:42" x14ac:dyDescent="0.2">
      <c r="T3301" t="str">
        <f t="shared" si="366"/>
        <v>o</v>
      </c>
      <c r="AM3301" t="str">
        <f t="shared" si="367"/>
        <v/>
      </c>
      <c r="AN3301" t="str">
        <f t="shared" si="368"/>
        <v/>
      </c>
      <c r="AP3301" t="str">
        <f t="shared" si="369"/>
        <v>Defensive</v>
      </c>
    </row>
    <row r="3302" spans="20:42" x14ac:dyDescent="0.2">
      <c r="T3302" t="str">
        <f t="shared" si="366"/>
        <v>o</v>
      </c>
      <c r="AM3302" t="str">
        <f t="shared" si="367"/>
        <v/>
      </c>
      <c r="AN3302" t="str">
        <f t="shared" si="368"/>
        <v/>
      </c>
      <c r="AP3302" t="str">
        <f t="shared" si="369"/>
        <v>Defensive</v>
      </c>
    </row>
    <row r="3303" spans="20:42" x14ac:dyDescent="0.2">
      <c r="T3303" t="str">
        <f t="shared" si="366"/>
        <v>o</v>
      </c>
      <c r="AM3303" t="str">
        <f t="shared" si="367"/>
        <v/>
      </c>
      <c r="AN3303" t="str">
        <f t="shared" si="368"/>
        <v/>
      </c>
      <c r="AP3303" t="str">
        <f t="shared" si="369"/>
        <v>Defensive</v>
      </c>
    </row>
    <row r="3304" spans="20:42" x14ac:dyDescent="0.2">
      <c r="T3304" t="str">
        <f t="shared" si="366"/>
        <v>o</v>
      </c>
      <c r="AM3304" t="str">
        <f t="shared" si="367"/>
        <v/>
      </c>
      <c r="AN3304" t="str">
        <f t="shared" si="368"/>
        <v/>
      </c>
      <c r="AP3304" t="str">
        <f t="shared" si="369"/>
        <v>Defensive</v>
      </c>
    </row>
    <row r="3305" spans="20:42" x14ac:dyDescent="0.2">
      <c r="T3305" t="str">
        <f t="shared" si="366"/>
        <v>o</v>
      </c>
      <c r="AM3305" t="str">
        <f t="shared" si="367"/>
        <v/>
      </c>
      <c r="AN3305" t="str">
        <f t="shared" si="368"/>
        <v/>
      </c>
      <c r="AP3305" t="str">
        <f t="shared" si="369"/>
        <v>Defensive</v>
      </c>
    </row>
    <row r="3306" spans="20:42" x14ac:dyDescent="0.2">
      <c r="T3306" t="str">
        <f t="shared" si="366"/>
        <v>o</v>
      </c>
      <c r="AM3306" t="str">
        <f t="shared" si="367"/>
        <v/>
      </c>
      <c r="AN3306" t="str">
        <f t="shared" si="368"/>
        <v/>
      </c>
      <c r="AP3306" t="str">
        <f t="shared" si="369"/>
        <v>Defensive</v>
      </c>
    </row>
    <row r="3307" spans="20:42" x14ac:dyDescent="0.2">
      <c r="T3307" t="str">
        <f t="shared" si="366"/>
        <v>o</v>
      </c>
      <c r="AM3307" t="str">
        <f t="shared" si="367"/>
        <v/>
      </c>
      <c r="AN3307" t="str">
        <f t="shared" si="368"/>
        <v/>
      </c>
      <c r="AP3307" t="str">
        <f t="shared" si="369"/>
        <v>Defensive</v>
      </c>
    </row>
    <row r="3308" spans="20:42" x14ac:dyDescent="0.2">
      <c r="T3308" t="str">
        <f t="shared" si="366"/>
        <v>o</v>
      </c>
      <c r="AM3308" t="str">
        <f t="shared" si="367"/>
        <v/>
      </c>
      <c r="AN3308" t="str">
        <f t="shared" si="368"/>
        <v/>
      </c>
      <c r="AP3308" t="str">
        <f t="shared" si="369"/>
        <v>Defensive</v>
      </c>
    </row>
    <row r="3309" spans="20:42" x14ac:dyDescent="0.2">
      <c r="T3309" t="str">
        <f t="shared" si="366"/>
        <v>o</v>
      </c>
      <c r="AM3309" t="str">
        <f t="shared" si="367"/>
        <v/>
      </c>
      <c r="AN3309" t="str">
        <f t="shared" si="368"/>
        <v/>
      </c>
      <c r="AP3309" t="str">
        <f t="shared" si="369"/>
        <v>Defensive</v>
      </c>
    </row>
    <row r="3310" spans="20:42" x14ac:dyDescent="0.2">
      <c r="T3310" t="str">
        <f t="shared" si="366"/>
        <v>o</v>
      </c>
      <c r="AM3310" t="str">
        <f t="shared" si="367"/>
        <v/>
      </c>
      <c r="AN3310" t="str">
        <f t="shared" si="368"/>
        <v/>
      </c>
      <c r="AP3310" t="str">
        <f t="shared" si="369"/>
        <v>Defensive</v>
      </c>
    </row>
    <row r="3311" spans="20:42" x14ac:dyDescent="0.2">
      <c r="T3311" t="str">
        <f t="shared" si="366"/>
        <v>o</v>
      </c>
      <c r="AM3311" t="str">
        <f t="shared" si="367"/>
        <v/>
      </c>
      <c r="AN3311" t="str">
        <f t="shared" si="368"/>
        <v/>
      </c>
      <c r="AP3311" t="str">
        <f t="shared" si="369"/>
        <v>Defensive</v>
      </c>
    </row>
    <row r="3312" spans="20:42" x14ac:dyDescent="0.2">
      <c r="T3312" t="str">
        <f t="shared" si="366"/>
        <v>o</v>
      </c>
      <c r="AM3312" t="str">
        <f t="shared" si="367"/>
        <v/>
      </c>
      <c r="AN3312" t="str">
        <f t="shared" si="368"/>
        <v/>
      </c>
      <c r="AP3312" t="str">
        <f t="shared" si="369"/>
        <v>Defensive</v>
      </c>
    </row>
    <row r="3313" spans="20:42" x14ac:dyDescent="0.2">
      <c r="T3313" t="str">
        <f t="shared" si="366"/>
        <v>o</v>
      </c>
      <c r="AM3313" t="str">
        <f t="shared" si="367"/>
        <v/>
      </c>
      <c r="AN3313" t="str">
        <f t="shared" si="368"/>
        <v/>
      </c>
      <c r="AP3313" t="str">
        <f t="shared" si="369"/>
        <v>Defensive</v>
      </c>
    </row>
    <row r="3314" spans="20:42" x14ac:dyDescent="0.2">
      <c r="T3314" t="str">
        <f t="shared" si="366"/>
        <v>o</v>
      </c>
      <c r="AM3314" t="str">
        <f t="shared" si="367"/>
        <v/>
      </c>
      <c r="AN3314" t="str">
        <f t="shared" si="368"/>
        <v/>
      </c>
      <c r="AP3314" t="str">
        <f t="shared" si="369"/>
        <v>Defensive</v>
      </c>
    </row>
    <row r="3315" spans="20:42" x14ac:dyDescent="0.2">
      <c r="T3315" t="str">
        <f t="shared" si="366"/>
        <v>o</v>
      </c>
      <c r="AM3315" t="str">
        <f t="shared" si="367"/>
        <v/>
      </c>
      <c r="AN3315" t="str">
        <f t="shared" si="368"/>
        <v/>
      </c>
      <c r="AP3315" t="str">
        <f t="shared" si="369"/>
        <v>Defensive</v>
      </c>
    </row>
    <row r="3316" spans="20:42" x14ac:dyDescent="0.2">
      <c r="T3316" t="str">
        <f t="shared" si="366"/>
        <v>o</v>
      </c>
      <c r="AM3316" t="str">
        <f t="shared" si="367"/>
        <v/>
      </c>
      <c r="AN3316" t="str">
        <f t="shared" si="368"/>
        <v/>
      </c>
      <c r="AP3316" t="str">
        <f t="shared" si="369"/>
        <v>Defensive</v>
      </c>
    </row>
    <row r="3317" spans="20:42" x14ac:dyDescent="0.2">
      <c r="T3317" t="str">
        <f t="shared" si="366"/>
        <v>o</v>
      </c>
      <c r="AM3317" t="str">
        <f t="shared" si="367"/>
        <v/>
      </c>
      <c r="AN3317" t="str">
        <f t="shared" si="368"/>
        <v/>
      </c>
      <c r="AP3317" t="str">
        <f t="shared" si="369"/>
        <v>Defensive</v>
      </c>
    </row>
    <row r="3318" spans="20:42" x14ac:dyDescent="0.2">
      <c r="T3318" t="str">
        <f t="shared" si="366"/>
        <v>o</v>
      </c>
      <c r="AM3318" t="str">
        <f t="shared" si="367"/>
        <v/>
      </c>
      <c r="AN3318" t="str">
        <f t="shared" si="368"/>
        <v/>
      </c>
      <c r="AP3318" t="str">
        <f t="shared" si="369"/>
        <v>Defensive</v>
      </c>
    </row>
    <row r="3319" spans="20:42" x14ac:dyDescent="0.2">
      <c r="T3319" t="str">
        <f t="shared" si="366"/>
        <v>o</v>
      </c>
      <c r="AM3319" t="str">
        <f t="shared" si="367"/>
        <v/>
      </c>
      <c r="AN3319" t="str">
        <f t="shared" si="368"/>
        <v/>
      </c>
      <c r="AP3319" t="str">
        <f t="shared" si="369"/>
        <v>Defensive</v>
      </c>
    </row>
    <row r="3320" spans="20:42" x14ac:dyDescent="0.2">
      <c r="T3320" t="str">
        <f t="shared" si="366"/>
        <v>o</v>
      </c>
      <c r="AM3320" t="str">
        <f t="shared" si="367"/>
        <v/>
      </c>
      <c r="AN3320" t="str">
        <f t="shared" si="368"/>
        <v/>
      </c>
      <c r="AP3320" t="str">
        <f t="shared" si="369"/>
        <v>Defensive</v>
      </c>
    </row>
    <row r="3321" spans="20:42" x14ac:dyDescent="0.2">
      <c r="T3321" t="str">
        <f t="shared" si="366"/>
        <v>o</v>
      </c>
      <c r="AM3321" t="str">
        <f t="shared" si="367"/>
        <v/>
      </c>
      <c r="AN3321" t="str">
        <f t="shared" si="368"/>
        <v/>
      </c>
      <c r="AP3321" t="str">
        <f t="shared" si="369"/>
        <v>Defensive</v>
      </c>
    </row>
    <row r="3322" spans="20:42" x14ac:dyDescent="0.2">
      <c r="T3322" t="str">
        <f t="shared" si="366"/>
        <v>o</v>
      </c>
      <c r="AM3322" t="str">
        <f t="shared" si="367"/>
        <v/>
      </c>
      <c r="AN3322" t="str">
        <f t="shared" si="368"/>
        <v/>
      </c>
      <c r="AP3322" t="str">
        <f t="shared" si="369"/>
        <v>Defensive</v>
      </c>
    </row>
    <row r="3323" spans="20:42" x14ac:dyDescent="0.2">
      <c r="T3323" t="str">
        <f t="shared" si="366"/>
        <v>o</v>
      </c>
      <c r="AM3323" t="str">
        <f t="shared" si="367"/>
        <v/>
      </c>
      <c r="AN3323" t="str">
        <f t="shared" si="368"/>
        <v/>
      </c>
      <c r="AP3323" t="str">
        <f t="shared" si="369"/>
        <v>Defensive</v>
      </c>
    </row>
    <row r="3324" spans="20:42" x14ac:dyDescent="0.2">
      <c r="T3324" t="str">
        <f t="shared" si="366"/>
        <v>o</v>
      </c>
      <c r="AM3324" t="str">
        <f t="shared" si="367"/>
        <v/>
      </c>
      <c r="AN3324" t="str">
        <f t="shared" si="368"/>
        <v/>
      </c>
      <c r="AP3324" t="str">
        <f t="shared" si="369"/>
        <v>Defensive</v>
      </c>
    </row>
    <row r="3325" spans="20:42" x14ac:dyDescent="0.2">
      <c r="T3325" t="str">
        <f t="shared" si="366"/>
        <v>o</v>
      </c>
      <c r="AM3325" t="str">
        <f t="shared" si="367"/>
        <v/>
      </c>
      <c r="AN3325" t="str">
        <f t="shared" si="368"/>
        <v/>
      </c>
      <c r="AP3325" t="str">
        <f t="shared" si="369"/>
        <v>Defensive</v>
      </c>
    </row>
    <row r="3326" spans="20:42" x14ac:dyDescent="0.2">
      <c r="T3326" t="str">
        <f t="shared" si="366"/>
        <v>o</v>
      </c>
      <c r="AM3326" t="str">
        <f t="shared" si="367"/>
        <v/>
      </c>
      <c r="AN3326" t="str">
        <f t="shared" si="368"/>
        <v/>
      </c>
      <c r="AP3326" t="str">
        <f t="shared" si="369"/>
        <v>Defensive</v>
      </c>
    </row>
    <row r="3327" spans="20:42" x14ac:dyDescent="0.2">
      <c r="T3327" t="str">
        <f t="shared" si="366"/>
        <v>o</v>
      </c>
      <c r="AM3327" t="str">
        <f t="shared" si="367"/>
        <v/>
      </c>
      <c r="AN3327" t="str">
        <f t="shared" si="368"/>
        <v/>
      </c>
      <c r="AP3327" t="str">
        <f t="shared" si="369"/>
        <v>Defensive</v>
      </c>
    </row>
    <row r="3328" spans="20:42" x14ac:dyDescent="0.2">
      <c r="T3328" t="str">
        <f t="shared" si="366"/>
        <v>o</v>
      </c>
      <c r="AM3328" t="str">
        <f t="shared" si="367"/>
        <v/>
      </c>
      <c r="AN3328" t="str">
        <f t="shared" si="368"/>
        <v/>
      </c>
      <c r="AP3328" t="str">
        <f t="shared" si="369"/>
        <v>Defensive</v>
      </c>
    </row>
    <row r="3329" spans="20:42" x14ac:dyDescent="0.2">
      <c r="T3329" t="str">
        <f t="shared" si="366"/>
        <v>o</v>
      </c>
      <c r="AM3329" t="str">
        <f t="shared" si="367"/>
        <v/>
      </c>
      <c r="AN3329" t="str">
        <f t="shared" si="368"/>
        <v/>
      </c>
      <c r="AP3329" t="str">
        <f t="shared" si="369"/>
        <v>Defensive</v>
      </c>
    </row>
    <row r="3330" spans="20:42" x14ac:dyDescent="0.2">
      <c r="T3330" t="str">
        <f t="shared" si="366"/>
        <v>o</v>
      </c>
      <c r="AM3330" t="str">
        <f t="shared" si="367"/>
        <v/>
      </c>
      <c r="AN3330" t="str">
        <f t="shared" si="368"/>
        <v/>
      </c>
      <c r="AP3330" t="str">
        <f t="shared" si="369"/>
        <v>Defensive</v>
      </c>
    </row>
    <row r="3331" spans="20:42" x14ac:dyDescent="0.2">
      <c r="T3331" t="str">
        <f t="shared" si="366"/>
        <v>o</v>
      </c>
      <c r="AM3331" t="str">
        <f t="shared" si="367"/>
        <v/>
      </c>
      <c r="AN3331" t="str">
        <f t="shared" si="368"/>
        <v/>
      </c>
      <c r="AP3331" t="str">
        <f t="shared" si="369"/>
        <v>Defensive</v>
      </c>
    </row>
    <row r="3332" spans="20:42" x14ac:dyDescent="0.2">
      <c r="T3332" t="str">
        <f t="shared" si="366"/>
        <v>o</v>
      </c>
      <c r="AM3332" t="str">
        <f t="shared" si="367"/>
        <v/>
      </c>
      <c r="AN3332" t="str">
        <f t="shared" si="368"/>
        <v/>
      </c>
      <c r="AP3332" t="str">
        <f t="shared" si="369"/>
        <v>Defensive</v>
      </c>
    </row>
    <row r="3333" spans="20:42" x14ac:dyDescent="0.2">
      <c r="T3333" t="str">
        <f t="shared" si="366"/>
        <v>o</v>
      </c>
      <c r="AM3333" t="str">
        <f t="shared" si="367"/>
        <v/>
      </c>
      <c r="AN3333" t="str">
        <f t="shared" si="368"/>
        <v/>
      </c>
      <c r="AP3333" t="str">
        <f t="shared" si="369"/>
        <v>Defensive</v>
      </c>
    </row>
    <row r="3334" spans="20:42" x14ac:dyDescent="0.2">
      <c r="T3334" t="str">
        <f t="shared" si="366"/>
        <v>o</v>
      </c>
      <c r="AM3334" t="str">
        <f t="shared" si="367"/>
        <v/>
      </c>
      <c r="AN3334" t="str">
        <f t="shared" si="368"/>
        <v/>
      </c>
      <c r="AP3334" t="str">
        <f t="shared" si="369"/>
        <v>Defensive</v>
      </c>
    </row>
    <row r="3335" spans="20:42" x14ac:dyDescent="0.2">
      <c r="T3335" t="str">
        <f t="shared" si="366"/>
        <v>o</v>
      </c>
      <c r="AM3335" t="str">
        <f t="shared" si="367"/>
        <v/>
      </c>
      <c r="AN3335" t="str">
        <f t="shared" si="368"/>
        <v/>
      </c>
      <c r="AP3335" t="str">
        <f t="shared" si="369"/>
        <v>Defensive</v>
      </c>
    </row>
    <row r="3336" spans="20:42" x14ac:dyDescent="0.2">
      <c r="T3336" t="str">
        <f t="shared" si="366"/>
        <v>o</v>
      </c>
      <c r="AM3336" t="str">
        <f t="shared" si="367"/>
        <v/>
      </c>
      <c r="AN3336" t="str">
        <f t="shared" si="368"/>
        <v/>
      </c>
      <c r="AP3336" t="str">
        <f t="shared" si="369"/>
        <v>Defensive</v>
      </c>
    </row>
    <row r="3337" spans="20:42" x14ac:dyDescent="0.2">
      <c r="T3337" t="str">
        <f t="shared" si="366"/>
        <v>o</v>
      </c>
      <c r="AM3337" t="str">
        <f t="shared" si="367"/>
        <v/>
      </c>
      <c r="AN3337" t="str">
        <f t="shared" si="368"/>
        <v/>
      </c>
      <c r="AP3337" t="str">
        <f t="shared" si="369"/>
        <v>Defensive</v>
      </c>
    </row>
    <row r="3338" spans="20:42" x14ac:dyDescent="0.2">
      <c r="T3338" t="str">
        <f t="shared" si="366"/>
        <v>o</v>
      </c>
      <c r="AM3338" t="str">
        <f t="shared" si="367"/>
        <v/>
      </c>
      <c r="AN3338" t="str">
        <f t="shared" si="368"/>
        <v/>
      </c>
      <c r="AP3338" t="str">
        <f t="shared" si="369"/>
        <v>Defensive</v>
      </c>
    </row>
    <row r="3339" spans="20:42" x14ac:dyDescent="0.2">
      <c r="T3339" t="str">
        <f t="shared" si="366"/>
        <v>o</v>
      </c>
      <c r="AM3339" t="str">
        <f t="shared" si="367"/>
        <v/>
      </c>
      <c r="AN3339" t="str">
        <f t="shared" si="368"/>
        <v/>
      </c>
      <c r="AP3339" t="str">
        <f t="shared" si="369"/>
        <v>Defensive</v>
      </c>
    </row>
    <row r="3340" spans="20:42" x14ac:dyDescent="0.2">
      <c r="T3340" t="str">
        <f t="shared" ref="T3340:T3403" si="370">IF(S3340="x","",IF(S3340=1,"e","o"))</f>
        <v>o</v>
      </c>
      <c r="AM3340" t="str">
        <f t="shared" si="367"/>
        <v/>
      </c>
      <c r="AN3340" t="str">
        <f t="shared" si="368"/>
        <v/>
      </c>
      <c r="AP3340" t="str">
        <f t="shared" si="369"/>
        <v>Defensive</v>
      </c>
    </row>
    <row r="3341" spans="20:42" x14ac:dyDescent="0.2">
      <c r="T3341" t="str">
        <f t="shared" si="370"/>
        <v>o</v>
      </c>
      <c r="AM3341" t="str">
        <f t="shared" si="367"/>
        <v/>
      </c>
      <c r="AN3341" t="str">
        <f t="shared" si="368"/>
        <v/>
      </c>
      <c r="AP3341" t="str">
        <f t="shared" si="369"/>
        <v>Defensive</v>
      </c>
    </row>
    <row r="3342" spans="20:42" x14ac:dyDescent="0.2">
      <c r="T3342" t="str">
        <f t="shared" si="370"/>
        <v>o</v>
      </c>
      <c r="AM3342" t="str">
        <f t="shared" si="367"/>
        <v/>
      </c>
      <c r="AN3342" t="str">
        <f t="shared" si="368"/>
        <v/>
      </c>
      <c r="AP3342" t="str">
        <f t="shared" si="369"/>
        <v>Defensive</v>
      </c>
    </row>
    <row r="3343" spans="20:42" x14ac:dyDescent="0.2">
      <c r="T3343" t="str">
        <f t="shared" si="370"/>
        <v>o</v>
      </c>
      <c r="AM3343" t="str">
        <f t="shared" ref="AM3343:AM3406" si="371">IF(U3343&lt;&gt;"",U3343,IF($A3343=$A3342,AM3342,""))</f>
        <v/>
      </c>
      <c r="AN3343" t="str">
        <f t="shared" ref="AN3343:AN3406" si="372">IF(V3343&lt;&gt;"",V3343,IF($A3343=$A3342,AN3342,""))</f>
        <v/>
      </c>
      <c r="AP3343" t="str">
        <f t="shared" ref="AP3343:AP3406" si="373">IF(AND(T3343="e",OR(AM3343="Save",AN3343="Turnover_Takeaway",AN3343="Play_Defensive")),"Defensive",IF(AND(T3343="o",OR(AM3343="Save",AN3343="Turnover_Takeaway",AN3343="Play_Defensive")),"Offensive",IF(OR(AM3343="Deadice",AM3343="Stoppage",AM3343="Intermission"),"",IF(T3343="e","Offensive",IF(T3343="o","Defensive","")))))</f>
        <v>Defensive</v>
      </c>
    </row>
    <row r="3344" spans="20:42" x14ac:dyDescent="0.2">
      <c r="T3344" t="str">
        <f t="shared" si="370"/>
        <v>o</v>
      </c>
      <c r="AM3344" t="str">
        <f t="shared" si="371"/>
        <v/>
      </c>
      <c r="AN3344" t="str">
        <f t="shared" si="372"/>
        <v/>
      </c>
      <c r="AP3344" t="str">
        <f t="shared" si="373"/>
        <v>Defensive</v>
      </c>
    </row>
    <row r="3345" spans="20:42" x14ac:dyDescent="0.2">
      <c r="T3345" t="str">
        <f t="shared" si="370"/>
        <v>o</v>
      </c>
      <c r="AM3345" t="str">
        <f t="shared" si="371"/>
        <v/>
      </c>
      <c r="AN3345" t="str">
        <f t="shared" si="372"/>
        <v/>
      </c>
      <c r="AP3345" t="str">
        <f t="shared" si="373"/>
        <v>Defensive</v>
      </c>
    </row>
    <row r="3346" spans="20:42" x14ac:dyDescent="0.2">
      <c r="T3346" t="str">
        <f t="shared" si="370"/>
        <v>o</v>
      </c>
      <c r="AM3346" t="str">
        <f t="shared" si="371"/>
        <v/>
      </c>
      <c r="AN3346" t="str">
        <f t="shared" si="372"/>
        <v/>
      </c>
      <c r="AP3346" t="str">
        <f t="shared" si="373"/>
        <v>Defensive</v>
      </c>
    </row>
    <row r="3347" spans="20:42" x14ac:dyDescent="0.2">
      <c r="T3347" t="str">
        <f t="shared" si="370"/>
        <v>o</v>
      </c>
      <c r="AM3347" t="str">
        <f t="shared" si="371"/>
        <v/>
      </c>
      <c r="AN3347" t="str">
        <f t="shared" si="372"/>
        <v/>
      </c>
      <c r="AP3347" t="str">
        <f t="shared" si="373"/>
        <v>Defensive</v>
      </c>
    </row>
    <row r="3348" spans="20:42" x14ac:dyDescent="0.2">
      <c r="T3348" t="str">
        <f t="shared" si="370"/>
        <v>o</v>
      </c>
      <c r="AM3348" t="str">
        <f t="shared" si="371"/>
        <v/>
      </c>
      <c r="AN3348" t="str">
        <f t="shared" si="372"/>
        <v/>
      </c>
      <c r="AP3348" t="str">
        <f t="shared" si="373"/>
        <v>Defensive</v>
      </c>
    </row>
    <row r="3349" spans="20:42" x14ac:dyDescent="0.2">
      <c r="T3349" t="str">
        <f t="shared" si="370"/>
        <v>o</v>
      </c>
      <c r="AM3349" t="str">
        <f t="shared" si="371"/>
        <v/>
      </c>
      <c r="AN3349" t="str">
        <f t="shared" si="372"/>
        <v/>
      </c>
      <c r="AP3349" t="str">
        <f t="shared" si="373"/>
        <v>Defensive</v>
      </c>
    </row>
    <row r="3350" spans="20:42" x14ac:dyDescent="0.2">
      <c r="T3350" t="str">
        <f t="shared" si="370"/>
        <v>o</v>
      </c>
      <c r="AM3350" t="str">
        <f t="shared" si="371"/>
        <v/>
      </c>
      <c r="AN3350" t="str">
        <f t="shared" si="372"/>
        <v/>
      </c>
      <c r="AP3350" t="str">
        <f t="shared" si="373"/>
        <v>Defensive</v>
      </c>
    </row>
    <row r="3351" spans="20:42" x14ac:dyDescent="0.2">
      <c r="T3351" t="str">
        <f t="shared" si="370"/>
        <v>o</v>
      </c>
      <c r="AM3351" t="str">
        <f t="shared" si="371"/>
        <v/>
      </c>
      <c r="AN3351" t="str">
        <f t="shared" si="372"/>
        <v/>
      </c>
      <c r="AP3351" t="str">
        <f t="shared" si="373"/>
        <v>Defensive</v>
      </c>
    </row>
    <row r="3352" spans="20:42" x14ac:dyDescent="0.2">
      <c r="T3352" t="str">
        <f t="shared" si="370"/>
        <v>o</v>
      </c>
      <c r="AM3352" t="str">
        <f t="shared" si="371"/>
        <v/>
      </c>
      <c r="AN3352" t="str">
        <f t="shared" si="372"/>
        <v/>
      </c>
      <c r="AP3352" t="str">
        <f t="shared" si="373"/>
        <v>Defensive</v>
      </c>
    </row>
    <row r="3353" spans="20:42" x14ac:dyDescent="0.2">
      <c r="T3353" t="str">
        <f t="shared" si="370"/>
        <v>o</v>
      </c>
      <c r="AM3353" t="str">
        <f t="shared" si="371"/>
        <v/>
      </c>
      <c r="AN3353" t="str">
        <f t="shared" si="372"/>
        <v/>
      </c>
      <c r="AP3353" t="str">
        <f t="shared" si="373"/>
        <v>Defensive</v>
      </c>
    </row>
    <row r="3354" spans="20:42" x14ac:dyDescent="0.2">
      <c r="T3354" t="str">
        <f t="shared" si="370"/>
        <v>o</v>
      </c>
      <c r="AM3354" t="str">
        <f t="shared" si="371"/>
        <v/>
      </c>
      <c r="AN3354" t="str">
        <f t="shared" si="372"/>
        <v/>
      </c>
      <c r="AP3354" t="str">
        <f t="shared" si="373"/>
        <v>Defensive</v>
      </c>
    </row>
    <row r="3355" spans="20:42" x14ac:dyDescent="0.2">
      <c r="T3355" t="str">
        <f t="shared" si="370"/>
        <v>o</v>
      </c>
      <c r="AM3355" t="str">
        <f t="shared" si="371"/>
        <v/>
      </c>
      <c r="AN3355" t="str">
        <f t="shared" si="372"/>
        <v/>
      </c>
      <c r="AP3355" t="str">
        <f t="shared" si="373"/>
        <v>Defensive</v>
      </c>
    </row>
    <row r="3356" spans="20:42" x14ac:dyDescent="0.2">
      <c r="T3356" t="str">
        <f t="shared" si="370"/>
        <v>o</v>
      </c>
      <c r="AM3356" t="str">
        <f t="shared" si="371"/>
        <v/>
      </c>
      <c r="AN3356" t="str">
        <f t="shared" si="372"/>
        <v/>
      </c>
      <c r="AP3356" t="str">
        <f t="shared" si="373"/>
        <v>Defensive</v>
      </c>
    </row>
    <row r="3357" spans="20:42" x14ac:dyDescent="0.2">
      <c r="T3357" t="str">
        <f t="shared" si="370"/>
        <v>o</v>
      </c>
      <c r="AM3357" t="str">
        <f t="shared" si="371"/>
        <v/>
      </c>
      <c r="AN3357" t="str">
        <f t="shared" si="372"/>
        <v/>
      </c>
      <c r="AP3357" t="str">
        <f t="shared" si="373"/>
        <v>Defensive</v>
      </c>
    </row>
    <row r="3358" spans="20:42" x14ac:dyDescent="0.2">
      <c r="T3358" t="str">
        <f t="shared" si="370"/>
        <v>o</v>
      </c>
      <c r="AM3358" t="str">
        <f t="shared" si="371"/>
        <v/>
      </c>
      <c r="AN3358" t="str">
        <f t="shared" si="372"/>
        <v/>
      </c>
      <c r="AP3358" t="str">
        <f t="shared" si="373"/>
        <v>Defensive</v>
      </c>
    </row>
    <row r="3359" spans="20:42" x14ac:dyDescent="0.2">
      <c r="T3359" t="str">
        <f t="shared" si="370"/>
        <v>o</v>
      </c>
      <c r="AM3359" t="str">
        <f t="shared" si="371"/>
        <v/>
      </c>
      <c r="AN3359" t="str">
        <f t="shared" si="372"/>
        <v/>
      </c>
      <c r="AP3359" t="str">
        <f t="shared" si="373"/>
        <v>Defensive</v>
      </c>
    </row>
    <row r="3360" spans="20:42" x14ac:dyDescent="0.2">
      <c r="T3360" t="str">
        <f t="shared" si="370"/>
        <v>o</v>
      </c>
      <c r="AM3360" t="str">
        <f t="shared" si="371"/>
        <v/>
      </c>
      <c r="AN3360" t="str">
        <f t="shared" si="372"/>
        <v/>
      </c>
      <c r="AP3360" t="str">
        <f t="shared" si="373"/>
        <v>Defensive</v>
      </c>
    </row>
    <row r="3361" spans="20:42" x14ac:dyDescent="0.2">
      <c r="T3361" t="str">
        <f t="shared" si="370"/>
        <v>o</v>
      </c>
      <c r="AM3361" t="str">
        <f t="shared" si="371"/>
        <v/>
      </c>
      <c r="AN3361" t="str">
        <f t="shared" si="372"/>
        <v/>
      </c>
      <c r="AP3361" t="str">
        <f t="shared" si="373"/>
        <v>Defensive</v>
      </c>
    </row>
    <row r="3362" spans="20:42" x14ac:dyDescent="0.2">
      <c r="T3362" t="str">
        <f t="shared" si="370"/>
        <v>o</v>
      </c>
      <c r="AM3362" t="str">
        <f t="shared" si="371"/>
        <v/>
      </c>
      <c r="AN3362" t="str">
        <f t="shared" si="372"/>
        <v/>
      </c>
      <c r="AP3362" t="str">
        <f t="shared" si="373"/>
        <v>Defensive</v>
      </c>
    </row>
    <row r="3363" spans="20:42" x14ac:dyDescent="0.2">
      <c r="T3363" t="str">
        <f t="shared" si="370"/>
        <v>o</v>
      </c>
      <c r="AM3363" t="str">
        <f t="shared" si="371"/>
        <v/>
      </c>
      <c r="AN3363" t="str">
        <f t="shared" si="372"/>
        <v/>
      </c>
      <c r="AP3363" t="str">
        <f t="shared" si="373"/>
        <v>Defensive</v>
      </c>
    </row>
    <row r="3364" spans="20:42" x14ac:dyDescent="0.2">
      <c r="T3364" t="str">
        <f t="shared" si="370"/>
        <v>o</v>
      </c>
      <c r="AM3364" t="str">
        <f t="shared" si="371"/>
        <v/>
      </c>
      <c r="AN3364" t="str">
        <f t="shared" si="372"/>
        <v/>
      </c>
      <c r="AP3364" t="str">
        <f t="shared" si="373"/>
        <v>Defensive</v>
      </c>
    </row>
    <row r="3365" spans="20:42" x14ac:dyDescent="0.2">
      <c r="T3365" t="str">
        <f t="shared" si="370"/>
        <v>o</v>
      </c>
      <c r="AM3365" t="str">
        <f t="shared" si="371"/>
        <v/>
      </c>
      <c r="AN3365" t="str">
        <f t="shared" si="372"/>
        <v/>
      </c>
      <c r="AP3365" t="str">
        <f t="shared" si="373"/>
        <v>Defensive</v>
      </c>
    </row>
    <row r="3366" spans="20:42" x14ac:dyDescent="0.2">
      <c r="T3366" t="str">
        <f t="shared" si="370"/>
        <v>o</v>
      </c>
      <c r="AM3366" t="str">
        <f t="shared" si="371"/>
        <v/>
      </c>
      <c r="AN3366" t="str">
        <f t="shared" si="372"/>
        <v/>
      </c>
      <c r="AP3366" t="str">
        <f t="shared" si="373"/>
        <v>Defensive</v>
      </c>
    </row>
    <row r="3367" spans="20:42" x14ac:dyDescent="0.2">
      <c r="T3367" t="str">
        <f t="shared" si="370"/>
        <v>o</v>
      </c>
      <c r="AM3367" t="str">
        <f t="shared" si="371"/>
        <v/>
      </c>
      <c r="AN3367" t="str">
        <f t="shared" si="372"/>
        <v/>
      </c>
      <c r="AP3367" t="str">
        <f t="shared" si="373"/>
        <v>Defensive</v>
      </c>
    </row>
    <row r="3368" spans="20:42" x14ac:dyDescent="0.2">
      <c r="T3368" t="str">
        <f t="shared" si="370"/>
        <v>o</v>
      </c>
      <c r="AM3368" t="str">
        <f t="shared" si="371"/>
        <v/>
      </c>
      <c r="AN3368" t="str">
        <f t="shared" si="372"/>
        <v/>
      </c>
      <c r="AP3368" t="str">
        <f t="shared" si="373"/>
        <v>Defensive</v>
      </c>
    </row>
    <row r="3369" spans="20:42" x14ac:dyDescent="0.2">
      <c r="T3369" t="str">
        <f t="shared" si="370"/>
        <v>o</v>
      </c>
      <c r="AM3369" t="str">
        <f t="shared" si="371"/>
        <v/>
      </c>
      <c r="AN3369" t="str">
        <f t="shared" si="372"/>
        <v/>
      </c>
      <c r="AP3369" t="str">
        <f t="shared" si="373"/>
        <v>Defensive</v>
      </c>
    </row>
    <row r="3370" spans="20:42" x14ac:dyDescent="0.2">
      <c r="T3370" t="str">
        <f t="shared" si="370"/>
        <v>o</v>
      </c>
      <c r="AM3370" t="str">
        <f t="shared" si="371"/>
        <v/>
      </c>
      <c r="AN3370" t="str">
        <f t="shared" si="372"/>
        <v/>
      </c>
      <c r="AP3370" t="str">
        <f t="shared" si="373"/>
        <v>Defensive</v>
      </c>
    </row>
    <row r="3371" spans="20:42" x14ac:dyDescent="0.2">
      <c r="T3371" t="str">
        <f t="shared" si="370"/>
        <v>o</v>
      </c>
      <c r="AM3371" t="str">
        <f t="shared" si="371"/>
        <v/>
      </c>
      <c r="AN3371" t="str">
        <f t="shared" si="372"/>
        <v/>
      </c>
      <c r="AP3371" t="str">
        <f t="shared" si="373"/>
        <v>Defensive</v>
      </c>
    </row>
    <row r="3372" spans="20:42" x14ac:dyDescent="0.2">
      <c r="T3372" t="str">
        <f t="shared" si="370"/>
        <v>o</v>
      </c>
      <c r="AM3372" t="str">
        <f t="shared" si="371"/>
        <v/>
      </c>
      <c r="AN3372" t="str">
        <f t="shared" si="372"/>
        <v/>
      </c>
      <c r="AP3372" t="str">
        <f t="shared" si="373"/>
        <v>Defensive</v>
      </c>
    </row>
    <row r="3373" spans="20:42" x14ac:dyDescent="0.2">
      <c r="T3373" t="str">
        <f t="shared" si="370"/>
        <v>o</v>
      </c>
      <c r="AM3373" t="str">
        <f t="shared" si="371"/>
        <v/>
      </c>
      <c r="AN3373" t="str">
        <f t="shared" si="372"/>
        <v/>
      </c>
      <c r="AP3373" t="str">
        <f t="shared" si="373"/>
        <v>Defensive</v>
      </c>
    </row>
    <row r="3374" spans="20:42" x14ac:dyDescent="0.2">
      <c r="T3374" t="str">
        <f t="shared" si="370"/>
        <v>o</v>
      </c>
      <c r="AM3374" t="str">
        <f t="shared" si="371"/>
        <v/>
      </c>
      <c r="AN3374" t="str">
        <f t="shared" si="372"/>
        <v/>
      </c>
      <c r="AP3374" t="str">
        <f t="shared" si="373"/>
        <v>Defensive</v>
      </c>
    </row>
    <row r="3375" spans="20:42" x14ac:dyDescent="0.2">
      <c r="T3375" t="str">
        <f t="shared" si="370"/>
        <v>o</v>
      </c>
      <c r="AM3375" t="str">
        <f t="shared" si="371"/>
        <v/>
      </c>
      <c r="AN3375" t="str">
        <f t="shared" si="372"/>
        <v/>
      </c>
      <c r="AP3375" t="str">
        <f t="shared" si="373"/>
        <v>Defensive</v>
      </c>
    </row>
    <row r="3376" spans="20:42" x14ac:dyDescent="0.2">
      <c r="T3376" t="str">
        <f t="shared" si="370"/>
        <v>o</v>
      </c>
      <c r="AM3376" t="str">
        <f t="shared" si="371"/>
        <v/>
      </c>
      <c r="AN3376" t="str">
        <f t="shared" si="372"/>
        <v/>
      </c>
      <c r="AP3376" t="str">
        <f t="shared" si="373"/>
        <v>Defensive</v>
      </c>
    </row>
    <row r="3377" spans="20:42" x14ac:dyDescent="0.2">
      <c r="T3377" t="str">
        <f t="shared" si="370"/>
        <v>o</v>
      </c>
      <c r="AM3377" t="str">
        <f t="shared" si="371"/>
        <v/>
      </c>
      <c r="AN3377" t="str">
        <f t="shared" si="372"/>
        <v/>
      </c>
      <c r="AP3377" t="str">
        <f t="shared" si="373"/>
        <v>Defensive</v>
      </c>
    </row>
    <row r="3378" spans="20:42" x14ac:dyDescent="0.2">
      <c r="T3378" t="str">
        <f t="shared" si="370"/>
        <v>o</v>
      </c>
      <c r="AM3378" t="str">
        <f t="shared" si="371"/>
        <v/>
      </c>
      <c r="AN3378" t="str">
        <f t="shared" si="372"/>
        <v/>
      </c>
      <c r="AP3378" t="str">
        <f t="shared" si="373"/>
        <v>Defensive</v>
      </c>
    </row>
    <row r="3379" spans="20:42" x14ac:dyDescent="0.2">
      <c r="T3379" t="str">
        <f t="shared" si="370"/>
        <v>o</v>
      </c>
      <c r="AM3379" t="str">
        <f t="shared" si="371"/>
        <v/>
      </c>
      <c r="AN3379" t="str">
        <f t="shared" si="372"/>
        <v/>
      </c>
      <c r="AP3379" t="str">
        <f t="shared" si="373"/>
        <v>Defensive</v>
      </c>
    </row>
    <row r="3380" spans="20:42" x14ac:dyDescent="0.2">
      <c r="T3380" t="str">
        <f t="shared" si="370"/>
        <v>o</v>
      </c>
      <c r="AM3380" t="str">
        <f t="shared" si="371"/>
        <v/>
      </c>
      <c r="AN3380" t="str">
        <f t="shared" si="372"/>
        <v/>
      </c>
      <c r="AP3380" t="str">
        <f t="shared" si="373"/>
        <v>Defensive</v>
      </c>
    </row>
    <row r="3381" spans="20:42" x14ac:dyDescent="0.2">
      <c r="T3381" t="str">
        <f t="shared" si="370"/>
        <v>o</v>
      </c>
      <c r="AM3381" t="str">
        <f t="shared" si="371"/>
        <v/>
      </c>
      <c r="AN3381" t="str">
        <f t="shared" si="372"/>
        <v/>
      </c>
      <c r="AP3381" t="str">
        <f t="shared" si="373"/>
        <v>Defensive</v>
      </c>
    </row>
    <row r="3382" spans="20:42" x14ac:dyDescent="0.2">
      <c r="T3382" t="str">
        <f t="shared" si="370"/>
        <v>o</v>
      </c>
      <c r="AM3382" t="str">
        <f t="shared" si="371"/>
        <v/>
      </c>
      <c r="AN3382" t="str">
        <f t="shared" si="372"/>
        <v/>
      </c>
      <c r="AP3382" t="str">
        <f t="shared" si="373"/>
        <v>Defensive</v>
      </c>
    </row>
    <row r="3383" spans="20:42" x14ac:dyDescent="0.2">
      <c r="T3383" t="str">
        <f t="shared" si="370"/>
        <v>o</v>
      </c>
      <c r="AM3383" t="str">
        <f t="shared" si="371"/>
        <v/>
      </c>
      <c r="AN3383" t="str">
        <f t="shared" si="372"/>
        <v/>
      </c>
      <c r="AP3383" t="str">
        <f t="shared" si="373"/>
        <v>Defensive</v>
      </c>
    </row>
    <row r="3384" spans="20:42" x14ac:dyDescent="0.2">
      <c r="T3384" t="str">
        <f t="shared" si="370"/>
        <v>o</v>
      </c>
      <c r="AM3384" t="str">
        <f t="shared" si="371"/>
        <v/>
      </c>
      <c r="AN3384" t="str">
        <f t="shared" si="372"/>
        <v/>
      </c>
      <c r="AP3384" t="str">
        <f t="shared" si="373"/>
        <v>Defensive</v>
      </c>
    </row>
    <row r="3385" spans="20:42" x14ac:dyDescent="0.2">
      <c r="T3385" t="str">
        <f t="shared" si="370"/>
        <v>o</v>
      </c>
      <c r="AM3385" t="str">
        <f t="shared" si="371"/>
        <v/>
      </c>
      <c r="AN3385" t="str">
        <f t="shared" si="372"/>
        <v/>
      </c>
      <c r="AP3385" t="str">
        <f t="shared" si="373"/>
        <v>Defensive</v>
      </c>
    </row>
    <row r="3386" spans="20:42" x14ac:dyDescent="0.2">
      <c r="T3386" t="str">
        <f t="shared" si="370"/>
        <v>o</v>
      </c>
      <c r="AM3386" t="str">
        <f t="shared" si="371"/>
        <v/>
      </c>
      <c r="AN3386" t="str">
        <f t="shared" si="372"/>
        <v/>
      </c>
      <c r="AP3386" t="str">
        <f t="shared" si="373"/>
        <v>Defensive</v>
      </c>
    </row>
    <row r="3387" spans="20:42" x14ac:dyDescent="0.2">
      <c r="T3387" t="str">
        <f t="shared" si="370"/>
        <v>o</v>
      </c>
      <c r="AM3387" t="str">
        <f t="shared" si="371"/>
        <v/>
      </c>
      <c r="AN3387" t="str">
        <f t="shared" si="372"/>
        <v/>
      </c>
      <c r="AP3387" t="str">
        <f t="shared" si="373"/>
        <v>Defensive</v>
      </c>
    </row>
    <row r="3388" spans="20:42" x14ac:dyDescent="0.2">
      <c r="T3388" t="str">
        <f t="shared" si="370"/>
        <v>o</v>
      </c>
      <c r="AM3388" t="str">
        <f t="shared" si="371"/>
        <v/>
      </c>
      <c r="AN3388" t="str">
        <f t="shared" si="372"/>
        <v/>
      </c>
      <c r="AP3388" t="str">
        <f t="shared" si="373"/>
        <v>Defensive</v>
      </c>
    </row>
    <row r="3389" spans="20:42" x14ac:dyDescent="0.2">
      <c r="T3389" t="str">
        <f t="shared" si="370"/>
        <v>o</v>
      </c>
      <c r="AM3389" t="str">
        <f t="shared" si="371"/>
        <v/>
      </c>
      <c r="AN3389" t="str">
        <f t="shared" si="372"/>
        <v/>
      </c>
      <c r="AP3389" t="str">
        <f t="shared" si="373"/>
        <v>Defensive</v>
      </c>
    </row>
    <row r="3390" spans="20:42" x14ac:dyDescent="0.2">
      <c r="T3390" t="str">
        <f t="shared" si="370"/>
        <v>o</v>
      </c>
      <c r="AM3390" t="str">
        <f t="shared" si="371"/>
        <v/>
      </c>
      <c r="AN3390" t="str">
        <f t="shared" si="372"/>
        <v/>
      </c>
      <c r="AP3390" t="str">
        <f t="shared" si="373"/>
        <v>Defensive</v>
      </c>
    </row>
    <row r="3391" spans="20:42" x14ac:dyDescent="0.2">
      <c r="T3391" t="str">
        <f t="shared" si="370"/>
        <v>o</v>
      </c>
      <c r="AM3391" t="str">
        <f t="shared" si="371"/>
        <v/>
      </c>
      <c r="AN3391" t="str">
        <f t="shared" si="372"/>
        <v/>
      </c>
      <c r="AP3391" t="str">
        <f t="shared" si="373"/>
        <v>Defensive</v>
      </c>
    </row>
    <row r="3392" spans="20:42" x14ac:dyDescent="0.2">
      <c r="T3392" t="str">
        <f t="shared" si="370"/>
        <v>o</v>
      </c>
      <c r="AM3392" t="str">
        <f t="shared" si="371"/>
        <v/>
      </c>
      <c r="AN3392" t="str">
        <f t="shared" si="372"/>
        <v/>
      </c>
      <c r="AP3392" t="str">
        <f t="shared" si="373"/>
        <v>Defensive</v>
      </c>
    </row>
    <row r="3393" spans="20:42" x14ac:dyDescent="0.2">
      <c r="T3393" t="str">
        <f t="shared" si="370"/>
        <v>o</v>
      </c>
      <c r="AM3393" t="str">
        <f t="shared" si="371"/>
        <v/>
      </c>
      <c r="AN3393" t="str">
        <f t="shared" si="372"/>
        <v/>
      </c>
      <c r="AP3393" t="str">
        <f t="shared" si="373"/>
        <v>Defensive</v>
      </c>
    </row>
    <row r="3394" spans="20:42" x14ac:dyDescent="0.2">
      <c r="T3394" t="str">
        <f t="shared" si="370"/>
        <v>o</v>
      </c>
      <c r="AM3394" t="str">
        <f t="shared" si="371"/>
        <v/>
      </c>
      <c r="AN3394" t="str">
        <f t="shared" si="372"/>
        <v/>
      </c>
      <c r="AP3394" t="str">
        <f t="shared" si="373"/>
        <v>Defensive</v>
      </c>
    </row>
    <row r="3395" spans="20:42" x14ac:dyDescent="0.2">
      <c r="T3395" t="str">
        <f t="shared" si="370"/>
        <v>o</v>
      </c>
      <c r="AM3395" t="str">
        <f t="shared" si="371"/>
        <v/>
      </c>
      <c r="AN3395" t="str">
        <f t="shared" si="372"/>
        <v/>
      </c>
      <c r="AP3395" t="str">
        <f t="shared" si="373"/>
        <v>Defensive</v>
      </c>
    </row>
    <row r="3396" spans="20:42" x14ac:dyDescent="0.2">
      <c r="T3396" t="str">
        <f t="shared" si="370"/>
        <v>o</v>
      </c>
      <c r="AM3396" t="str">
        <f t="shared" si="371"/>
        <v/>
      </c>
      <c r="AN3396" t="str">
        <f t="shared" si="372"/>
        <v/>
      </c>
      <c r="AP3396" t="str">
        <f t="shared" si="373"/>
        <v>Defensive</v>
      </c>
    </row>
    <row r="3397" spans="20:42" x14ac:dyDescent="0.2">
      <c r="T3397" t="str">
        <f t="shared" si="370"/>
        <v>o</v>
      </c>
      <c r="AM3397" t="str">
        <f t="shared" si="371"/>
        <v/>
      </c>
      <c r="AN3397" t="str">
        <f t="shared" si="372"/>
        <v/>
      </c>
      <c r="AP3397" t="str">
        <f t="shared" si="373"/>
        <v>Defensive</v>
      </c>
    </row>
    <row r="3398" spans="20:42" x14ac:dyDescent="0.2">
      <c r="T3398" t="str">
        <f t="shared" si="370"/>
        <v>o</v>
      </c>
      <c r="AM3398" t="str">
        <f t="shared" si="371"/>
        <v/>
      </c>
      <c r="AN3398" t="str">
        <f t="shared" si="372"/>
        <v/>
      </c>
      <c r="AP3398" t="str">
        <f t="shared" si="373"/>
        <v>Defensive</v>
      </c>
    </row>
    <row r="3399" spans="20:42" x14ac:dyDescent="0.2">
      <c r="T3399" t="str">
        <f t="shared" si="370"/>
        <v>o</v>
      </c>
      <c r="AM3399" t="str">
        <f t="shared" si="371"/>
        <v/>
      </c>
      <c r="AN3399" t="str">
        <f t="shared" si="372"/>
        <v/>
      </c>
      <c r="AP3399" t="str">
        <f t="shared" si="373"/>
        <v>Defensive</v>
      </c>
    </row>
    <row r="3400" spans="20:42" x14ac:dyDescent="0.2">
      <c r="T3400" t="str">
        <f t="shared" si="370"/>
        <v>o</v>
      </c>
      <c r="AM3400" t="str">
        <f t="shared" si="371"/>
        <v/>
      </c>
      <c r="AN3400" t="str">
        <f t="shared" si="372"/>
        <v/>
      </c>
      <c r="AP3400" t="str">
        <f t="shared" si="373"/>
        <v>Defensive</v>
      </c>
    </row>
    <row r="3401" spans="20:42" x14ac:dyDescent="0.2">
      <c r="T3401" t="str">
        <f t="shared" si="370"/>
        <v>o</v>
      </c>
      <c r="AM3401" t="str">
        <f t="shared" si="371"/>
        <v/>
      </c>
      <c r="AN3401" t="str">
        <f t="shared" si="372"/>
        <v/>
      </c>
      <c r="AP3401" t="str">
        <f t="shared" si="373"/>
        <v>Defensive</v>
      </c>
    </row>
    <row r="3402" spans="20:42" x14ac:dyDescent="0.2">
      <c r="T3402" t="str">
        <f t="shared" si="370"/>
        <v>o</v>
      </c>
      <c r="AM3402" t="str">
        <f t="shared" si="371"/>
        <v/>
      </c>
      <c r="AN3402" t="str">
        <f t="shared" si="372"/>
        <v/>
      </c>
      <c r="AP3402" t="str">
        <f t="shared" si="373"/>
        <v>Defensive</v>
      </c>
    </row>
    <row r="3403" spans="20:42" x14ac:dyDescent="0.2">
      <c r="T3403" t="str">
        <f t="shared" si="370"/>
        <v>o</v>
      </c>
      <c r="AM3403" t="str">
        <f t="shared" si="371"/>
        <v/>
      </c>
      <c r="AN3403" t="str">
        <f t="shared" si="372"/>
        <v/>
      </c>
      <c r="AP3403" t="str">
        <f t="shared" si="373"/>
        <v>Defensive</v>
      </c>
    </row>
    <row r="3404" spans="20:42" x14ac:dyDescent="0.2">
      <c r="T3404" t="str">
        <f t="shared" ref="T3404:T3467" si="374">IF(S3404="x","",IF(S3404=1,"e","o"))</f>
        <v>o</v>
      </c>
      <c r="AM3404" t="str">
        <f t="shared" si="371"/>
        <v/>
      </c>
      <c r="AN3404" t="str">
        <f t="shared" si="372"/>
        <v/>
      </c>
      <c r="AP3404" t="str">
        <f t="shared" si="373"/>
        <v>Defensive</v>
      </c>
    </row>
    <row r="3405" spans="20:42" x14ac:dyDescent="0.2">
      <c r="T3405" t="str">
        <f t="shared" si="374"/>
        <v>o</v>
      </c>
      <c r="AM3405" t="str">
        <f t="shared" si="371"/>
        <v/>
      </c>
      <c r="AN3405" t="str">
        <f t="shared" si="372"/>
        <v/>
      </c>
      <c r="AP3405" t="str">
        <f t="shared" si="373"/>
        <v>Defensive</v>
      </c>
    </row>
    <row r="3406" spans="20:42" x14ac:dyDescent="0.2">
      <c r="T3406" t="str">
        <f t="shared" si="374"/>
        <v>o</v>
      </c>
      <c r="AM3406" t="str">
        <f t="shared" si="371"/>
        <v/>
      </c>
      <c r="AN3406" t="str">
        <f t="shared" si="372"/>
        <v/>
      </c>
      <c r="AP3406" t="str">
        <f t="shared" si="373"/>
        <v>Defensive</v>
      </c>
    </row>
    <row r="3407" spans="20:42" x14ac:dyDescent="0.2">
      <c r="T3407" t="str">
        <f t="shared" si="374"/>
        <v>o</v>
      </c>
      <c r="AM3407" t="str">
        <f t="shared" ref="AM3407:AM3470" si="375">IF(U3407&lt;&gt;"",U3407,IF($A3407=$A3406,AM3406,""))</f>
        <v/>
      </c>
      <c r="AN3407" t="str">
        <f t="shared" ref="AN3407:AN3470" si="376">IF(V3407&lt;&gt;"",V3407,IF($A3407=$A3406,AN3406,""))</f>
        <v/>
      </c>
      <c r="AP3407" t="str">
        <f t="shared" ref="AP3407:AP3470" si="377">IF(AND(T3407="e",OR(AM3407="Save",AN3407="Turnover_Takeaway",AN3407="Play_Defensive")),"Defensive",IF(AND(T3407="o",OR(AM3407="Save",AN3407="Turnover_Takeaway",AN3407="Play_Defensive")),"Offensive",IF(OR(AM3407="Deadice",AM3407="Stoppage",AM3407="Intermission"),"",IF(T3407="e","Offensive",IF(T3407="o","Defensive","")))))</f>
        <v>Defensive</v>
      </c>
    </row>
    <row r="3408" spans="20:42" x14ac:dyDescent="0.2">
      <c r="T3408" t="str">
        <f t="shared" si="374"/>
        <v>o</v>
      </c>
      <c r="AM3408" t="str">
        <f t="shared" si="375"/>
        <v/>
      </c>
      <c r="AN3408" t="str">
        <f t="shared" si="376"/>
        <v/>
      </c>
      <c r="AP3408" t="str">
        <f t="shared" si="377"/>
        <v>Defensive</v>
      </c>
    </row>
    <row r="3409" spans="20:42" x14ac:dyDescent="0.2">
      <c r="T3409" t="str">
        <f t="shared" si="374"/>
        <v>o</v>
      </c>
      <c r="AM3409" t="str">
        <f t="shared" si="375"/>
        <v/>
      </c>
      <c r="AN3409" t="str">
        <f t="shared" si="376"/>
        <v/>
      </c>
      <c r="AP3409" t="str">
        <f t="shared" si="377"/>
        <v>Defensive</v>
      </c>
    </row>
    <row r="3410" spans="20:42" x14ac:dyDescent="0.2">
      <c r="T3410" t="str">
        <f t="shared" si="374"/>
        <v>o</v>
      </c>
      <c r="AM3410" t="str">
        <f t="shared" si="375"/>
        <v/>
      </c>
      <c r="AN3410" t="str">
        <f t="shared" si="376"/>
        <v/>
      </c>
      <c r="AP3410" t="str">
        <f t="shared" si="377"/>
        <v>Defensive</v>
      </c>
    </row>
    <row r="3411" spans="20:42" x14ac:dyDescent="0.2">
      <c r="T3411" t="str">
        <f t="shared" si="374"/>
        <v>o</v>
      </c>
      <c r="AM3411" t="str">
        <f t="shared" si="375"/>
        <v/>
      </c>
      <c r="AN3411" t="str">
        <f t="shared" si="376"/>
        <v/>
      </c>
      <c r="AP3411" t="str">
        <f t="shared" si="377"/>
        <v>Defensive</v>
      </c>
    </row>
    <row r="3412" spans="20:42" x14ac:dyDescent="0.2">
      <c r="T3412" t="str">
        <f t="shared" si="374"/>
        <v>o</v>
      </c>
      <c r="AM3412" t="str">
        <f t="shared" si="375"/>
        <v/>
      </c>
      <c r="AN3412" t="str">
        <f t="shared" si="376"/>
        <v/>
      </c>
      <c r="AP3412" t="str">
        <f t="shared" si="377"/>
        <v>Defensive</v>
      </c>
    </row>
    <row r="3413" spans="20:42" x14ac:dyDescent="0.2">
      <c r="T3413" t="str">
        <f t="shared" si="374"/>
        <v>o</v>
      </c>
      <c r="AM3413" t="str">
        <f t="shared" si="375"/>
        <v/>
      </c>
      <c r="AN3413" t="str">
        <f t="shared" si="376"/>
        <v/>
      </c>
      <c r="AP3413" t="str">
        <f t="shared" si="377"/>
        <v>Defensive</v>
      </c>
    </row>
    <row r="3414" spans="20:42" x14ac:dyDescent="0.2">
      <c r="T3414" t="str">
        <f t="shared" si="374"/>
        <v>o</v>
      </c>
      <c r="AM3414" t="str">
        <f t="shared" si="375"/>
        <v/>
      </c>
      <c r="AN3414" t="str">
        <f t="shared" si="376"/>
        <v/>
      </c>
      <c r="AP3414" t="str">
        <f t="shared" si="377"/>
        <v>Defensive</v>
      </c>
    </row>
    <row r="3415" spans="20:42" x14ac:dyDescent="0.2">
      <c r="T3415" t="str">
        <f t="shared" si="374"/>
        <v>o</v>
      </c>
      <c r="AM3415" t="str">
        <f t="shared" si="375"/>
        <v/>
      </c>
      <c r="AN3415" t="str">
        <f t="shared" si="376"/>
        <v/>
      </c>
      <c r="AP3415" t="str">
        <f t="shared" si="377"/>
        <v>Defensive</v>
      </c>
    </row>
    <row r="3416" spans="20:42" x14ac:dyDescent="0.2">
      <c r="T3416" t="str">
        <f t="shared" si="374"/>
        <v>o</v>
      </c>
      <c r="AM3416" t="str">
        <f t="shared" si="375"/>
        <v/>
      </c>
      <c r="AN3416" t="str">
        <f t="shared" si="376"/>
        <v/>
      </c>
      <c r="AP3416" t="str">
        <f t="shared" si="377"/>
        <v>Defensive</v>
      </c>
    </row>
    <row r="3417" spans="20:42" x14ac:dyDescent="0.2">
      <c r="T3417" t="str">
        <f t="shared" si="374"/>
        <v>o</v>
      </c>
      <c r="AM3417" t="str">
        <f t="shared" si="375"/>
        <v/>
      </c>
      <c r="AN3417" t="str">
        <f t="shared" si="376"/>
        <v/>
      </c>
      <c r="AP3417" t="str">
        <f t="shared" si="377"/>
        <v>Defensive</v>
      </c>
    </row>
    <row r="3418" spans="20:42" x14ac:dyDescent="0.2">
      <c r="T3418" t="str">
        <f t="shared" si="374"/>
        <v>o</v>
      </c>
      <c r="AM3418" t="str">
        <f t="shared" si="375"/>
        <v/>
      </c>
      <c r="AN3418" t="str">
        <f t="shared" si="376"/>
        <v/>
      </c>
      <c r="AP3418" t="str">
        <f t="shared" si="377"/>
        <v>Defensive</v>
      </c>
    </row>
    <row r="3419" spans="20:42" x14ac:dyDescent="0.2">
      <c r="T3419" t="str">
        <f t="shared" si="374"/>
        <v>o</v>
      </c>
      <c r="AM3419" t="str">
        <f t="shared" si="375"/>
        <v/>
      </c>
      <c r="AN3419" t="str">
        <f t="shared" si="376"/>
        <v/>
      </c>
      <c r="AP3419" t="str">
        <f t="shared" si="377"/>
        <v>Defensive</v>
      </c>
    </row>
    <row r="3420" spans="20:42" x14ac:dyDescent="0.2">
      <c r="T3420" t="str">
        <f t="shared" si="374"/>
        <v>o</v>
      </c>
      <c r="AM3420" t="str">
        <f t="shared" si="375"/>
        <v/>
      </c>
      <c r="AN3420" t="str">
        <f t="shared" si="376"/>
        <v/>
      </c>
      <c r="AP3420" t="str">
        <f t="shared" si="377"/>
        <v>Defensive</v>
      </c>
    </row>
    <row r="3421" spans="20:42" x14ac:dyDescent="0.2">
      <c r="T3421" t="str">
        <f t="shared" si="374"/>
        <v>o</v>
      </c>
      <c r="AM3421" t="str">
        <f t="shared" si="375"/>
        <v/>
      </c>
      <c r="AN3421" t="str">
        <f t="shared" si="376"/>
        <v/>
      </c>
      <c r="AP3421" t="str">
        <f t="shared" si="377"/>
        <v>Defensive</v>
      </c>
    </row>
    <row r="3422" spans="20:42" x14ac:dyDescent="0.2">
      <c r="T3422" t="str">
        <f t="shared" si="374"/>
        <v>o</v>
      </c>
      <c r="AM3422" t="str">
        <f t="shared" si="375"/>
        <v/>
      </c>
      <c r="AN3422" t="str">
        <f t="shared" si="376"/>
        <v/>
      </c>
      <c r="AP3422" t="str">
        <f t="shared" si="377"/>
        <v>Defensive</v>
      </c>
    </row>
    <row r="3423" spans="20:42" x14ac:dyDescent="0.2">
      <c r="T3423" t="str">
        <f t="shared" si="374"/>
        <v>o</v>
      </c>
      <c r="AM3423" t="str">
        <f t="shared" si="375"/>
        <v/>
      </c>
      <c r="AN3423" t="str">
        <f t="shared" si="376"/>
        <v/>
      </c>
      <c r="AP3423" t="str">
        <f t="shared" si="377"/>
        <v>Defensive</v>
      </c>
    </row>
    <row r="3424" spans="20:42" x14ac:dyDescent="0.2">
      <c r="T3424" t="str">
        <f t="shared" si="374"/>
        <v>o</v>
      </c>
      <c r="AM3424" t="str">
        <f t="shared" si="375"/>
        <v/>
      </c>
      <c r="AN3424" t="str">
        <f t="shared" si="376"/>
        <v/>
      </c>
      <c r="AP3424" t="str">
        <f t="shared" si="377"/>
        <v>Defensive</v>
      </c>
    </row>
    <row r="3425" spans="20:42" x14ac:dyDescent="0.2">
      <c r="T3425" t="str">
        <f t="shared" si="374"/>
        <v>o</v>
      </c>
      <c r="AM3425" t="str">
        <f t="shared" si="375"/>
        <v/>
      </c>
      <c r="AN3425" t="str">
        <f t="shared" si="376"/>
        <v/>
      </c>
      <c r="AP3425" t="str">
        <f t="shared" si="377"/>
        <v>Defensive</v>
      </c>
    </row>
    <row r="3426" spans="20:42" x14ac:dyDescent="0.2">
      <c r="T3426" t="str">
        <f t="shared" si="374"/>
        <v>o</v>
      </c>
      <c r="AM3426" t="str">
        <f t="shared" si="375"/>
        <v/>
      </c>
      <c r="AN3426" t="str">
        <f t="shared" si="376"/>
        <v/>
      </c>
      <c r="AP3426" t="str">
        <f t="shared" si="377"/>
        <v>Defensive</v>
      </c>
    </row>
    <row r="3427" spans="20:42" x14ac:dyDescent="0.2">
      <c r="T3427" t="str">
        <f t="shared" si="374"/>
        <v>o</v>
      </c>
      <c r="AM3427" t="str">
        <f t="shared" si="375"/>
        <v/>
      </c>
      <c r="AN3427" t="str">
        <f t="shared" si="376"/>
        <v/>
      </c>
      <c r="AP3427" t="str">
        <f t="shared" si="377"/>
        <v>Defensive</v>
      </c>
    </row>
    <row r="3428" spans="20:42" x14ac:dyDescent="0.2">
      <c r="T3428" t="str">
        <f t="shared" si="374"/>
        <v>o</v>
      </c>
      <c r="AM3428" t="str">
        <f t="shared" si="375"/>
        <v/>
      </c>
      <c r="AN3428" t="str">
        <f t="shared" si="376"/>
        <v/>
      </c>
      <c r="AP3428" t="str">
        <f t="shared" si="377"/>
        <v>Defensive</v>
      </c>
    </row>
    <row r="3429" spans="20:42" x14ac:dyDescent="0.2">
      <c r="T3429" t="str">
        <f t="shared" si="374"/>
        <v>o</v>
      </c>
      <c r="AM3429" t="str">
        <f t="shared" si="375"/>
        <v/>
      </c>
      <c r="AN3429" t="str">
        <f t="shared" si="376"/>
        <v/>
      </c>
      <c r="AP3429" t="str">
        <f t="shared" si="377"/>
        <v>Defensive</v>
      </c>
    </row>
    <row r="3430" spans="20:42" x14ac:dyDescent="0.2">
      <c r="T3430" t="str">
        <f t="shared" si="374"/>
        <v>o</v>
      </c>
      <c r="AM3430" t="str">
        <f t="shared" si="375"/>
        <v/>
      </c>
      <c r="AN3430" t="str">
        <f t="shared" si="376"/>
        <v/>
      </c>
      <c r="AP3430" t="str">
        <f t="shared" si="377"/>
        <v>Defensive</v>
      </c>
    </row>
    <row r="3431" spans="20:42" x14ac:dyDescent="0.2">
      <c r="T3431" t="str">
        <f t="shared" si="374"/>
        <v>o</v>
      </c>
      <c r="AM3431" t="str">
        <f t="shared" si="375"/>
        <v/>
      </c>
      <c r="AN3431" t="str">
        <f t="shared" si="376"/>
        <v/>
      </c>
      <c r="AP3431" t="str">
        <f t="shared" si="377"/>
        <v>Defensive</v>
      </c>
    </row>
    <row r="3432" spans="20:42" x14ac:dyDescent="0.2">
      <c r="T3432" t="str">
        <f t="shared" si="374"/>
        <v>o</v>
      </c>
      <c r="AM3432" t="str">
        <f t="shared" si="375"/>
        <v/>
      </c>
      <c r="AN3432" t="str">
        <f t="shared" si="376"/>
        <v/>
      </c>
      <c r="AP3432" t="str">
        <f t="shared" si="377"/>
        <v>Defensive</v>
      </c>
    </row>
    <row r="3433" spans="20:42" x14ac:dyDescent="0.2">
      <c r="T3433" t="str">
        <f t="shared" si="374"/>
        <v>o</v>
      </c>
      <c r="AM3433" t="str">
        <f t="shared" si="375"/>
        <v/>
      </c>
      <c r="AN3433" t="str">
        <f t="shared" si="376"/>
        <v/>
      </c>
      <c r="AP3433" t="str">
        <f t="shared" si="377"/>
        <v>Defensive</v>
      </c>
    </row>
    <row r="3434" spans="20:42" x14ac:dyDescent="0.2">
      <c r="T3434" t="str">
        <f t="shared" si="374"/>
        <v>o</v>
      </c>
      <c r="AM3434" t="str">
        <f t="shared" si="375"/>
        <v/>
      </c>
      <c r="AN3434" t="str">
        <f t="shared" si="376"/>
        <v/>
      </c>
      <c r="AP3434" t="str">
        <f t="shared" si="377"/>
        <v>Defensive</v>
      </c>
    </row>
    <row r="3435" spans="20:42" x14ac:dyDescent="0.2">
      <c r="T3435" t="str">
        <f t="shared" si="374"/>
        <v>o</v>
      </c>
      <c r="AM3435" t="str">
        <f t="shared" si="375"/>
        <v/>
      </c>
      <c r="AN3435" t="str">
        <f t="shared" si="376"/>
        <v/>
      </c>
      <c r="AP3435" t="str">
        <f t="shared" si="377"/>
        <v>Defensive</v>
      </c>
    </row>
    <row r="3436" spans="20:42" x14ac:dyDescent="0.2">
      <c r="T3436" t="str">
        <f t="shared" si="374"/>
        <v>o</v>
      </c>
      <c r="AM3436" t="str">
        <f t="shared" si="375"/>
        <v/>
      </c>
      <c r="AN3436" t="str">
        <f t="shared" si="376"/>
        <v/>
      </c>
      <c r="AP3436" t="str">
        <f t="shared" si="377"/>
        <v>Defensive</v>
      </c>
    </row>
    <row r="3437" spans="20:42" x14ac:dyDescent="0.2">
      <c r="T3437" t="str">
        <f t="shared" si="374"/>
        <v>o</v>
      </c>
      <c r="AM3437" t="str">
        <f t="shared" si="375"/>
        <v/>
      </c>
      <c r="AN3437" t="str">
        <f t="shared" si="376"/>
        <v/>
      </c>
      <c r="AP3437" t="str">
        <f t="shared" si="377"/>
        <v>Defensive</v>
      </c>
    </row>
    <row r="3438" spans="20:42" x14ac:dyDescent="0.2">
      <c r="T3438" t="str">
        <f t="shared" si="374"/>
        <v>o</v>
      </c>
      <c r="AM3438" t="str">
        <f t="shared" si="375"/>
        <v/>
      </c>
      <c r="AN3438" t="str">
        <f t="shared" si="376"/>
        <v/>
      </c>
      <c r="AP3438" t="str">
        <f t="shared" si="377"/>
        <v>Defensive</v>
      </c>
    </row>
    <row r="3439" spans="20:42" x14ac:dyDescent="0.2">
      <c r="T3439" t="str">
        <f t="shared" si="374"/>
        <v>o</v>
      </c>
      <c r="AM3439" t="str">
        <f t="shared" si="375"/>
        <v/>
      </c>
      <c r="AN3439" t="str">
        <f t="shared" si="376"/>
        <v/>
      </c>
      <c r="AP3439" t="str">
        <f t="shared" si="377"/>
        <v>Defensive</v>
      </c>
    </row>
    <row r="3440" spans="20:42" x14ac:dyDescent="0.2">
      <c r="T3440" t="str">
        <f t="shared" si="374"/>
        <v>o</v>
      </c>
      <c r="AM3440" t="str">
        <f t="shared" si="375"/>
        <v/>
      </c>
      <c r="AN3440" t="str">
        <f t="shared" si="376"/>
        <v/>
      </c>
      <c r="AP3440" t="str">
        <f t="shared" si="377"/>
        <v>Defensive</v>
      </c>
    </row>
    <row r="3441" spans="20:42" x14ac:dyDescent="0.2">
      <c r="T3441" t="str">
        <f t="shared" si="374"/>
        <v>o</v>
      </c>
      <c r="AM3441" t="str">
        <f t="shared" si="375"/>
        <v/>
      </c>
      <c r="AN3441" t="str">
        <f t="shared" si="376"/>
        <v/>
      </c>
      <c r="AP3441" t="str">
        <f t="shared" si="377"/>
        <v>Defensive</v>
      </c>
    </row>
    <row r="3442" spans="20:42" x14ac:dyDescent="0.2">
      <c r="T3442" t="str">
        <f t="shared" si="374"/>
        <v>o</v>
      </c>
      <c r="AM3442" t="str">
        <f t="shared" si="375"/>
        <v/>
      </c>
      <c r="AN3442" t="str">
        <f t="shared" si="376"/>
        <v/>
      </c>
      <c r="AP3442" t="str">
        <f t="shared" si="377"/>
        <v>Defensive</v>
      </c>
    </row>
    <row r="3443" spans="20:42" x14ac:dyDescent="0.2">
      <c r="T3443" t="str">
        <f t="shared" si="374"/>
        <v>o</v>
      </c>
      <c r="AM3443" t="str">
        <f t="shared" si="375"/>
        <v/>
      </c>
      <c r="AN3443" t="str">
        <f t="shared" si="376"/>
        <v/>
      </c>
      <c r="AP3443" t="str">
        <f t="shared" si="377"/>
        <v>Defensive</v>
      </c>
    </row>
    <row r="3444" spans="20:42" x14ac:dyDescent="0.2">
      <c r="T3444" t="str">
        <f t="shared" si="374"/>
        <v>o</v>
      </c>
      <c r="AM3444" t="str">
        <f t="shared" si="375"/>
        <v/>
      </c>
      <c r="AN3444" t="str">
        <f t="shared" si="376"/>
        <v/>
      </c>
      <c r="AP3444" t="str">
        <f t="shared" si="377"/>
        <v>Defensive</v>
      </c>
    </row>
    <row r="3445" spans="20:42" x14ac:dyDescent="0.2">
      <c r="T3445" t="str">
        <f t="shared" si="374"/>
        <v>o</v>
      </c>
      <c r="AM3445" t="str">
        <f t="shared" si="375"/>
        <v/>
      </c>
      <c r="AN3445" t="str">
        <f t="shared" si="376"/>
        <v/>
      </c>
      <c r="AP3445" t="str">
        <f t="shared" si="377"/>
        <v>Defensive</v>
      </c>
    </row>
    <row r="3446" spans="20:42" x14ac:dyDescent="0.2">
      <c r="T3446" t="str">
        <f t="shared" si="374"/>
        <v>o</v>
      </c>
      <c r="AM3446" t="str">
        <f t="shared" si="375"/>
        <v/>
      </c>
      <c r="AN3446" t="str">
        <f t="shared" si="376"/>
        <v/>
      </c>
      <c r="AP3446" t="str">
        <f t="shared" si="377"/>
        <v>Defensive</v>
      </c>
    </row>
    <row r="3447" spans="20:42" x14ac:dyDescent="0.2">
      <c r="T3447" t="str">
        <f t="shared" si="374"/>
        <v>o</v>
      </c>
      <c r="AM3447" t="str">
        <f t="shared" si="375"/>
        <v/>
      </c>
      <c r="AN3447" t="str">
        <f t="shared" si="376"/>
        <v/>
      </c>
      <c r="AP3447" t="str">
        <f t="shared" si="377"/>
        <v>Defensive</v>
      </c>
    </row>
    <row r="3448" spans="20:42" x14ac:dyDescent="0.2">
      <c r="T3448" t="str">
        <f t="shared" si="374"/>
        <v>o</v>
      </c>
      <c r="AM3448" t="str">
        <f t="shared" si="375"/>
        <v/>
      </c>
      <c r="AN3448" t="str">
        <f t="shared" si="376"/>
        <v/>
      </c>
      <c r="AP3448" t="str">
        <f t="shared" si="377"/>
        <v>Defensive</v>
      </c>
    </row>
    <row r="3449" spans="20:42" x14ac:dyDescent="0.2">
      <c r="T3449" t="str">
        <f t="shared" si="374"/>
        <v>o</v>
      </c>
      <c r="AM3449" t="str">
        <f t="shared" si="375"/>
        <v/>
      </c>
      <c r="AN3449" t="str">
        <f t="shared" si="376"/>
        <v/>
      </c>
      <c r="AP3449" t="str">
        <f t="shared" si="377"/>
        <v>Defensive</v>
      </c>
    </row>
    <row r="3450" spans="20:42" x14ac:dyDescent="0.2">
      <c r="T3450" t="str">
        <f t="shared" si="374"/>
        <v>o</v>
      </c>
      <c r="AM3450" t="str">
        <f t="shared" si="375"/>
        <v/>
      </c>
      <c r="AN3450" t="str">
        <f t="shared" si="376"/>
        <v/>
      </c>
      <c r="AP3450" t="str">
        <f t="shared" si="377"/>
        <v>Defensive</v>
      </c>
    </row>
    <row r="3451" spans="20:42" x14ac:dyDescent="0.2">
      <c r="T3451" t="str">
        <f t="shared" si="374"/>
        <v>o</v>
      </c>
      <c r="AM3451" t="str">
        <f t="shared" si="375"/>
        <v/>
      </c>
      <c r="AN3451" t="str">
        <f t="shared" si="376"/>
        <v/>
      </c>
      <c r="AP3451" t="str">
        <f t="shared" si="377"/>
        <v>Defensive</v>
      </c>
    </row>
    <row r="3452" spans="20:42" x14ac:dyDescent="0.2">
      <c r="T3452" t="str">
        <f t="shared" si="374"/>
        <v>o</v>
      </c>
      <c r="AM3452" t="str">
        <f t="shared" si="375"/>
        <v/>
      </c>
      <c r="AN3452" t="str">
        <f t="shared" si="376"/>
        <v/>
      </c>
      <c r="AP3452" t="str">
        <f t="shared" si="377"/>
        <v>Defensive</v>
      </c>
    </row>
    <row r="3453" spans="20:42" x14ac:dyDescent="0.2">
      <c r="T3453" t="str">
        <f t="shared" si="374"/>
        <v>o</v>
      </c>
      <c r="AM3453" t="str">
        <f t="shared" si="375"/>
        <v/>
      </c>
      <c r="AN3453" t="str">
        <f t="shared" si="376"/>
        <v/>
      </c>
      <c r="AP3453" t="str">
        <f t="shared" si="377"/>
        <v>Defensive</v>
      </c>
    </row>
    <row r="3454" spans="20:42" x14ac:dyDescent="0.2">
      <c r="T3454" t="str">
        <f t="shared" si="374"/>
        <v>o</v>
      </c>
      <c r="AM3454" t="str">
        <f t="shared" si="375"/>
        <v/>
      </c>
      <c r="AN3454" t="str">
        <f t="shared" si="376"/>
        <v/>
      </c>
      <c r="AP3454" t="str">
        <f t="shared" si="377"/>
        <v>Defensive</v>
      </c>
    </row>
    <row r="3455" spans="20:42" x14ac:dyDescent="0.2">
      <c r="T3455" t="str">
        <f t="shared" si="374"/>
        <v>o</v>
      </c>
      <c r="AM3455" t="str">
        <f t="shared" si="375"/>
        <v/>
      </c>
      <c r="AN3455" t="str">
        <f t="shared" si="376"/>
        <v/>
      </c>
      <c r="AP3455" t="str">
        <f t="shared" si="377"/>
        <v>Defensive</v>
      </c>
    </row>
    <row r="3456" spans="20:42" x14ac:dyDescent="0.2">
      <c r="T3456" t="str">
        <f t="shared" si="374"/>
        <v>o</v>
      </c>
      <c r="AM3456" t="str">
        <f t="shared" si="375"/>
        <v/>
      </c>
      <c r="AN3456" t="str">
        <f t="shared" si="376"/>
        <v/>
      </c>
      <c r="AP3456" t="str">
        <f t="shared" si="377"/>
        <v>Defensive</v>
      </c>
    </row>
    <row r="3457" spans="20:42" x14ac:dyDescent="0.2">
      <c r="T3457" t="str">
        <f t="shared" si="374"/>
        <v>o</v>
      </c>
      <c r="AM3457" t="str">
        <f t="shared" si="375"/>
        <v/>
      </c>
      <c r="AN3457" t="str">
        <f t="shared" si="376"/>
        <v/>
      </c>
      <c r="AP3457" t="str">
        <f t="shared" si="377"/>
        <v>Defensive</v>
      </c>
    </row>
    <row r="3458" spans="20:42" x14ac:dyDescent="0.2">
      <c r="T3458" t="str">
        <f t="shared" si="374"/>
        <v>o</v>
      </c>
      <c r="AM3458" t="str">
        <f t="shared" si="375"/>
        <v/>
      </c>
      <c r="AN3458" t="str">
        <f t="shared" si="376"/>
        <v/>
      </c>
      <c r="AP3458" t="str">
        <f t="shared" si="377"/>
        <v>Defensive</v>
      </c>
    </row>
    <row r="3459" spans="20:42" x14ac:dyDescent="0.2">
      <c r="T3459" t="str">
        <f t="shared" si="374"/>
        <v>o</v>
      </c>
      <c r="AM3459" t="str">
        <f t="shared" si="375"/>
        <v/>
      </c>
      <c r="AN3459" t="str">
        <f t="shared" si="376"/>
        <v/>
      </c>
      <c r="AP3459" t="str">
        <f t="shared" si="377"/>
        <v>Defensive</v>
      </c>
    </row>
    <row r="3460" spans="20:42" x14ac:dyDescent="0.2">
      <c r="T3460" t="str">
        <f t="shared" si="374"/>
        <v>o</v>
      </c>
      <c r="AM3460" t="str">
        <f t="shared" si="375"/>
        <v/>
      </c>
      <c r="AN3460" t="str">
        <f t="shared" si="376"/>
        <v/>
      </c>
      <c r="AP3460" t="str">
        <f t="shared" si="377"/>
        <v>Defensive</v>
      </c>
    </row>
    <row r="3461" spans="20:42" x14ac:dyDescent="0.2">
      <c r="T3461" t="str">
        <f t="shared" si="374"/>
        <v>o</v>
      </c>
      <c r="AM3461" t="str">
        <f t="shared" si="375"/>
        <v/>
      </c>
      <c r="AN3461" t="str">
        <f t="shared" si="376"/>
        <v/>
      </c>
      <c r="AP3461" t="str">
        <f t="shared" si="377"/>
        <v>Defensive</v>
      </c>
    </row>
    <row r="3462" spans="20:42" x14ac:dyDescent="0.2">
      <c r="T3462" t="str">
        <f t="shared" si="374"/>
        <v>o</v>
      </c>
      <c r="AM3462" t="str">
        <f t="shared" si="375"/>
        <v/>
      </c>
      <c r="AN3462" t="str">
        <f t="shared" si="376"/>
        <v/>
      </c>
      <c r="AP3462" t="str">
        <f t="shared" si="377"/>
        <v>Defensive</v>
      </c>
    </row>
    <row r="3463" spans="20:42" x14ac:dyDescent="0.2">
      <c r="T3463" t="str">
        <f t="shared" si="374"/>
        <v>o</v>
      </c>
      <c r="AM3463" t="str">
        <f t="shared" si="375"/>
        <v/>
      </c>
      <c r="AN3463" t="str">
        <f t="shared" si="376"/>
        <v/>
      </c>
      <c r="AP3463" t="str">
        <f t="shared" si="377"/>
        <v>Defensive</v>
      </c>
    </row>
    <row r="3464" spans="20:42" x14ac:dyDescent="0.2">
      <c r="T3464" t="str">
        <f t="shared" si="374"/>
        <v>o</v>
      </c>
      <c r="AM3464" t="str">
        <f t="shared" si="375"/>
        <v/>
      </c>
      <c r="AN3464" t="str">
        <f t="shared" si="376"/>
        <v/>
      </c>
      <c r="AP3464" t="str">
        <f t="shared" si="377"/>
        <v>Defensive</v>
      </c>
    </row>
    <row r="3465" spans="20:42" x14ac:dyDescent="0.2">
      <c r="T3465" t="str">
        <f t="shared" si="374"/>
        <v>o</v>
      </c>
      <c r="AM3465" t="str">
        <f t="shared" si="375"/>
        <v/>
      </c>
      <c r="AN3465" t="str">
        <f t="shared" si="376"/>
        <v/>
      </c>
      <c r="AP3465" t="str">
        <f t="shared" si="377"/>
        <v>Defensive</v>
      </c>
    </row>
    <row r="3466" spans="20:42" x14ac:dyDescent="0.2">
      <c r="T3466" t="str">
        <f t="shared" si="374"/>
        <v>o</v>
      </c>
      <c r="AM3466" t="str">
        <f t="shared" si="375"/>
        <v/>
      </c>
      <c r="AN3466" t="str">
        <f t="shared" si="376"/>
        <v/>
      </c>
      <c r="AP3466" t="str">
        <f t="shared" si="377"/>
        <v>Defensive</v>
      </c>
    </row>
    <row r="3467" spans="20:42" x14ac:dyDescent="0.2">
      <c r="T3467" t="str">
        <f t="shared" si="374"/>
        <v>o</v>
      </c>
      <c r="AM3467" t="str">
        <f t="shared" si="375"/>
        <v/>
      </c>
      <c r="AN3467" t="str">
        <f t="shared" si="376"/>
        <v/>
      </c>
      <c r="AP3467" t="str">
        <f t="shared" si="377"/>
        <v>Defensive</v>
      </c>
    </row>
    <row r="3468" spans="20:42" x14ac:dyDescent="0.2">
      <c r="T3468" t="str">
        <f t="shared" ref="T3468:T3531" si="378">IF(S3468="x","",IF(S3468=1,"e","o"))</f>
        <v>o</v>
      </c>
      <c r="AM3468" t="str">
        <f t="shared" si="375"/>
        <v/>
      </c>
      <c r="AN3468" t="str">
        <f t="shared" si="376"/>
        <v/>
      </c>
      <c r="AP3468" t="str">
        <f t="shared" si="377"/>
        <v>Defensive</v>
      </c>
    </row>
    <row r="3469" spans="20:42" x14ac:dyDescent="0.2">
      <c r="T3469" t="str">
        <f t="shared" si="378"/>
        <v>o</v>
      </c>
      <c r="AM3469" t="str">
        <f t="shared" si="375"/>
        <v/>
      </c>
      <c r="AN3469" t="str">
        <f t="shared" si="376"/>
        <v/>
      </c>
      <c r="AP3469" t="str">
        <f t="shared" si="377"/>
        <v>Defensive</v>
      </c>
    </row>
    <row r="3470" spans="20:42" x14ac:dyDescent="0.2">
      <c r="T3470" t="str">
        <f t="shared" si="378"/>
        <v>o</v>
      </c>
      <c r="AM3470" t="str">
        <f t="shared" si="375"/>
        <v/>
      </c>
      <c r="AN3470" t="str">
        <f t="shared" si="376"/>
        <v/>
      </c>
      <c r="AP3470" t="str">
        <f t="shared" si="377"/>
        <v>Defensive</v>
      </c>
    </row>
    <row r="3471" spans="20:42" x14ac:dyDescent="0.2">
      <c r="T3471" t="str">
        <f t="shared" si="378"/>
        <v>o</v>
      </c>
      <c r="AM3471" t="str">
        <f t="shared" ref="AM3471:AM3534" si="379">IF(U3471&lt;&gt;"",U3471,IF($A3471=$A3470,AM3470,""))</f>
        <v/>
      </c>
      <c r="AN3471" t="str">
        <f t="shared" ref="AN3471:AN3534" si="380">IF(V3471&lt;&gt;"",V3471,IF($A3471=$A3470,AN3470,""))</f>
        <v/>
      </c>
      <c r="AP3471" t="str">
        <f t="shared" ref="AP3471:AP3534" si="381">IF(AND(T3471="e",OR(AM3471="Save",AN3471="Turnover_Takeaway",AN3471="Play_Defensive")),"Defensive",IF(AND(T3471="o",OR(AM3471="Save",AN3471="Turnover_Takeaway",AN3471="Play_Defensive")),"Offensive",IF(OR(AM3471="Deadice",AM3471="Stoppage",AM3471="Intermission"),"",IF(T3471="e","Offensive",IF(T3471="o","Defensive","")))))</f>
        <v>Defensive</v>
      </c>
    </row>
    <row r="3472" spans="20:42" x14ac:dyDescent="0.2">
      <c r="T3472" t="str">
        <f t="shared" si="378"/>
        <v>o</v>
      </c>
      <c r="AM3472" t="str">
        <f t="shared" si="379"/>
        <v/>
      </c>
      <c r="AN3472" t="str">
        <f t="shared" si="380"/>
        <v/>
      </c>
      <c r="AP3472" t="str">
        <f t="shared" si="381"/>
        <v>Defensive</v>
      </c>
    </row>
    <row r="3473" spans="20:42" x14ac:dyDescent="0.2">
      <c r="T3473" t="str">
        <f t="shared" si="378"/>
        <v>o</v>
      </c>
      <c r="AM3473" t="str">
        <f t="shared" si="379"/>
        <v/>
      </c>
      <c r="AN3473" t="str">
        <f t="shared" si="380"/>
        <v/>
      </c>
      <c r="AP3473" t="str">
        <f t="shared" si="381"/>
        <v>Defensive</v>
      </c>
    </row>
    <row r="3474" spans="20:42" x14ac:dyDescent="0.2">
      <c r="T3474" t="str">
        <f t="shared" si="378"/>
        <v>o</v>
      </c>
      <c r="AM3474" t="str">
        <f t="shared" si="379"/>
        <v/>
      </c>
      <c r="AN3474" t="str">
        <f t="shared" si="380"/>
        <v/>
      </c>
      <c r="AP3474" t="str">
        <f t="shared" si="381"/>
        <v>Defensive</v>
      </c>
    </row>
    <row r="3475" spans="20:42" x14ac:dyDescent="0.2">
      <c r="T3475" t="str">
        <f t="shared" si="378"/>
        <v>o</v>
      </c>
      <c r="AM3475" t="str">
        <f t="shared" si="379"/>
        <v/>
      </c>
      <c r="AN3475" t="str">
        <f t="shared" si="380"/>
        <v/>
      </c>
      <c r="AP3475" t="str">
        <f t="shared" si="381"/>
        <v>Defensive</v>
      </c>
    </row>
    <row r="3476" spans="20:42" x14ac:dyDescent="0.2">
      <c r="T3476" t="str">
        <f t="shared" si="378"/>
        <v>o</v>
      </c>
      <c r="AM3476" t="str">
        <f t="shared" si="379"/>
        <v/>
      </c>
      <c r="AN3476" t="str">
        <f t="shared" si="380"/>
        <v/>
      </c>
      <c r="AP3476" t="str">
        <f t="shared" si="381"/>
        <v>Defensive</v>
      </c>
    </row>
    <row r="3477" spans="20:42" x14ac:dyDescent="0.2">
      <c r="T3477" t="str">
        <f t="shared" si="378"/>
        <v>o</v>
      </c>
      <c r="AM3477" t="str">
        <f t="shared" si="379"/>
        <v/>
      </c>
      <c r="AN3477" t="str">
        <f t="shared" si="380"/>
        <v/>
      </c>
      <c r="AP3477" t="str">
        <f t="shared" si="381"/>
        <v>Defensive</v>
      </c>
    </row>
    <row r="3478" spans="20:42" x14ac:dyDescent="0.2">
      <c r="T3478" t="str">
        <f t="shared" si="378"/>
        <v>o</v>
      </c>
      <c r="AM3478" t="str">
        <f t="shared" si="379"/>
        <v/>
      </c>
      <c r="AN3478" t="str">
        <f t="shared" si="380"/>
        <v/>
      </c>
      <c r="AP3478" t="str">
        <f t="shared" si="381"/>
        <v>Defensive</v>
      </c>
    </row>
    <row r="3479" spans="20:42" x14ac:dyDescent="0.2">
      <c r="T3479" t="str">
        <f t="shared" si="378"/>
        <v>o</v>
      </c>
      <c r="AM3479" t="str">
        <f t="shared" si="379"/>
        <v/>
      </c>
      <c r="AN3479" t="str">
        <f t="shared" si="380"/>
        <v/>
      </c>
      <c r="AP3479" t="str">
        <f t="shared" si="381"/>
        <v>Defensive</v>
      </c>
    </row>
    <row r="3480" spans="20:42" x14ac:dyDescent="0.2">
      <c r="T3480" t="str">
        <f t="shared" si="378"/>
        <v>o</v>
      </c>
      <c r="AM3480" t="str">
        <f t="shared" si="379"/>
        <v/>
      </c>
      <c r="AN3480" t="str">
        <f t="shared" si="380"/>
        <v/>
      </c>
      <c r="AP3480" t="str">
        <f t="shared" si="381"/>
        <v>Defensive</v>
      </c>
    </row>
    <row r="3481" spans="20:42" x14ac:dyDescent="0.2">
      <c r="T3481" t="str">
        <f t="shared" si="378"/>
        <v>o</v>
      </c>
      <c r="AM3481" t="str">
        <f t="shared" si="379"/>
        <v/>
      </c>
      <c r="AN3481" t="str">
        <f t="shared" si="380"/>
        <v/>
      </c>
      <c r="AP3481" t="str">
        <f t="shared" si="381"/>
        <v>Defensive</v>
      </c>
    </row>
    <row r="3482" spans="20:42" x14ac:dyDescent="0.2">
      <c r="T3482" t="str">
        <f t="shared" si="378"/>
        <v>o</v>
      </c>
      <c r="AM3482" t="str">
        <f t="shared" si="379"/>
        <v/>
      </c>
      <c r="AN3482" t="str">
        <f t="shared" si="380"/>
        <v/>
      </c>
      <c r="AP3482" t="str">
        <f t="shared" si="381"/>
        <v>Defensive</v>
      </c>
    </row>
    <row r="3483" spans="20:42" x14ac:dyDescent="0.2">
      <c r="T3483" t="str">
        <f t="shared" si="378"/>
        <v>o</v>
      </c>
      <c r="AM3483" t="str">
        <f t="shared" si="379"/>
        <v/>
      </c>
      <c r="AN3483" t="str">
        <f t="shared" si="380"/>
        <v/>
      </c>
      <c r="AP3483" t="str">
        <f t="shared" si="381"/>
        <v>Defensive</v>
      </c>
    </row>
    <row r="3484" spans="20:42" x14ac:dyDescent="0.2">
      <c r="T3484" t="str">
        <f t="shared" si="378"/>
        <v>o</v>
      </c>
      <c r="AM3484" t="str">
        <f t="shared" si="379"/>
        <v/>
      </c>
      <c r="AN3484" t="str">
        <f t="shared" si="380"/>
        <v/>
      </c>
      <c r="AP3484" t="str">
        <f t="shared" si="381"/>
        <v>Defensive</v>
      </c>
    </row>
    <row r="3485" spans="20:42" x14ac:dyDescent="0.2">
      <c r="T3485" t="str">
        <f t="shared" si="378"/>
        <v>o</v>
      </c>
      <c r="AM3485" t="str">
        <f t="shared" si="379"/>
        <v/>
      </c>
      <c r="AN3485" t="str">
        <f t="shared" si="380"/>
        <v/>
      </c>
      <c r="AP3485" t="str">
        <f t="shared" si="381"/>
        <v>Defensive</v>
      </c>
    </row>
    <row r="3486" spans="20:42" x14ac:dyDescent="0.2">
      <c r="T3486" t="str">
        <f t="shared" si="378"/>
        <v>o</v>
      </c>
      <c r="AM3486" t="str">
        <f t="shared" si="379"/>
        <v/>
      </c>
      <c r="AN3486" t="str">
        <f t="shared" si="380"/>
        <v/>
      </c>
      <c r="AP3486" t="str">
        <f t="shared" si="381"/>
        <v>Defensive</v>
      </c>
    </row>
    <row r="3487" spans="20:42" x14ac:dyDescent="0.2">
      <c r="T3487" t="str">
        <f t="shared" si="378"/>
        <v>o</v>
      </c>
      <c r="AM3487" t="str">
        <f t="shared" si="379"/>
        <v/>
      </c>
      <c r="AN3487" t="str">
        <f t="shared" si="380"/>
        <v/>
      </c>
      <c r="AP3487" t="str">
        <f t="shared" si="381"/>
        <v>Defensive</v>
      </c>
    </row>
    <row r="3488" spans="20:42" x14ac:dyDescent="0.2">
      <c r="T3488" t="str">
        <f t="shared" si="378"/>
        <v>o</v>
      </c>
      <c r="AM3488" t="str">
        <f t="shared" si="379"/>
        <v/>
      </c>
      <c r="AN3488" t="str">
        <f t="shared" si="380"/>
        <v/>
      </c>
      <c r="AP3488" t="str">
        <f t="shared" si="381"/>
        <v>Defensive</v>
      </c>
    </row>
    <row r="3489" spans="20:42" x14ac:dyDescent="0.2">
      <c r="T3489" t="str">
        <f t="shared" si="378"/>
        <v>o</v>
      </c>
      <c r="AM3489" t="str">
        <f t="shared" si="379"/>
        <v/>
      </c>
      <c r="AN3489" t="str">
        <f t="shared" si="380"/>
        <v/>
      </c>
      <c r="AP3489" t="str">
        <f t="shared" si="381"/>
        <v>Defensive</v>
      </c>
    </row>
    <row r="3490" spans="20:42" x14ac:dyDescent="0.2">
      <c r="T3490" t="str">
        <f t="shared" si="378"/>
        <v>o</v>
      </c>
      <c r="AM3490" t="str">
        <f t="shared" si="379"/>
        <v/>
      </c>
      <c r="AN3490" t="str">
        <f t="shared" si="380"/>
        <v/>
      </c>
      <c r="AP3490" t="str">
        <f t="shared" si="381"/>
        <v>Defensive</v>
      </c>
    </row>
    <row r="3491" spans="20:42" x14ac:dyDescent="0.2">
      <c r="T3491" t="str">
        <f t="shared" si="378"/>
        <v>o</v>
      </c>
      <c r="AM3491" t="str">
        <f t="shared" si="379"/>
        <v/>
      </c>
      <c r="AN3491" t="str">
        <f t="shared" si="380"/>
        <v/>
      </c>
      <c r="AP3491" t="str">
        <f t="shared" si="381"/>
        <v>Defensive</v>
      </c>
    </row>
    <row r="3492" spans="20:42" x14ac:dyDescent="0.2">
      <c r="T3492" t="str">
        <f t="shared" si="378"/>
        <v>o</v>
      </c>
      <c r="AM3492" t="str">
        <f t="shared" si="379"/>
        <v/>
      </c>
      <c r="AN3492" t="str">
        <f t="shared" si="380"/>
        <v/>
      </c>
      <c r="AP3492" t="str">
        <f t="shared" si="381"/>
        <v>Defensive</v>
      </c>
    </row>
    <row r="3493" spans="20:42" x14ac:dyDescent="0.2">
      <c r="T3493" t="str">
        <f t="shared" si="378"/>
        <v>o</v>
      </c>
      <c r="AM3493" t="str">
        <f t="shared" si="379"/>
        <v/>
      </c>
      <c r="AN3493" t="str">
        <f t="shared" si="380"/>
        <v/>
      </c>
      <c r="AP3493" t="str">
        <f t="shared" si="381"/>
        <v>Defensive</v>
      </c>
    </row>
    <row r="3494" spans="20:42" x14ac:dyDescent="0.2">
      <c r="T3494" t="str">
        <f t="shared" si="378"/>
        <v>o</v>
      </c>
      <c r="AM3494" t="str">
        <f t="shared" si="379"/>
        <v/>
      </c>
      <c r="AN3494" t="str">
        <f t="shared" si="380"/>
        <v/>
      </c>
      <c r="AP3494" t="str">
        <f t="shared" si="381"/>
        <v>Defensive</v>
      </c>
    </row>
    <row r="3495" spans="20:42" x14ac:dyDescent="0.2">
      <c r="T3495" t="str">
        <f t="shared" si="378"/>
        <v>o</v>
      </c>
      <c r="AM3495" t="str">
        <f t="shared" si="379"/>
        <v/>
      </c>
      <c r="AN3495" t="str">
        <f t="shared" si="380"/>
        <v/>
      </c>
      <c r="AP3495" t="str">
        <f t="shared" si="381"/>
        <v>Defensive</v>
      </c>
    </row>
    <row r="3496" spans="20:42" x14ac:dyDescent="0.2">
      <c r="T3496" t="str">
        <f t="shared" si="378"/>
        <v>o</v>
      </c>
      <c r="AM3496" t="str">
        <f t="shared" si="379"/>
        <v/>
      </c>
      <c r="AN3496" t="str">
        <f t="shared" si="380"/>
        <v/>
      </c>
      <c r="AP3496" t="str">
        <f t="shared" si="381"/>
        <v>Defensive</v>
      </c>
    </row>
    <row r="3497" spans="20:42" x14ac:dyDescent="0.2">
      <c r="T3497" t="str">
        <f t="shared" si="378"/>
        <v>o</v>
      </c>
      <c r="AM3497" t="str">
        <f t="shared" si="379"/>
        <v/>
      </c>
      <c r="AN3497" t="str">
        <f t="shared" si="380"/>
        <v/>
      </c>
      <c r="AP3497" t="str">
        <f t="shared" si="381"/>
        <v>Defensive</v>
      </c>
    </row>
    <row r="3498" spans="20:42" x14ac:dyDescent="0.2">
      <c r="T3498" t="str">
        <f t="shared" si="378"/>
        <v>o</v>
      </c>
      <c r="AM3498" t="str">
        <f t="shared" si="379"/>
        <v/>
      </c>
      <c r="AN3498" t="str">
        <f t="shared" si="380"/>
        <v/>
      </c>
      <c r="AP3498" t="str">
        <f t="shared" si="381"/>
        <v>Defensive</v>
      </c>
    </row>
    <row r="3499" spans="20:42" x14ac:dyDescent="0.2">
      <c r="T3499" t="str">
        <f t="shared" si="378"/>
        <v>o</v>
      </c>
      <c r="AM3499" t="str">
        <f t="shared" si="379"/>
        <v/>
      </c>
      <c r="AN3499" t="str">
        <f t="shared" si="380"/>
        <v/>
      </c>
      <c r="AP3499" t="str">
        <f t="shared" si="381"/>
        <v>Defensive</v>
      </c>
    </row>
    <row r="3500" spans="20:42" x14ac:dyDescent="0.2">
      <c r="T3500" t="str">
        <f t="shared" si="378"/>
        <v>o</v>
      </c>
      <c r="AM3500" t="str">
        <f t="shared" si="379"/>
        <v/>
      </c>
      <c r="AN3500" t="str">
        <f t="shared" si="380"/>
        <v/>
      </c>
      <c r="AP3500" t="str">
        <f t="shared" si="381"/>
        <v>Defensive</v>
      </c>
    </row>
    <row r="3501" spans="20:42" x14ac:dyDescent="0.2">
      <c r="T3501" t="str">
        <f t="shared" si="378"/>
        <v>o</v>
      </c>
      <c r="AM3501" t="str">
        <f t="shared" si="379"/>
        <v/>
      </c>
      <c r="AN3501" t="str">
        <f t="shared" si="380"/>
        <v/>
      </c>
      <c r="AP3501" t="str">
        <f t="shared" si="381"/>
        <v>Defensive</v>
      </c>
    </row>
    <row r="3502" spans="20:42" x14ac:dyDescent="0.2">
      <c r="T3502" t="str">
        <f t="shared" si="378"/>
        <v>o</v>
      </c>
      <c r="AM3502" t="str">
        <f t="shared" si="379"/>
        <v/>
      </c>
      <c r="AN3502" t="str">
        <f t="shared" si="380"/>
        <v/>
      </c>
      <c r="AP3502" t="str">
        <f t="shared" si="381"/>
        <v>Defensive</v>
      </c>
    </row>
    <row r="3503" spans="20:42" x14ac:dyDescent="0.2">
      <c r="T3503" t="str">
        <f t="shared" si="378"/>
        <v>o</v>
      </c>
      <c r="AM3503" t="str">
        <f t="shared" si="379"/>
        <v/>
      </c>
      <c r="AN3503" t="str">
        <f t="shared" si="380"/>
        <v/>
      </c>
      <c r="AP3503" t="str">
        <f t="shared" si="381"/>
        <v>Defensive</v>
      </c>
    </row>
    <row r="3504" spans="20:42" x14ac:dyDescent="0.2">
      <c r="T3504" t="str">
        <f t="shared" si="378"/>
        <v>o</v>
      </c>
      <c r="AM3504" t="str">
        <f t="shared" si="379"/>
        <v/>
      </c>
      <c r="AN3504" t="str">
        <f t="shared" si="380"/>
        <v/>
      </c>
      <c r="AP3504" t="str">
        <f t="shared" si="381"/>
        <v>Defensive</v>
      </c>
    </row>
    <row r="3505" spans="20:42" x14ac:dyDescent="0.2">
      <c r="T3505" t="str">
        <f t="shared" si="378"/>
        <v>o</v>
      </c>
      <c r="AM3505" t="str">
        <f t="shared" si="379"/>
        <v/>
      </c>
      <c r="AN3505" t="str">
        <f t="shared" si="380"/>
        <v/>
      </c>
      <c r="AP3505" t="str">
        <f t="shared" si="381"/>
        <v>Defensive</v>
      </c>
    </row>
    <row r="3506" spans="20:42" x14ac:dyDescent="0.2">
      <c r="T3506" t="str">
        <f t="shared" si="378"/>
        <v>o</v>
      </c>
      <c r="AM3506" t="str">
        <f t="shared" si="379"/>
        <v/>
      </c>
      <c r="AN3506" t="str">
        <f t="shared" si="380"/>
        <v/>
      </c>
      <c r="AP3506" t="str">
        <f t="shared" si="381"/>
        <v>Defensive</v>
      </c>
    </row>
    <row r="3507" spans="20:42" x14ac:dyDescent="0.2">
      <c r="T3507" t="str">
        <f t="shared" si="378"/>
        <v>o</v>
      </c>
      <c r="AM3507" t="str">
        <f t="shared" si="379"/>
        <v/>
      </c>
      <c r="AN3507" t="str">
        <f t="shared" si="380"/>
        <v/>
      </c>
      <c r="AP3507" t="str">
        <f t="shared" si="381"/>
        <v>Defensive</v>
      </c>
    </row>
    <row r="3508" spans="20:42" x14ac:dyDescent="0.2">
      <c r="T3508" t="str">
        <f t="shared" si="378"/>
        <v>o</v>
      </c>
      <c r="AM3508" t="str">
        <f t="shared" si="379"/>
        <v/>
      </c>
      <c r="AN3508" t="str">
        <f t="shared" si="380"/>
        <v/>
      </c>
      <c r="AP3508" t="str">
        <f t="shared" si="381"/>
        <v>Defensive</v>
      </c>
    </row>
    <row r="3509" spans="20:42" x14ac:dyDescent="0.2">
      <c r="T3509" t="str">
        <f t="shared" si="378"/>
        <v>o</v>
      </c>
      <c r="AM3509" t="str">
        <f t="shared" si="379"/>
        <v/>
      </c>
      <c r="AN3509" t="str">
        <f t="shared" si="380"/>
        <v/>
      </c>
      <c r="AP3509" t="str">
        <f t="shared" si="381"/>
        <v>Defensive</v>
      </c>
    </row>
    <row r="3510" spans="20:42" x14ac:dyDescent="0.2">
      <c r="T3510" t="str">
        <f t="shared" si="378"/>
        <v>o</v>
      </c>
      <c r="AM3510" t="str">
        <f t="shared" si="379"/>
        <v/>
      </c>
      <c r="AN3510" t="str">
        <f t="shared" si="380"/>
        <v/>
      </c>
      <c r="AP3510" t="str">
        <f t="shared" si="381"/>
        <v>Defensive</v>
      </c>
    </row>
    <row r="3511" spans="20:42" x14ac:dyDescent="0.2">
      <c r="T3511" t="str">
        <f t="shared" si="378"/>
        <v>o</v>
      </c>
      <c r="AM3511" t="str">
        <f t="shared" si="379"/>
        <v/>
      </c>
      <c r="AN3511" t="str">
        <f t="shared" si="380"/>
        <v/>
      </c>
      <c r="AP3511" t="str">
        <f t="shared" si="381"/>
        <v>Defensive</v>
      </c>
    </row>
    <row r="3512" spans="20:42" x14ac:dyDescent="0.2">
      <c r="T3512" t="str">
        <f t="shared" si="378"/>
        <v>o</v>
      </c>
      <c r="AM3512" t="str">
        <f t="shared" si="379"/>
        <v/>
      </c>
      <c r="AN3512" t="str">
        <f t="shared" si="380"/>
        <v/>
      </c>
      <c r="AP3512" t="str">
        <f t="shared" si="381"/>
        <v>Defensive</v>
      </c>
    </row>
    <row r="3513" spans="20:42" x14ac:dyDescent="0.2">
      <c r="T3513" t="str">
        <f t="shared" si="378"/>
        <v>o</v>
      </c>
      <c r="AM3513" t="str">
        <f t="shared" si="379"/>
        <v/>
      </c>
      <c r="AN3513" t="str">
        <f t="shared" si="380"/>
        <v/>
      </c>
      <c r="AP3513" t="str">
        <f t="shared" si="381"/>
        <v>Defensive</v>
      </c>
    </row>
    <row r="3514" spans="20:42" x14ac:dyDescent="0.2">
      <c r="T3514" t="str">
        <f t="shared" si="378"/>
        <v>o</v>
      </c>
      <c r="AM3514" t="str">
        <f t="shared" si="379"/>
        <v/>
      </c>
      <c r="AN3514" t="str">
        <f t="shared" si="380"/>
        <v/>
      </c>
      <c r="AP3514" t="str">
        <f t="shared" si="381"/>
        <v>Defensive</v>
      </c>
    </row>
    <row r="3515" spans="20:42" x14ac:dyDescent="0.2">
      <c r="T3515" t="str">
        <f t="shared" si="378"/>
        <v>o</v>
      </c>
      <c r="AM3515" t="str">
        <f t="shared" si="379"/>
        <v/>
      </c>
      <c r="AN3515" t="str">
        <f t="shared" si="380"/>
        <v/>
      </c>
      <c r="AP3515" t="str">
        <f t="shared" si="381"/>
        <v>Defensive</v>
      </c>
    </row>
    <row r="3516" spans="20:42" x14ac:dyDescent="0.2">
      <c r="T3516" t="str">
        <f t="shared" si="378"/>
        <v>o</v>
      </c>
      <c r="AM3516" t="str">
        <f t="shared" si="379"/>
        <v/>
      </c>
      <c r="AN3516" t="str">
        <f t="shared" si="380"/>
        <v/>
      </c>
      <c r="AP3516" t="str">
        <f t="shared" si="381"/>
        <v>Defensive</v>
      </c>
    </row>
    <row r="3517" spans="20:42" x14ac:dyDescent="0.2">
      <c r="T3517" t="str">
        <f t="shared" si="378"/>
        <v>o</v>
      </c>
      <c r="AM3517" t="str">
        <f t="shared" si="379"/>
        <v/>
      </c>
      <c r="AN3517" t="str">
        <f t="shared" si="380"/>
        <v/>
      </c>
      <c r="AP3517" t="str">
        <f t="shared" si="381"/>
        <v>Defensive</v>
      </c>
    </row>
    <row r="3518" spans="20:42" x14ac:dyDescent="0.2">
      <c r="T3518" t="str">
        <f t="shared" si="378"/>
        <v>o</v>
      </c>
      <c r="AM3518" t="str">
        <f t="shared" si="379"/>
        <v/>
      </c>
      <c r="AN3518" t="str">
        <f t="shared" si="380"/>
        <v/>
      </c>
      <c r="AP3518" t="str">
        <f t="shared" si="381"/>
        <v>Defensive</v>
      </c>
    </row>
    <row r="3519" spans="20:42" x14ac:dyDescent="0.2">
      <c r="T3519" t="str">
        <f t="shared" si="378"/>
        <v>o</v>
      </c>
      <c r="AM3519" t="str">
        <f t="shared" si="379"/>
        <v/>
      </c>
      <c r="AN3519" t="str">
        <f t="shared" si="380"/>
        <v/>
      </c>
      <c r="AP3519" t="str">
        <f t="shared" si="381"/>
        <v>Defensive</v>
      </c>
    </row>
    <row r="3520" spans="20:42" x14ac:dyDescent="0.2">
      <c r="T3520" t="str">
        <f t="shared" si="378"/>
        <v>o</v>
      </c>
      <c r="AM3520" t="str">
        <f t="shared" si="379"/>
        <v/>
      </c>
      <c r="AN3520" t="str">
        <f t="shared" si="380"/>
        <v/>
      </c>
      <c r="AP3520" t="str">
        <f t="shared" si="381"/>
        <v>Defensive</v>
      </c>
    </row>
    <row r="3521" spans="20:42" x14ac:dyDescent="0.2">
      <c r="T3521" t="str">
        <f t="shared" si="378"/>
        <v>o</v>
      </c>
      <c r="AM3521" t="str">
        <f t="shared" si="379"/>
        <v/>
      </c>
      <c r="AN3521" t="str">
        <f t="shared" si="380"/>
        <v/>
      </c>
      <c r="AP3521" t="str">
        <f t="shared" si="381"/>
        <v>Defensive</v>
      </c>
    </row>
    <row r="3522" spans="20:42" x14ac:dyDescent="0.2">
      <c r="T3522" t="str">
        <f t="shared" si="378"/>
        <v>o</v>
      </c>
      <c r="AM3522" t="str">
        <f t="shared" si="379"/>
        <v/>
      </c>
      <c r="AN3522" t="str">
        <f t="shared" si="380"/>
        <v/>
      </c>
      <c r="AP3522" t="str">
        <f t="shared" si="381"/>
        <v>Defensive</v>
      </c>
    </row>
    <row r="3523" spans="20:42" x14ac:dyDescent="0.2">
      <c r="T3523" t="str">
        <f t="shared" si="378"/>
        <v>o</v>
      </c>
      <c r="AM3523" t="str">
        <f t="shared" si="379"/>
        <v/>
      </c>
      <c r="AN3523" t="str">
        <f t="shared" si="380"/>
        <v/>
      </c>
      <c r="AP3523" t="str">
        <f t="shared" si="381"/>
        <v>Defensive</v>
      </c>
    </row>
    <row r="3524" spans="20:42" x14ac:dyDescent="0.2">
      <c r="T3524" t="str">
        <f t="shared" si="378"/>
        <v>o</v>
      </c>
      <c r="AM3524" t="str">
        <f t="shared" si="379"/>
        <v/>
      </c>
      <c r="AN3524" t="str">
        <f t="shared" si="380"/>
        <v/>
      </c>
      <c r="AP3524" t="str">
        <f t="shared" si="381"/>
        <v>Defensive</v>
      </c>
    </row>
    <row r="3525" spans="20:42" x14ac:dyDescent="0.2">
      <c r="T3525" t="str">
        <f t="shared" si="378"/>
        <v>o</v>
      </c>
      <c r="AM3525" t="str">
        <f t="shared" si="379"/>
        <v/>
      </c>
      <c r="AN3525" t="str">
        <f t="shared" si="380"/>
        <v/>
      </c>
      <c r="AP3525" t="str">
        <f t="shared" si="381"/>
        <v>Defensive</v>
      </c>
    </row>
    <row r="3526" spans="20:42" x14ac:dyDescent="0.2">
      <c r="T3526" t="str">
        <f t="shared" si="378"/>
        <v>o</v>
      </c>
      <c r="AM3526" t="str">
        <f t="shared" si="379"/>
        <v/>
      </c>
      <c r="AN3526" t="str">
        <f t="shared" si="380"/>
        <v/>
      </c>
      <c r="AP3526" t="str">
        <f t="shared" si="381"/>
        <v>Defensive</v>
      </c>
    </row>
    <row r="3527" spans="20:42" x14ac:dyDescent="0.2">
      <c r="T3527" t="str">
        <f t="shared" si="378"/>
        <v>o</v>
      </c>
      <c r="AM3527" t="str">
        <f t="shared" si="379"/>
        <v/>
      </c>
      <c r="AN3527" t="str">
        <f t="shared" si="380"/>
        <v/>
      </c>
      <c r="AP3527" t="str">
        <f t="shared" si="381"/>
        <v>Defensive</v>
      </c>
    </row>
    <row r="3528" spans="20:42" x14ac:dyDescent="0.2">
      <c r="T3528" t="str">
        <f t="shared" si="378"/>
        <v>o</v>
      </c>
      <c r="AM3528" t="str">
        <f t="shared" si="379"/>
        <v/>
      </c>
      <c r="AN3528" t="str">
        <f t="shared" si="380"/>
        <v/>
      </c>
      <c r="AP3528" t="str">
        <f t="shared" si="381"/>
        <v>Defensive</v>
      </c>
    </row>
    <row r="3529" spans="20:42" x14ac:dyDescent="0.2">
      <c r="T3529" t="str">
        <f t="shared" si="378"/>
        <v>o</v>
      </c>
      <c r="AM3529" t="str">
        <f t="shared" si="379"/>
        <v/>
      </c>
      <c r="AN3529" t="str">
        <f t="shared" si="380"/>
        <v/>
      </c>
      <c r="AP3529" t="str">
        <f t="shared" si="381"/>
        <v>Defensive</v>
      </c>
    </row>
    <row r="3530" spans="20:42" x14ac:dyDescent="0.2">
      <c r="T3530" t="str">
        <f t="shared" si="378"/>
        <v>o</v>
      </c>
      <c r="AM3530" t="str">
        <f t="shared" si="379"/>
        <v/>
      </c>
      <c r="AN3530" t="str">
        <f t="shared" si="380"/>
        <v/>
      </c>
      <c r="AP3530" t="str">
        <f t="shared" si="381"/>
        <v>Defensive</v>
      </c>
    </row>
    <row r="3531" spans="20:42" x14ac:dyDescent="0.2">
      <c r="T3531" t="str">
        <f t="shared" si="378"/>
        <v>o</v>
      </c>
      <c r="AM3531" t="str">
        <f t="shared" si="379"/>
        <v/>
      </c>
      <c r="AN3531" t="str">
        <f t="shared" si="380"/>
        <v/>
      </c>
      <c r="AP3531" t="str">
        <f t="shared" si="381"/>
        <v>Defensive</v>
      </c>
    </row>
    <row r="3532" spans="20:42" x14ac:dyDescent="0.2">
      <c r="T3532" t="str">
        <f t="shared" ref="T3532:T3595" si="382">IF(S3532="x","",IF(S3532=1,"e","o"))</f>
        <v>o</v>
      </c>
      <c r="AM3532" t="str">
        <f t="shared" si="379"/>
        <v/>
      </c>
      <c r="AN3532" t="str">
        <f t="shared" si="380"/>
        <v/>
      </c>
      <c r="AP3532" t="str">
        <f t="shared" si="381"/>
        <v>Defensive</v>
      </c>
    </row>
    <row r="3533" spans="20:42" x14ac:dyDescent="0.2">
      <c r="T3533" t="str">
        <f t="shared" si="382"/>
        <v>o</v>
      </c>
      <c r="AM3533" t="str">
        <f t="shared" si="379"/>
        <v/>
      </c>
      <c r="AN3533" t="str">
        <f t="shared" si="380"/>
        <v/>
      </c>
      <c r="AP3533" t="str">
        <f t="shared" si="381"/>
        <v>Defensive</v>
      </c>
    </row>
    <row r="3534" spans="20:42" x14ac:dyDescent="0.2">
      <c r="T3534" t="str">
        <f t="shared" si="382"/>
        <v>o</v>
      </c>
      <c r="AM3534" t="str">
        <f t="shared" si="379"/>
        <v/>
      </c>
      <c r="AN3534" t="str">
        <f t="shared" si="380"/>
        <v/>
      </c>
      <c r="AP3534" t="str">
        <f t="shared" si="381"/>
        <v>Defensive</v>
      </c>
    </row>
    <row r="3535" spans="20:42" x14ac:dyDescent="0.2">
      <c r="T3535" t="str">
        <f t="shared" si="382"/>
        <v>o</v>
      </c>
      <c r="AM3535" t="str">
        <f t="shared" ref="AM3535:AM3598" si="383">IF(U3535&lt;&gt;"",U3535,IF($A3535=$A3534,AM3534,""))</f>
        <v/>
      </c>
      <c r="AN3535" t="str">
        <f t="shared" ref="AN3535:AN3598" si="384">IF(V3535&lt;&gt;"",V3535,IF($A3535=$A3534,AN3534,""))</f>
        <v/>
      </c>
      <c r="AP3535" t="str">
        <f t="shared" ref="AP3535:AP3598" si="385">IF(AND(T3535="e",OR(AM3535="Save",AN3535="Turnover_Takeaway",AN3535="Play_Defensive")),"Defensive",IF(AND(T3535="o",OR(AM3535="Save",AN3535="Turnover_Takeaway",AN3535="Play_Defensive")),"Offensive",IF(OR(AM3535="Deadice",AM3535="Stoppage",AM3535="Intermission"),"",IF(T3535="e","Offensive",IF(T3535="o","Defensive","")))))</f>
        <v>Defensive</v>
      </c>
    </row>
    <row r="3536" spans="20:42" x14ac:dyDescent="0.2">
      <c r="T3536" t="str">
        <f t="shared" si="382"/>
        <v>o</v>
      </c>
      <c r="AM3536" t="str">
        <f t="shared" si="383"/>
        <v/>
      </c>
      <c r="AN3536" t="str">
        <f t="shared" si="384"/>
        <v/>
      </c>
      <c r="AP3536" t="str">
        <f t="shared" si="385"/>
        <v>Defensive</v>
      </c>
    </row>
    <row r="3537" spans="20:42" x14ac:dyDescent="0.2">
      <c r="T3537" t="str">
        <f t="shared" si="382"/>
        <v>o</v>
      </c>
      <c r="AM3537" t="str">
        <f t="shared" si="383"/>
        <v/>
      </c>
      <c r="AN3537" t="str">
        <f t="shared" si="384"/>
        <v/>
      </c>
      <c r="AP3537" t="str">
        <f t="shared" si="385"/>
        <v>Defensive</v>
      </c>
    </row>
    <row r="3538" spans="20:42" x14ac:dyDescent="0.2">
      <c r="T3538" t="str">
        <f t="shared" si="382"/>
        <v>o</v>
      </c>
      <c r="AM3538" t="str">
        <f t="shared" si="383"/>
        <v/>
      </c>
      <c r="AN3538" t="str">
        <f t="shared" si="384"/>
        <v/>
      </c>
      <c r="AP3538" t="str">
        <f t="shared" si="385"/>
        <v>Defensive</v>
      </c>
    </row>
    <row r="3539" spans="20:42" x14ac:dyDescent="0.2">
      <c r="T3539" t="str">
        <f t="shared" si="382"/>
        <v>o</v>
      </c>
      <c r="AM3539" t="str">
        <f t="shared" si="383"/>
        <v/>
      </c>
      <c r="AN3539" t="str">
        <f t="shared" si="384"/>
        <v/>
      </c>
      <c r="AP3539" t="str">
        <f t="shared" si="385"/>
        <v>Defensive</v>
      </c>
    </row>
    <row r="3540" spans="20:42" x14ac:dyDescent="0.2">
      <c r="T3540" t="str">
        <f t="shared" si="382"/>
        <v>o</v>
      </c>
      <c r="AM3540" t="str">
        <f t="shared" si="383"/>
        <v/>
      </c>
      <c r="AN3540" t="str">
        <f t="shared" si="384"/>
        <v/>
      </c>
      <c r="AP3540" t="str">
        <f t="shared" si="385"/>
        <v>Defensive</v>
      </c>
    </row>
    <row r="3541" spans="20:42" x14ac:dyDescent="0.2">
      <c r="T3541" t="str">
        <f t="shared" si="382"/>
        <v>o</v>
      </c>
      <c r="AM3541" t="str">
        <f t="shared" si="383"/>
        <v/>
      </c>
      <c r="AN3541" t="str">
        <f t="shared" si="384"/>
        <v/>
      </c>
      <c r="AP3541" t="str">
        <f t="shared" si="385"/>
        <v>Defensive</v>
      </c>
    </row>
    <row r="3542" spans="20:42" x14ac:dyDescent="0.2">
      <c r="T3542" t="str">
        <f t="shared" si="382"/>
        <v>o</v>
      </c>
      <c r="AM3542" t="str">
        <f t="shared" si="383"/>
        <v/>
      </c>
      <c r="AN3542" t="str">
        <f t="shared" si="384"/>
        <v/>
      </c>
      <c r="AP3542" t="str">
        <f t="shared" si="385"/>
        <v>Defensive</v>
      </c>
    </row>
    <row r="3543" spans="20:42" x14ac:dyDescent="0.2">
      <c r="T3543" t="str">
        <f t="shared" si="382"/>
        <v>o</v>
      </c>
      <c r="AM3543" t="str">
        <f t="shared" si="383"/>
        <v/>
      </c>
      <c r="AN3543" t="str">
        <f t="shared" si="384"/>
        <v/>
      </c>
      <c r="AP3543" t="str">
        <f t="shared" si="385"/>
        <v>Defensive</v>
      </c>
    </row>
    <row r="3544" spans="20:42" x14ac:dyDescent="0.2">
      <c r="T3544" t="str">
        <f t="shared" si="382"/>
        <v>o</v>
      </c>
      <c r="AM3544" t="str">
        <f t="shared" si="383"/>
        <v/>
      </c>
      <c r="AN3544" t="str">
        <f t="shared" si="384"/>
        <v/>
      </c>
      <c r="AP3544" t="str">
        <f t="shared" si="385"/>
        <v>Defensive</v>
      </c>
    </row>
    <row r="3545" spans="20:42" x14ac:dyDescent="0.2">
      <c r="T3545" t="str">
        <f t="shared" si="382"/>
        <v>o</v>
      </c>
      <c r="AM3545" t="str">
        <f t="shared" si="383"/>
        <v/>
      </c>
      <c r="AN3545" t="str">
        <f t="shared" si="384"/>
        <v/>
      </c>
      <c r="AP3545" t="str">
        <f t="shared" si="385"/>
        <v>Defensive</v>
      </c>
    </row>
    <row r="3546" spans="20:42" x14ac:dyDescent="0.2">
      <c r="T3546" t="str">
        <f t="shared" si="382"/>
        <v>o</v>
      </c>
      <c r="AM3546" t="str">
        <f t="shared" si="383"/>
        <v/>
      </c>
      <c r="AN3546" t="str">
        <f t="shared" si="384"/>
        <v/>
      </c>
      <c r="AP3546" t="str">
        <f t="shared" si="385"/>
        <v>Defensive</v>
      </c>
    </row>
    <row r="3547" spans="20:42" x14ac:dyDescent="0.2">
      <c r="T3547" t="str">
        <f t="shared" si="382"/>
        <v>o</v>
      </c>
      <c r="AM3547" t="str">
        <f t="shared" si="383"/>
        <v/>
      </c>
      <c r="AN3547" t="str">
        <f t="shared" si="384"/>
        <v/>
      </c>
      <c r="AP3547" t="str">
        <f t="shared" si="385"/>
        <v>Defensive</v>
      </c>
    </row>
    <row r="3548" spans="20:42" x14ac:dyDescent="0.2">
      <c r="T3548" t="str">
        <f t="shared" si="382"/>
        <v>o</v>
      </c>
      <c r="AM3548" t="str">
        <f t="shared" si="383"/>
        <v/>
      </c>
      <c r="AN3548" t="str">
        <f t="shared" si="384"/>
        <v/>
      </c>
      <c r="AP3548" t="str">
        <f t="shared" si="385"/>
        <v>Defensive</v>
      </c>
    </row>
    <row r="3549" spans="20:42" x14ac:dyDescent="0.2">
      <c r="T3549" t="str">
        <f t="shared" si="382"/>
        <v>o</v>
      </c>
      <c r="AM3549" t="str">
        <f t="shared" si="383"/>
        <v/>
      </c>
      <c r="AN3549" t="str">
        <f t="shared" si="384"/>
        <v/>
      </c>
      <c r="AP3549" t="str">
        <f t="shared" si="385"/>
        <v>Defensive</v>
      </c>
    </row>
    <row r="3550" spans="20:42" x14ac:dyDescent="0.2">
      <c r="T3550" t="str">
        <f t="shared" si="382"/>
        <v>o</v>
      </c>
      <c r="AM3550" t="str">
        <f t="shared" si="383"/>
        <v/>
      </c>
      <c r="AN3550" t="str">
        <f t="shared" si="384"/>
        <v/>
      </c>
      <c r="AP3550" t="str">
        <f t="shared" si="385"/>
        <v>Defensive</v>
      </c>
    </row>
    <row r="3551" spans="20:42" x14ac:dyDescent="0.2">
      <c r="T3551" t="str">
        <f t="shared" si="382"/>
        <v>o</v>
      </c>
      <c r="AM3551" t="str">
        <f t="shared" si="383"/>
        <v/>
      </c>
      <c r="AN3551" t="str">
        <f t="shared" si="384"/>
        <v/>
      </c>
      <c r="AP3551" t="str">
        <f t="shared" si="385"/>
        <v>Defensive</v>
      </c>
    </row>
    <row r="3552" spans="20:42" x14ac:dyDescent="0.2">
      <c r="T3552" t="str">
        <f t="shared" si="382"/>
        <v>o</v>
      </c>
      <c r="AM3552" t="str">
        <f t="shared" si="383"/>
        <v/>
      </c>
      <c r="AN3552" t="str">
        <f t="shared" si="384"/>
        <v/>
      </c>
      <c r="AP3552" t="str">
        <f t="shared" si="385"/>
        <v>Defensive</v>
      </c>
    </row>
    <row r="3553" spans="20:42" x14ac:dyDescent="0.2">
      <c r="T3553" t="str">
        <f t="shared" si="382"/>
        <v>o</v>
      </c>
      <c r="AM3553" t="str">
        <f t="shared" si="383"/>
        <v/>
      </c>
      <c r="AN3553" t="str">
        <f t="shared" si="384"/>
        <v/>
      </c>
      <c r="AP3553" t="str">
        <f t="shared" si="385"/>
        <v>Defensive</v>
      </c>
    </row>
    <row r="3554" spans="20:42" x14ac:dyDescent="0.2">
      <c r="T3554" t="str">
        <f t="shared" si="382"/>
        <v>o</v>
      </c>
      <c r="AM3554" t="str">
        <f t="shared" si="383"/>
        <v/>
      </c>
      <c r="AN3554" t="str">
        <f t="shared" si="384"/>
        <v/>
      </c>
      <c r="AP3554" t="str">
        <f t="shared" si="385"/>
        <v>Defensive</v>
      </c>
    </row>
    <row r="3555" spans="20:42" x14ac:dyDescent="0.2">
      <c r="T3555" t="str">
        <f t="shared" si="382"/>
        <v>o</v>
      </c>
      <c r="AM3555" t="str">
        <f t="shared" si="383"/>
        <v/>
      </c>
      <c r="AN3555" t="str">
        <f t="shared" si="384"/>
        <v/>
      </c>
      <c r="AP3555" t="str">
        <f t="shared" si="385"/>
        <v>Defensive</v>
      </c>
    </row>
    <row r="3556" spans="20:42" x14ac:dyDescent="0.2">
      <c r="T3556" t="str">
        <f t="shared" si="382"/>
        <v>o</v>
      </c>
      <c r="AM3556" t="str">
        <f t="shared" si="383"/>
        <v/>
      </c>
      <c r="AN3556" t="str">
        <f t="shared" si="384"/>
        <v/>
      </c>
      <c r="AP3556" t="str">
        <f t="shared" si="385"/>
        <v>Defensive</v>
      </c>
    </row>
    <row r="3557" spans="20:42" x14ac:dyDescent="0.2">
      <c r="T3557" t="str">
        <f t="shared" si="382"/>
        <v>o</v>
      </c>
      <c r="AM3557" t="str">
        <f t="shared" si="383"/>
        <v/>
      </c>
      <c r="AN3557" t="str">
        <f t="shared" si="384"/>
        <v/>
      </c>
      <c r="AP3557" t="str">
        <f t="shared" si="385"/>
        <v>Defensive</v>
      </c>
    </row>
    <row r="3558" spans="20:42" x14ac:dyDescent="0.2">
      <c r="T3558" t="str">
        <f t="shared" si="382"/>
        <v>o</v>
      </c>
      <c r="AM3558" t="str">
        <f t="shared" si="383"/>
        <v/>
      </c>
      <c r="AN3558" t="str">
        <f t="shared" si="384"/>
        <v/>
      </c>
      <c r="AP3558" t="str">
        <f t="shared" si="385"/>
        <v>Defensive</v>
      </c>
    </row>
    <row r="3559" spans="20:42" x14ac:dyDescent="0.2">
      <c r="T3559" t="str">
        <f t="shared" si="382"/>
        <v>o</v>
      </c>
      <c r="AM3559" t="str">
        <f t="shared" si="383"/>
        <v/>
      </c>
      <c r="AN3559" t="str">
        <f t="shared" si="384"/>
        <v/>
      </c>
      <c r="AP3559" t="str">
        <f t="shared" si="385"/>
        <v>Defensive</v>
      </c>
    </row>
    <row r="3560" spans="20:42" x14ac:dyDescent="0.2">
      <c r="T3560" t="str">
        <f t="shared" si="382"/>
        <v>o</v>
      </c>
      <c r="AM3560" t="str">
        <f t="shared" si="383"/>
        <v/>
      </c>
      <c r="AN3560" t="str">
        <f t="shared" si="384"/>
        <v/>
      </c>
      <c r="AP3560" t="str">
        <f t="shared" si="385"/>
        <v>Defensive</v>
      </c>
    </row>
    <row r="3561" spans="20:42" x14ac:dyDescent="0.2">
      <c r="T3561" t="str">
        <f t="shared" si="382"/>
        <v>o</v>
      </c>
      <c r="AM3561" t="str">
        <f t="shared" si="383"/>
        <v/>
      </c>
      <c r="AN3561" t="str">
        <f t="shared" si="384"/>
        <v/>
      </c>
      <c r="AP3561" t="str">
        <f t="shared" si="385"/>
        <v>Defensive</v>
      </c>
    </row>
    <row r="3562" spans="20:42" x14ac:dyDescent="0.2">
      <c r="T3562" t="str">
        <f t="shared" si="382"/>
        <v>o</v>
      </c>
      <c r="AM3562" t="str">
        <f t="shared" si="383"/>
        <v/>
      </c>
      <c r="AN3562" t="str">
        <f t="shared" si="384"/>
        <v/>
      </c>
      <c r="AP3562" t="str">
        <f t="shared" si="385"/>
        <v>Defensive</v>
      </c>
    </row>
    <row r="3563" spans="20:42" x14ac:dyDescent="0.2">
      <c r="T3563" t="str">
        <f t="shared" si="382"/>
        <v>o</v>
      </c>
      <c r="AM3563" t="str">
        <f t="shared" si="383"/>
        <v/>
      </c>
      <c r="AN3563" t="str">
        <f t="shared" si="384"/>
        <v/>
      </c>
      <c r="AP3563" t="str">
        <f t="shared" si="385"/>
        <v>Defensive</v>
      </c>
    </row>
    <row r="3564" spans="20:42" x14ac:dyDescent="0.2">
      <c r="T3564" t="str">
        <f t="shared" si="382"/>
        <v>o</v>
      </c>
      <c r="AM3564" t="str">
        <f t="shared" si="383"/>
        <v/>
      </c>
      <c r="AN3564" t="str">
        <f t="shared" si="384"/>
        <v/>
      </c>
      <c r="AP3564" t="str">
        <f t="shared" si="385"/>
        <v>Defensive</v>
      </c>
    </row>
    <row r="3565" spans="20:42" x14ac:dyDescent="0.2">
      <c r="T3565" t="str">
        <f t="shared" si="382"/>
        <v>o</v>
      </c>
      <c r="AM3565" t="str">
        <f t="shared" si="383"/>
        <v/>
      </c>
      <c r="AN3565" t="str">
        <f t="shared" si="384"/>
        <v/>
      </c>
      <c r="AP3565" t="str">
        <f t="shared" si="385"/>
        <v>Defensive</v>
      </c>
    </row>
    <row r="3566" spans="20:42" x14ac:dyDescent="0.2">
      <c r="T3566" t="str">
        <f t="shared" si="382"/>
        <v>o</v>
      </c>
      <c r="AM3566" t="str">
        <f t="shared" si="383"/>
        <v/>
      </c>
      <c r="AN3566" t="str">
        <f t="shared" si="384"/>
        <v/>
      </c>
      <c r="AP3566" t="str">
        <f t="shared" si="385"/>
        <v>Defensive</v>
      </c>
    </row>
    <row r="3567" spans="20:42" x14ac:dyDescent="0.2">
      <c r="T3567" t="str">
        <f t="shared" si="382"/>
        <v>o</v>
      </c>
      <c r="AM3567" t="str">
        <f t="shared" si="383"/>
        <v/>
      </c>
      <c r="AN3567" t="str">
        <f t="shared" si="384"/>
        <v/>
      </c>
      <c r="AP3567" t="str">
        <f t="shared" si="385"/>
        <v>Defensive</v>
      </c>
    </row>
    <row r="3568" spans="20:42" x14ac:dyDescent="0.2">
      <c r="T3568" t="str">
        <f t="shared" si="382"/>
        <v>o</v>
      </c>
      <c r="AM3568" t="str">
        <f t="shared" si="383"/>
        <v/>
      </c>
      <c r="AN3568" t="str">
        <f t="shared" si="384"/>
        <v/>
      </c>
      <c r="AP3568" t="str">
        <f t="shared" si="385"/>
        <v>Defensive</v>
      </c>
    </row>
    <row r="3569" spans="20:42" x14ac:dyDescent="0.2">
      <c r="T3569" t="str">
        <f t="shared" si="382"/>
        <v>o</v>
      </c>
      <c r="AM3569" t="str">
        <f t="shared" si="383"/>
        <v/>
      </c>
      <c r="AN3569" t="str">
        <f t="shared" si="384"/>
        <v/>
      </c>
      <c r="AP3569" t="str">
        <f t="shared" si="385"/>
        <v>Defensive</v>
      </c>
    </row>
    <row r="3570" spans="20:42" x14ac:dyDescent="0.2">
      <c r="T3570" t="str">
        <f t="shared" si="382"/>
        <v>o</v>
      </c>
      <c r="AM3570" t="str">
        <f t="shared" si="383"/>
        <v/>
      </c>
      <c r="AN3570" t="str">
        <f t="shared" si="384"/>
        <v/>
      </c>
      <c r="AP3570" t="str">
        <f t="shared" si="385"/>
        <v>Defensive</v>
      </c>
    </row>
    <row r="3571" spans="20:42" x14ac:dyDescent="0.2">
      <c r="T3571" t="str">
        <f t="shared" si="382"/>
        <v>o</v>
      </c>
      <c r="AM3571" t="str">
        <f t="shared" si="383"/>
        <v/>
      </c>
      <c r="AN3571" t="str">
        <f t="shared" si="384"/>
        <v/>
      </c>
      <c r="AP3571" t="str">
        <f t="shared" si="385"/>
        <v>Defensive</v>
      </c>
    </row>
    <row r="3572" spans="20:42" x14ac:dyDescent="0.2">
      <c r="T3572" t="str">
        <f t="shared" si="382"/>
        <v>o</v>
      </c>
      <c r="AM3572" t="str">
        <f t="shared" si="383"/>
        <v/>
      </c>
      <c r="AN3572" t="str">
        <f t="shared" si="384"/>
        <v/>
      </c>
      <c r="AP3572" t="str">
        <f t="shared" si="385"/>
        <v>Defensive</v>
      </c>
    </row>
    <row r="3573" spans="20:42" x14ac:dyDescent="0.2">
      <c r="T3573" t="str">
        <f t="shared" si="382"/>
        <v>o</v>
      </c>
      <c r="AM3573" t="str">
        <f t="shared" si="383"/>
        <v/>
      </c>
      <c r="AN3573" t="str">
        <f t="shared" si="384"/>
        <v/>
      </c>
      <c r="AP3573" t="str">
        <f t="shared" si="385"/>
        <v>Defensive</v>
      </c>
    </row>
    <row r="3574" spans="20:42" x14ac:dyDescent="0.2">
      <c r="T3574" t="str">
        <f t="shared" si="382"/>
        <v>o</v>
      </c>
      <c r="AM3574" t="str">
        <f t="shared" si="383"/>
        <v/>
      </c>
      <c r="AN3574" t="str">
        <f t="shared" si="384"/>
        <v/>
      </c>
      <c r="AP3574" t="str">
        <f t="shared" si="385"/>
        <v>Defensive</v>
      </c>
    </row>
    <row r="3575" spans="20:42" x14ac:dyDescent="0.2">
      <c r="T3575" t="str">
        <f t="shared" si="382"/>
        <v>o</v>
      </c>
      <c r="AM3575" t="str">
        <f t="shared" si="383"/>
        <v/>
      </c>
      <c r="AN3575" t="str">
        <f t="shared" si="384"/>
        <v/>
      </c>
      <c r="AP3575" t="str">
        <f t="shared" si="385"/>
        <v>Defensive</v>
      </c>
    </row>
    <row r="3576" spans="20:42" x14ac:dyDescent="0.2">
      <c r="T3576" t="str">
        <f t="shared" si="382"/>
        <v>o</v>
      </c>
      <c r="AM3576" t="str">
        <f t="shared" si="383"/>
        <v/>
      </c>
      <c r="AN3576" t="str">
        <f t="shared" si="384"/>
        <v/>
      </c>
      <c r="AP3576" t="str">
        <f t="shared" si="385"/>
        <v>Defensive</v>
      </c>
    </row>
    <row r="3577" spans="20:42" x14ac:dyDescent="0.2">
      <c r="T3577" t="str">
        <f t="shared" si="382"/>
        <v>o</v>
      </c>
      <c r="AM3577" t="str">
        <f t="shared" si="383"/>
        <v/>
      </c>
      <c r="AN3577" t="str">
        <f t="shared" si="384"/>
        <v/>
      </c>
      <c r="AP3577" t="str">
        <f t="shared" si="385"/>
        <v>Defensive</v>
      </c>
    </row>
    <row r="3578" spans="20:42" x14ac:dyDescent="0.2">
      <c r="T3578" t="str">
        <f t="shared" si="382"/>
        <v>o</v>
      </c>
      <c r="AM3578" t="str">
        <f t="shared" si="383"/>
        <v/>
      </c>
      <c r="AN3578" t="str">
        <f t="shared" si="384"/>
        <v/>
      </c>
      <c r="AP3578" t="str">
        <f t="shared" si="385"/>
        <v>Defensive</v>
      </c>
    </row>
    <row r="3579" spans="20:42" x14ac:dyDescent="0.2">
      <c r="T3579" t="str">
        <f t="shared" si="382"/>
        <v>o</v>
      </c>
      <c r="AM3579" t="str">
        <f t="shared" si="383"/>
        <v/>
      </c>
      <c r="AN3579" t="str">
        <f t="shared" si="384"/>
        <v/>
      </c>
      <c r="AP3579" t="str">
        <f t="shared" si="385"/>
        <v>Defensive</v>
      </c>
    </row>
    <row r="3580" spans="20:42" x14ac:dyDescent="0.2">
      <c r="T3580" t="str">
        <f t="shared" si="382"/>
        <v>o</v>
      </c>
      <c r="AM3580" t="str">
        <f t="shared" si="383"/>
        <v/>
      </c>
      <c r="AN3580" t="str">
        <f t="shared" si="384"/>
        <v/>
      </c>
      <c r="AP3580" t="str">
        <f t="shared" si="385"/>
        <v>Defensive</v>
      </c>
    </row>
    <row r="3581" spans="20:42" x14ac:dyDescent="0.2">
      <c r="T3581" t="str">
        <f t="shared" si="382"/>
        <v>o</v>
      </c>
      <c r="AM3581" t="str">
        <f t="shared" si="383"/>
        <v/>
      </c>
      <c r="AN3581" t="str">
        <f t="shared" si="384"/>
        <v/>
      </c>
      <c r="AP3581" t="str">
        <f t="shared" si="385"/>
        <v>Defensive</v>
      </c>
    </row>
    <row r="3582" spans="20:42" x14ac:dyDescent="0.2">
      <c r="T3582" t="str">
        <f t="shared" si="382"/>
        <v>o</v>
      </c>
      <c r="AM3582" t="str">
        <f t="shared" si="383"/>
        <v/>
      </c>
      <c r="AN3582" t="str">
        <f t="shared" si="384"/>
        <v/>
      </c>
      <c r="AP3582" t="str">
        <f t="shared" si="385"/>
        <v>Defensive</v>
      </c>
    </row>
    <row r="3583" spans="20:42" x14ac:dyDescent="0.2">
      <c r="T3583" t="str">
        <f t="shared" si="382"/>
        <v>o</v>
      </c>
      <c r="AM3583" t="str">
        <f t="shared" si="383"/>
        <v/>
      </c>
      <c r="AN3583" t="str">
        <f t="shared" si="384"/>
        <v/>
      </c>
      <c r="AP3583" t="str">
        <f t="shared" si="385"/>
        <v>Defensive</v>
      </c>
    </row>
    <row r="3584" spans="20:42" x14ac:dyDescent="0.2">
      <c r="T3584" t="str">
        <f t="shared" si="382"/>
        <v>o</v>
      </c>
      <c r="AM3584" t="str">
        <f t="shared" si="383"/>
        <v/>
      </c>
      <c r="AN3584" t="str">
        <f t="shared" si="384"/>
        <v/>
      </c>
      <c r="AP3584" t="str">
        <f t="shared" si="385"/>
        <v>Defensive</v>
      </c>
    </row>
    <row r="3585" spans="20:42" x14ac:dyDescent="0.2">
      <c r="T3585" t="str">
        <f t="shared" si="382"/>
        <v>o</v>
      </c>
      <c r="AM3585" t="str">
        <f t="shared" si="383"/>
        <v/>
      </c>
      <c r="AN3585" t="str">
        <f t="shared" si="384"/>
        <v/>
      </c>
      <c r="AP3585" t="str">
        <f t="shared" si="385"/>
        <v>Defensive</v>
      </c>
    </row>
    <row r="3586" spans="20:42" x14ac:dyDescent="0.2">
      <c r="T3586" t="str">
        <f t="shared" si="382"/>
        <v>o</v>
      </c>
      <c r="AM3586" t="str">
        <f t="shared" si="383"/>
        <v/>
      </c>
      <c r="AN3586" t="str">
        <f t="shared" si="384"/>
        <v/>
      </c>
      <c r="AP3586" t="str">
        <f t="shared" si="385"/>
        <v>Defensive</v>
      </c>
    </row>
    <row r="3587" spans="20:42" x14ac:dyDescent="0.2">
      <c r="T3587" t="str">
        <f t="shared" si="382"/>
        <v>o</v>
      </c>
      <c r="AM3587" t="str">
        <f t="shared" si="383"/>
        <v/>
      </c>
      <c r="AN3587" t="str">
        <f t="shared" si="384"/>
        <v/>
      </c>
      <c r="AP3587" t="str">
        <f t="shared" si="385"/>
        <v>Defensive</v>
      </c>
    </row>
    <row r="3588" spans="20:42" x14ac:dyDescent="0.2">
      <c r="T3588" t="str">
        <f t="shared" si="382"/>
        <v>o</v>
      </c>
      <c r="AM3588" t="str">
        <f t="shared" si="383"/>
        <v/>
      </c>
      <c r="AN3588" t="str">
        <f t="shared" si="384"/>
        <v/>
      </c>
      <c r="AP3588" t="str">
        <f t="shared" si="385"/>
        <v>Defensive</v>
      </c>
    </row>
    <row r="3589" spans="20:42" x14ac:dyDescent="0.2">
      <c r="T3589" t="str">
        <f t="shared" si="382"/>
        <v>o</v>
      </c>
      <c r="AM3589" t="str">
        <f t="shared" si="383"/>
        <v/>
      </c>
      <c r="AN3589" t="str">
        <f t="shared" si="384"/>
        <v/>
      </c>
      <c r="AP3589" t="str">
        <f t="shared" si="385"/>
        <v>Defensive</v>
      </c>
    </row>
    <row r="3590" spans="20:42" x14ac:dyDescent="0.2">
      <c r="T3590" t="str">
        <f t="shared" si="382"/>
        <v>o</v>
      </c>
      <c r="AM3590" t="str">
        <f t="shared" si="383"/>
        <v/>
      </c>
      <c r="AN3590" t="str">
        <f t="shared" si="384"/>
        <v/>
      </c>
      <c r="AP3590" t="str">
        <f t="shared" si="385"/>
        <v>Defensive</v>
      </c>
    </row>
    <row r="3591" spans="20:42" x14ac:dyDescent="0.2">
      <c r="T3591" t="str">
        <f t="shared" si="382"/>
        <v>o</v>
      </c>
      <c r="AM3591" t="str">
        <f t="shared" si="383"/>
        <v/>
      </c>
      <c r="AN3591" t="str">
        <f t="shared" si="384"/>
        <v/>
      </c>
      <c r="AP3591" t="str">
        <f t="shared" si="385"/>
        <v>Defensive</v>
      </c>
    </row>
    <row r="3592" spans="20:42" x14ac:dyDescent="0.2">
      <c r="T3592" t="str">
        <f t="shared" si="382"/>
        <v>o</v>
      </c>
      <c r="AM3592" t="str">
        <f t="shared" si="383"/>
        <v/>
      </c>
      <c r="AN3592" t="str">
        <f t="shared" si="384"/>
        <v/>
      </c>
      <c r="AP3592" t="str">
        <f t="shared" si="385"/>
        <v>Defensive</v>
      </c>
    </row>
    <row r="3593" spans="20:42" x14ac:dyDescent="0.2">
      <c r="T3593" t="str">
        <f t="shared" si="382"/>
        <v>o</v>
      </c>
      <c r="AM3593" t="str">
        <f t="shared" si="383"/>
        <v/>
      </c>
      <c r="AN3593" t="str">
        <f t="shared" si="384"/>
        <v/>
      </c>
      <c r="AP3593" t="str">
        <f t="shared" si="385"/>
        <v>Defensive</v>
      </c>
    </row>
    <row r="3594" spans="20:42" x14ac:dyDescent="0.2">
      <c r="T3594" t="str">
        <f t="shared" si="382"/>
        <v>o</v>
      </c>
      <c r="AM3594" t="str">
        <f t="shared" si="383"/>
        <v/>
      </c>
      <c r="AN3594" t="str">
        <f t="shared" si="384"/>
        <v/>
      </c>
      <c r="AP3594" t="str">
        <f t="shared" si="385"/>
        <v>Defensive</v>
      </c>
    </row>
    <row r="3595" spans="20:42" x14ac:dyDescent="0.2">
      <c r="T3595" t="str">
        <f t="shared" si="382"/>
        <v>o</v>
      </c>
      <c r="AM3595" t="str">
        <f t="shared" si="383"/>
        <v/>
      </c>
      <c r="AN3595" t="str">
        <f t="shared" si="384"/>
        <v/>
      </c>
      <c r="AP3595" t="str">
        <f t="shared" si="385"/>
        <v>Defensive</v>
      </c>
    </row>
    <row r="3596" spans="20:42" x14ac:dyDescent="0.2">
      <c r="T3596" t="str">
        <f t="shared" ref="T3596:T3659" si="386">IF(S3596="x","",IF(S3596=1,"e","o"))</f>
        <v>o</v>
      </c>
      <c r="AM3596" t="str">
        <f t="shared" si="383"/>
        <v/>
      </c>
      <c r="AN3596" t="str">
        <f t="shared" si="384"/>
        <v/>
      </c>
      <c r="AP3596" t="str">
        <f t="shared" si="385"/>
        <v>Defensive</v>
      </c>
    </row>
    <row r="3597" spans="20:42" x14ac:dyDescent="0.2">
      <c r="T3597" t="str">
        <f t="shared" si="386"/>
        <v>o</v>
      </c>
      <c r="AM3597" t="str">
        <f t="shared" si="383"/>
        <v/>
      </c>
      <c r="AN3597" t="str">
        <f t="shared" si="384"/>
        <v/>
      </c>
      <c r="AP3597" t="str">
        <f t="shared" si="385"/>
        <v>Defensive</v>
      </c>
    </row>
    <row r="3598" spans="20:42" x14ac:dyDescent="0.2">
      <c r="T3598" t="str">
        <f t="shared" si="386"/>
        <v>o</v>
      </c>
      <c r="AM3598" t="str">
        <f t="shared" si="383"/>
        <v/>
      </c>
      <c r="AN3598" t="str">
        <f t="shared" si="384"/>
        <v/>
      </c>
      <c r="AP3598" t="str">
        <f t="shared" si="385"/>
        <v>Defensive</v>
      </c>
    </row>
    <row r="3599" spans="20:42" x14ac:dyDescent="0.2">
      <c r="T3599" t="str">
        <f t="shared" si="386"/>
        <v>o</v>
      </c>
      <c r="AM3599" t="str">
        <f t="shared" ref="AM3599:AM3662" si="387">IF(U3599&lt;&gt;"",U3599,IF($A3599=$A3598,AM3598,""))</f>
        <v/>
      </c>
      <c r="AN3599" t="str">
        <f t="shared" ref="AN3599:AN3662" si="388">IF(V3599&lt;&gt;"",V3599,IF($A3599=$A3598,AN3598,""))</f>
        <v/>
      </c>
      <c r="AP3599" t="str">
        <f t="shared" ref="AP3599:AP3662" si="389">IF(AND(T3599="e",OR(AM3599="Save",AN3599="Turnover_Takeaway",AN3599="Play_Defensive")),"Defensive",IF(AND(T3599="o",OR(AM3599="Save",AN3599="Turnover_Takeaway",AN3599="Play_Defensive")),"Offensive",IF(OR(AM3599="Deadice",AM3599="Stoppage",AM3599="Intermission"),"",IF(T3599="e","Offensive",IF(T3599="o","Defensive","")))))</f>
        <v>Defensive</v>
      </c>
    </row>
    <row r="3600" spans="20:42" x14ac:dyDescent="0.2">
      <c r="T3600" t="str">
        <f t="shared" si="386"/>
        <v>o</v>
      </c>
      <c r="AM3600" t="str">
        <f t="shared" si="387"/>
        <v/>
      </c>
      <c r="AN3600" t="str">
        <f t="shared" si="388"/>
        <v/>
      </c>
      <c r="AP3600" t="str">
        <f t="shared" si="389"/>
        <v>Defensive</v>
      </c>
    </row>
    <row r="3601" spans="20:42" x14ac:dyDescent="0.2">
      <c r="T3601" t="str">
        <f t="shared" si="386"/>
        <v>o</v>
      </c>
      <c r="AM3601" t="str">
        <f t="shared" si="387"/>
        <v/>
      </c>
      <c r="AN3601" t="str">
        <f t="shared" si="388"/>
        <v/>
      </c>
      <c r="AP3601" t="str">
        <f t="shared" si="389"/>
        <v>Defensive</v>
      </c>
    </row>
    <row r="3602" spans="20:42" x14ac:dyDescent="0.2">
      <c r="T3602" t="str">
        <f t="shared" si="386"/>
        <v>o</v>
      </c>
      <c r="AM3602" t="str">
        <f t="shared" si="387"/>
        <v/>
      </c>
      <c r="AN3602" t="str">
        <f t="shared" si="388"/>
        <v/>
      </c>
      <c r="AP3602" t="str">
        <f t="shared" si="389"/>
        <v>Defensive</v>
      </c>
    </row>
    <row r="3603" spans="20:42" x14ac:dyDescent="0.2">
      <c r="T3603" t="str">
        <f t="shared" si="386"/>
        <v>o</v>
      </c>
      <c r="AM3603" t="str">
        <f t="shared" si="387"/>
        <v/>
      </c>
      <c r="AN3603" t="str">
        <f t="shared" si="388"/>
        <v/>
      </c>
      <c r="AP3603" t="str">
        <f t="shared" si="389"/>
        <v>Defensive</v>
      </c>
    </row>
    <row r="3604" spans="20:42" x14ac:dyDescent="0.2">
      <c r="T3604" t="str">
        <f t="shared" si="386"/>
        <v>o</v>
      </c>
      <c r="AM3604" t="str">
        <f t="shared" si="387"/>
        <v/>
      </c>
      <c r="AN3604" t="str">
        <f t="shared" si="388"/>
        <v/>
      </c>
      <c r="AP3604" t="str">
        <f t="shared" si="389"/>
        <v>Defensive</v>
      </c>
    </row>
    <row r="3605" spans="20:42" x14ac:dyDescent="0.2">
      <c r="T3605" t="str">
        <f t="shared" si="386"/>
        <v>o</v>
      </c>
      <c r="AM3605" t="str">
        <f t="shared" si="387"/>
        <v/>
      </c>
      <c r="AN3605" t="str">
        <f t="shared" si="388"/>
        <v/>
      </c>
      <c r="AP3605" t="str">
        <f t="shared" si="389"/>
        <v>Defensive</v>
      </c>
    </row>
    <row r="3606" spans="20:42" x14ac:dyDescent="0.2">
      <c r="T3606" t="str">
        <f t="shared" si="386"/>
        <v>o</v>
      </c>
      <c r="AM3606" t="str">
        <f t="shared" si="387"/>
        <v/>
      </c>
      <c r="AN3606" t="str">
        <f t="shared" si="388"/>
        <v/>
      </c>
      <c r="AP3606" t="str">
        <f t="shared" si="389"/>
        <v>Defensive</v>
      </c>
    </row>
    <row r="3607" spans="20:42" x14ac:dyDescent="0.2">
      <c r="T3607" t="str">
        <f t="shared" si="386"/>
        <v>o</v>
      </c>
      <c r="AM3607" t="str">
        <f t="shared" si="387"/>
        <v/>
      </c>
      <c r="AN3607" t="str">
        <f t="shared" si="388"/>
        <v/>
      </c>
      <c r="AP3607" t="str">
        <f t="shared" si="389"/>
        <v>Defensive</v>
      </c>
    </row>
    <row r="3608" spans="20:42" x14ac:dyDescent="0.2">
      <c r="T3608" t="str">
        <f t="shared" si="386"/>
        <v>o</v>
      </c>
      <c r="AM3608" t="str">
        <f t="shared" si="387"/>
        <v/>
      </c>
      <c r="AN3608" t="str">
        <f t="shared" si="388"/>
        <v/>
      </c>
      <c r="AP3608" t="str">
        <f t="shared" si="389"/>
        <v>Defensive</v>
      </c>
    </row>
    <row r="3609" spans="20:42" x14ac:dyDescent="0.2">
      <c r="T3609" t="str">
        <f t="shared" si="386"/>
        <v>o</v>
      </c>
      <c r="AM3609" t="str">
        <f t="shared" si="387"/>
        <v/>
      </c>
      <c r="AN3609" t="str">
        <f t="shared" si="388"/>
        <v/>
      </c>
      <c r="AP3609" t="str">
        <f t="shared" si="389"/>
        <v>Defensive</v>
      </c>
    </row>
    <row r="3610" spans="20:42" x14ac:dyDescent="0.2">
      <c r="T3610" t="str">
        <f t="shared" si="386"/>
        <v>o</v>
      </c>
      <c r="AM3610" t="str">
        <f t="shared" si="387"/>
        <v/>
      </c>
      <c r="AN3610" t="str">
        <f t="shared" si="388"/>
        <v/>
      </c>
      <c r="AP3610" t="str">
        <f t="shared" si="389"/>
        <v>Defensive</v>
      </c>
    </row>
    <row r="3611" spans="20:42" x14ac:dyDescent="0.2">
      <c r="T3611" t="str">
        <f t="shared" si="386"/>
        <v>o</v>
      </c>
      <c r="AM3611" t="str">
        <f t="shared" si="387"/>
        <v/>
      </c>
      <c r="AN3611" t="str">
        <f t="shared" si="388"/>
        <v/>
      </c>
      <c r="AP3611" t="str">
        <f t="shared" si="389"/>
        <v>Defensive</v>
      </c>
    </row>
    <row r="3612" spans="20:42" x14ac:dyDescent="0.2">
      <c r="T3612" t="str">
        <f t="shared" si="386"/>
        <v>o</v>
      </c>
      <c r="AM3612" t="str">
        <f t="shared" si="387"/>
        <v/>
      </c>
      <c r="AN3612" t="str">
        <f t="shared" si="388"/>
        <v/>
      </c>
      <c r="AP3612" t="str">
        <f t="shared" si="389"/>
        <v>Defensive</v>
      </c>
    </row>
    <row r="3613" spans="20:42" x14ac:dyDescent="0.2">
      <c r="T3613" t="str">
        <f t="shared" si="386"/>
        <v>o</v>
      </c>
      <c r="AM3613" t="str">
        <f t="shared" si="387"/>
        <v/>
      </c>
      <c r="AN3613" t="str">
        <f t="shared" si="388"/>
        <v/>
      </c>
      <c r="AP3613" t="str">
        <f t="shared" si="389"/>
        <v>Defensive</v>
      </c>
    </row>
    <row r="3614" spans="20:42" x14ac:dyDescent="0.2">
      <c r="T3614" t="str">
        <f t="shared" si="386"/>
        <v>o</v>
      </c>
      <c r="AM3614" t="str">
        <f t="shared" si="387"/>
        <v/>
      </c>
      <c r="AN3614" t="str">
        <f t="shared" si="388"/>
        <v/>
      </c>
      <c r="AP3614" t="str">
        <f t="shared" si="389"/>
        <v>Defensive</v>
      </c>
    </row>
    <row r="3615" spans="20:42" x14ac:dyDescent="0.2">
      <c r="T3615" t="str">
        <f t="shared" si="386"/>
        <v>o</v>
      </c>
      <c r="AM3615" t="str">
        <f t="shared" si="387"/>
        <v/>
      </c>
      <c r="AN3615" t="str">
        <f t="shared" si="388"/>
        <v/>
      </c>
      <c r="AP3615" t="str">
        <f t="shared" si="389"/>
        <v>Defensive</v>
      </c>
    </row>
    <row r="3616" spans="20:42" x14ac:dyDescent="0.2">
      <c r="T3616" t="str">
        <f t="shared" si="386"/>
        <v>o</v>
      </c>
      <c r="AM3616" t="str">
        <f t="shared" si="387"/>
        <v/>
      </c>
      <c r="AN3616" t="str">
        <f t="shared" si="388"/>
        <v/>
      </c>
      <c r="AP3616" t="str">
        <f t="shared" si="389"/>
        <v>Defensive</v>
      </c>
    </row>
    <row r="3617" spans="20:42" x14ac:dyDescent="0.2">
      <c r="T3617" t="str">
        <f t="shared" si="386"/>
        <v>o</v>
      </c>
      <c r="AM3617" t="str">
        <f t="shared" si="387"/>
        <v/>
      </c>
      <c r="AN3617" t="str">
        <f t="shared" si="388"/>
        <v/>
      </c>
      <c r="AP3617" t="str">
        <f t="shared" si="389"/>
        <v>Defensive</v>
      </c>
    </row>
    <row r="3618" spans="20:42" x14ac:dyDescent="0.2">
      <c r="T3618" t="str">
        <f t="shared" si="386"/>
        <v>o</v>
      </c>
      <c r="AM3618" t="str">
        <f t="shared" si="387"/>
        <v/>
      </c>
      <c r="AN3618" t="str">
        <f t="shared" si="388"/>
        <v/>
      </c>
      <c r="AP3618" t="str">
        <f t="shared" si="389"/>
        <v>Defensive</v>
      </c>
    </row>
    <row r="3619" spans="20:42" x14ac:dyDescent="0.2">
      <c r="T3619" t="str">
        <f t="shared" si="386"/>
        <v>o</v>
      </c>
      <c r="AM3619" t="str">
        <f t="shared" si="387"/>
        <v/>
      </c>
      <c r="AN3619" t="str">
        <f t="shared" si="388"/>
        <v/>
      </c>
      <c r="AP3619" t="str">
        <f t="shared" si="389"/>
        <v>Defensive</v>
      </c>
    </row>
    <row r="3620" spans="20:42" x14ac:dyDescent="0.2">
      <c r="T3620" t="str">
        <f t="shared" si="386"/>
        <v>o</v>
      </c>
      <c r="AM3620" t="str">
        <f t="shared" si="387"/>
        <v/>
      </c>
      <c r="AN3620" t="str">
        <f t="shared" si="388"/>
        <v/>
      </c>
      <c r="AP3620" t="str">
        <f t="shared" si="389"/>
        <v>Defensive</v>
      </c>
    </row>
    <row r="3621" spans="20:42" x14ac:dyDescent="0.2">
      <c r="T3621" t="str">
        <f t="shared" si="386"/>
        <v>o</v>
      </c>
      <c r="AM3621" t="str">
        <f t="shared" si="387"/>
        <v/>
      </c>
      <c r="AN3621" t="str">
        <f t="shared" si="388"/>
        <v/>
      </c>
      <c r="AP3621" t="str">
        <f t="shared" si="389"/>
        <v>Defensive</v>
      </c>
    </row>
    <row r="3622" spans="20:42" x14ac:dyDescent="0.2">
      <c r="T3622" t="str">
        <f t="shared" si="386"/>
        <v>o</v>
      </c>
      <c r="AM3622" t="str">
        <f t="shared" si="387"/>
        <v/>
      </c>
      <c r="AN3622" t="str">
        <f t="shared" si="388"/>
        <v/>
      </c>
      <c r="AP3622" t="str">
        <f t="shared" si="389"/>
        <v>Defensive</v>
      </c>
    </row>
    <row r="3623" spans="20:42" x14ac:dyDescent="0.2">
      <c r="T3623" t="str">
        <f t="shared" si="386"/>
        <v>o</v>
      </c>
      <c r="AM3623" t="str">
        <f t="shared" si="387"/>
        <v/>
      </c>
      <c r="AN3623" t="str">
        <f t="shared" si="388"/>
        <v/>
      </c>
      <c r="AP3623" t="str">
        <f t="shared" si="389"/>
        <v>Defensive</v>
      </c>
    </row>
    <row r="3624" spans="20:42" x14ac:dyDescent="0.2">
      <c r="T3624" t="str">
        <f t="shared" si="386"/>
        <v>o</v>
      </c>
      <c r="AM3624" t="str">
        <f t="shared" si="387"/>
        <v/>
      </c>
      <c r="AN3624" t="str">
        <f t="shared" si="388"/>
        <v/>
      </c>
      <c r="AP3624" t="str">
        <f t="shared" si="389"/>
        <v>Defensive</v>
      </c>
    </row>
    <row r="3625" spans="20:42" x14ac:dyDescent="0.2">
      <c r="T3625" t="str">
        <f t="shared" si="386"/>
        <v>o</v>
      </c>
      <c r="AM3625" t="str">
        <f t="shared" si="387"/>
        <v/>
      </c>
      <c r="AN3625" t="str">
        <f t="shared" si="388"/>
        <v/>
      </c>
      <c r="AP3625" t="str">
        <f t="shared" si="389"/>
        <v>Defensive</v>
      </c>
    </row>
    <row r="3626" spans="20:42" x14ac:dyDescent="0.2">
      <c r="T3626" t="str">
        <f t="shared" si="386"/>
        <v>o</v>
      </c>
      <c r="AM3626" t="str">
        <f t="shared" si="387"/>
        <v/>
      </c>
      <c r="AN3626" t="str">
        <f t="shared" si="388"/>
        <v/>
      </c>
      <c r="AP3626" t="str">
        <f t="shared" si="389"/>
        <v>Defensive</v>
      </c>
    </row>
    <row r="3627" spans="20:42" x14ac:dyDescent="0.2">
      <c r="T3627" t="str">
        <f t="shared" si="386"/>
        <v>o</v>
      </c>
      <c r="AM3627" t="str">
        <f t="shared" si="387"/>
        <v/>
      </c>
      <c r="AN3627" t="str">
        <f t="shared" si="388"/>
        <v/>
      </c>
      <c r="AP3627" t="str">
        <f t="shared" si="389"/>
        <v>Defensive</v>
      </c>
    </row>
    <row r="3628" spans="20:42" x14ac:dyDescent="0.2">
      <c r="T3628" t="str">
        <f t="shared" si="386"/>
        <v>o</v>
      </c>
      <c r="AM3628" t="str">
        <f t="shared" si="387"/>
        <v/>
      </c>
      <c r="AN3628" t="str">
        <f t="shared" si="388"/>
        <v/>
      </c>
      <c r="AP3628" t="str">
        <f t="shared" si="389"/>
        <v>Defensive</v>
      </c>
    </row>
    <row r="3629" spans="20:42" x14ac:dyDescent="0.2">
      <c r="T3629" t="str">
        <f t="shared" si="386"/>
        <v>o</v>
      </c>
      <c r="AM3629" t="str">
        <f t="shared" si="387"/>
        <v/>
      </c>
      <c r="AN3629" t="str">
        <f t="shared" si="388"/>
        <v/>
      </c>
      <c r="AP3629" t="str">
        <f t="shared" si="389"/>
        <v>Defensive</v>
      </c>
    </row>
    <row r="3630" spans="20:42" x14ac:dyDescent="0.2">
      <c r="T3630" t="str">
        <f t="shared" si="386"/>
        <v>o</v>
      </c>
      <c r="AM3630" t="str">
        <f t="shared" si="387"/>
        <v/>
      </c>
      <c r="AN3630" t="str">
        <f t="shared" si="388"/>
        <v/>
      </c>
      <c r="AP3630" t="str">
        <f t="shared" si="389"/>
        <v>Defensive</v>
      </c>
    </row>
    <row r="3631" spans="20:42" x14ac:dyDescent="0.2">
      <c r="T3631" t="str">
        <f t="shared" si="386"/>
        <v>o</v>
      </c>
      <c r="AM3631" t="str">
        <f t="shared" si="387"/>
        <v/>
      </c>
      <c r="AN3631" t="str">
        <f t="shared" si="388"/>
        <v/>
      </c>
      <c r="AP3631" t="str">
        <f t="shared" si="389"/>
        <v>Defensive</v>
      </c>
    </row>
    <row r="3632" spans="20:42" x14ac:dyDescent="0.2">
      <c r="T3632" t="str">
        <f t="shared" si="386"/>
        <v>o</v>
      </c>
      <c r="AM3632" t="str">
        <f t="shared" si="387"/>
        <v/>
      </c>
      <c r="AN3632" t="str">
        <f t="shared" si="388"/>
        <v/>
      </c>
      <c r="AP3632" t="str">
        <f t="shared" si="389"/>
        <v>Defensive</v>
      </c>
    </row>
    <row r="3633" spans="20:42" x14ac:dyDescent="0.2">
      <c r="T3633" t="str">
        <f t="shared" si="386"/>
        <v>o</v>
      </c>
      <c r="AM3633" t="str">
        <f t="shared" si="387"/>
        <v/>
      </c>
      <c r="AN3633" t="str">
        <f t="shared" si="388"/>
        <v/>
      </c>
      <c r="AP3633" t="str">
        <f t="shared" si="389"/>
        <v>Defensive</v>
      </c>
    </row>
    <row r="3634" spans="20:42" x14ac:dyDescent="0.2">
      <c r="T3634" t="str">
        <f t="shared" si="386"/>
        <v>o</v>
      </c>
      <c r="AM3634" t="str">
        <f t="shared" si="387"/>
        <v/>
      </c>
      <c r="AN3634" t="str">
        <f t="shared" si="388"/>
        <v/>
      </c>
      <c r="AP3634" t="str">
        <f t="shared" si="389"/>
        <v>Defensive</v>
      </c>
    </row>
    <row r="3635" spans="20:42" x14ac:dyDescent="0.2">
      <c r="T3635" t="str">
        <f t="shared" si="386"/>
        <v>o</v>
      </c>
      <c r="AM3635" t="str">
        <f t="shared" si="387"/>
        <v/>
      </c>
      <c r="AN3635" t="str">
        <f t="shared" si="388"/>
        <v/>
      </c>
      <c r="AP3635" t="str">
        <f t="shared" si="389"/>
        <v>Defensive</v>
      </c>
    </row>
    <row r="3636" spans="20:42" x14ac:dyDescent="0.2">
      <c r="T3636" t="str">
        <f t="shared" si="386"/>
        <v>o</v>
      </c>
      <c r="AM3636" t="str">
        <f t="shared" si="387"/>
        <v/>
      </c>
      <c r="AN3636" t="str">
        <f t="shared" si="388"/>
        <v/>
      </c>
      <c r="AP3636" t="str">
        <f t="shared" si="389"/>
        <v>Defensive</v>
      </c>
    </row>
    <row r="3637" spans="20:42" x14ac:dyDescent="0.2">
      <c r="T3637" t="str">
        <f t="shared" si="386"/>
        <v>o</v>
      </c>
      <c r="AM3637" t="str">
        <f t="shared" si="387"/>
        <v/>
      </c>
      <c r="AN3637" t="str">
        <f t="shared" si="388"/>
        <v/>
      </c>
      <c r="AP3637" t="str">
        <f t="shared" si="389"/>
        <v>Defensive</v>
      </c>
    </row>
    <row r="3638" spans="20:42" x14ac:dyDescent="0.2">
      <c r="T3638" t="str">
        <f t="shared" si="386"/>
        <v>o</v>
      </c>
      <c r="AM3638" t="str">
        <f t="shared" si="387"/>
        <v/>
      </c>
      <c r="AN3638" t="str">
        <f t="shared" si="388"/>
        <v/>
      </c>
      <c r="AP3638" t="str">
        <f t="shared" si="389"/>
        <v>Defensive</v>
      </c>
    </row>
    <row r="3639" spans="20:42" x14ac:dyDescent="0.2">
      <c r="T3639" t="str">
        <f t="shared" si="386"/>
        <v>o</v>
      </c>
      <c r="AM3639" t="str">
        <f t="shared" si="387"/>
        <v/>
      </c>
      <c r="AN3639" t="str">
        <f t="shared" si="388"/>
        <v/>
      </c>
      <c r="AP3639" t="str">
        <f t="shared" si="389"/>
        <v>Defensive</v>
      </c>
    </row>
    <row r="3640" spans="20:42" x14ac:dyDescent="0.2">
      <c r="T3640" t="str">
        <f t="shared" si="386"/>
        <v>o</v>
      </c>
      <c r="AM3640" t="str">
        <f t="shared" si="387"/>
        <v/>
      </c>
      <c r="AN3640" t="str">
        <f t="shared" si="388"/>
        <v/>
      </c>
      <c r="AP3640" t="str">
        <f t="shared" si="389"/>
        <v>Defensive</v>
      </c>
    </row>
    <row r="3641" spans="20:42" x14ac:dyDescent="0.2">
      <c r="T3641" t="str">
        <f t="shared" si="386"/>
        <v>o</v>
      </c>
      <c r="AM3641" t="str">
        <f t="shared" si="387"/>
        <v/>
      </c>
      <c r="AN3641" t="str">
        <f t="shared" si="388"/>
        <v/>
      </c>
      <c r="AP3641" t="str">
        <f t="shared" si="389"/>
        <v>Defensive</v>
      </c>
    </row>
    <row r="3642" spans="20:42" x14ac:dyDescent="0.2">
      <c r="T3642" t="str">
        <f t="shared" si="386"/>
        <v>o</v>
      </c>
      <c r="AM3642" t="str">
        <f t="shared" si="387"/>
        <v/>
      </c>
      <c r="AN3642" t="str">
        <f t="shared" si="388"/>
        <v/>
      </c>
      <c r="AP3642" t="str">
        <f t="shared" si="389"/>
        <v>Defensive</v>
      </c>
    </row>
    <row r="3643" spans="20:42" x14ac:dyDescent="0.2">
      <c r="T3643" t="str">
        <f t="shared" si="386"/>
        <v>o</v>
      </c>
      <c r="AM3643" t="str">
        <f t="shared" si="387"/>
        <v/>
      </c>
      <c r="AN3643" t="str">
        <f t="shared" si="388"/>
        <v/>
      </c>
      <c r="AP3643" t="str">
        <f t="shared" si="389"/>
        <v>Defensive</v>
      </c>
    </row>
    <row r="3644" spans="20:42" x14ac:dyDescent="0.2">
      <c r="T3644" t="str">
        <f t="shared" si="386"/>
        <v>o</v>
      </c>
      <c r="AM3644" t="str">
        <f t="shared" si="387"/>
        <v/>
      </c>
      <c r="AN3644" t="str">
        <f t="shared" si="388"/>
        <v/>
      </c>
      <c r="AP3644" t="str">
        <f t="shared" si="389"/>
        <v>Defensive</v>
      </c>
    </row>
    <row r="3645" spans="20:42" x14ac:dyDescent="0.2">
      <c r="T3645" t="str">
        <f t="shared" si="386"/>
        <v>o</v>
      </c>
      <c r="AM3645" t="str">
        <f t="shared" si="387"/>
        <v/>
      </c>
      <c r="AN3645" t="str">
        <f t="shared" si="388"/>
        <v/>
      </c>
      <c r="AP3645" t="str">
        <f t="shared" si="389"/>
        <v>Defensive</v>
      </c>
    </row>
    <row r="3646" spans="20:42" x14ac:dyDescent="0.2">
      <c r="T3646" t="str">
        <f t="shared" si="386"/>
        <v>o</v>
      </c>
      <c r="AM3646" t="str">
        <f t="shared" si="387"/>
        <v/>
      </c>
      <c r="AN3646" t="str">
        <f t="shared" si="388"/>
        <v/>
      </c>
      <c r="AP3646" t="str">
        <f t="shared" si="389"/>
        <v>Defensive</v>
      </c>
    </row>
    <row r="3647" spans="20:42" x14ac:dyDescent="0.2">
      <c r="T3647" t="str">
        <f t="shared" si="386"/>
        <v>o</v>
      </c>
      <c r="AM3647" t="str">
        <f t="shared" si="387"/>
        <v/>
      </c>
      <c r="AN3647" t="str">
        <f t="shared" si="388"/>
        <v/>
      </c>
      <c r="AP3647" t="str">
        <f t="shared" si="389"/>
        <v>Defensive</v>
      </c>
    </row>
    <row r="3648" spans="20:42" x14ac:dyDescent="0.2">
      <c r="T3648" t="str">
        <f t="shared" si="386"/>
        <v>o</v>
      </c>
      <c r="AM3648" t="str">
        <f t="shared" si="387"/>
        <v/>
      </c>
      <c r="AN3648" t="str">
        <f t="shared" si="388"/>
        <v/>
      </c>
      <c r="AP3648" t="str">
        <f t="shared" si="389"/>
        <v>Defensive</v>
      </c>
    </row>
    <row r="3649" spans="20:42" x14ac:dyDescent="0.2">
      <c r="T3649" t="str">
        <f t="shared" si="386"/>
        <v>o</v>
      </c>
      <c r="AM3649" t="str">
        <f t="shared" si="387"/>
        <v/>
      </c>
      <c r="AN3649" t="str">
        <f t="shared" si="388"/>
        <v/>
      </c>
      <c r="AP3649" t="str">
        <f t="shared" si="389"/>
        <v>Defensive</v>
      </c>
    </row>
    <row r="3650" spans="20:42" x14ac:dyDescent="0.2">
      <c r="T3650" t="str">
        <f t="shared" si="386"/>
        <v>o</v>
      </c>
      <c r="AM3650" t="str">
        <f t="shared" si="387"/>
        <v/>
      </c>
      <c r="AN3650" t="str">
        <f t="shared" si="388"/>
        <v/>
      </c>
      <c r="AP3650" t="str">
        <f t="shared" si="389"/>
        <v>Defensive</v>
      </c>
    </row>
    <row r="3651" spans="20:42" x14ac:dyDescent="0.2">
      <c r="T3651" t="str">
        <f t="shared" si="386"/>
        <v>o</v>
      </c>
      <c r="AM3651" t="str">
        <f t="shared" si="387"/>
        <v/>
      </c>
      <c r="AN3651" t="str">
        <f t="shared" si="388"/>
        <v/>
      </c>
      <c r="AP3651" t="str">
        <f t="shared" si="389"/>
        <v>Defensive</v>
      </c>
    </row>
    <row r="3652" spans="20:42" x14ac:dyDescent="0.2">
      <c r="T3652" t="str">
        <f t="shared" si="386"/>
        <v>o</v>
      </c>
      <c r="AM3652" t="str">
        <f t="shared" si="387"/>
        <v/>
      </c>
      <c r="AN3652" t="str">
        <f t="shared" si="388"/>
        <v/>
      </c>
      <c r="AP3652" t="str">
        <f t="shared" si="389"/>
        <v>Defensive</v>
      </c>
    </row>
    <row r="3653" spans="20:42" x14ac:dyDescent="0.2">
      <c r="T3653" t="str">
        <f t="shared" si="386"/>
        <v>o</v>
      </c>
      <c r="AM3653" t="str">
        <f t="shared" si="387"/>
        <v/>
      </c>
      <c r="AN3653" t="str">
        <f t="shared" si="388"/>
        <v/>
      </c>
      <c r="AP3653" t="str">
        <f t="shared" si="389"/>
        <v>Defensive</v>
      </c>
    </row>
    <row r="3654" spans="20:42" x14ac:dyDescent="0.2">
      <c r="T3654" t="str">
        <f t="shared" si="386"/>
        <v>o</v>
      </c>
      <c r="AM3654" t="str">
        <f t="shared" si="387"/>
        <v/>
      </c>
      <c r="AN3654" t="str">
        <f t="shared" si="388"/>
        <v/>
      </c>
      <c r="AP3654" t="str">
        <f t="shared" si="389"/>
        <v>Defensive</v>
      </c>
    </row>
    <row r="3655" spans="20:42" x14ac:dyDescent="0.2">
      <c r="T3655" t="str">
        <f t="shared" si="386"/>
        <v>o</v>
      </c>
      <c r="AM3655" t="str">
        <f t="shared" si="387"/>
        <v/>
      </c>
      <c r="AN3655" t="str">
        <f t="shared" si="388"/>
        <v/>
      </c>
      <c r="AP3655" t="str">
        <f t="shared" si="389"/>
        <v>Defensive</v>
      </c>
    </row>
    <row r="3656" spans="20:42" x14ac:dyDescent="0.2">
      <c r="T3656" t="str">
        <f t="shared" si="386"/>
        <v>o</v>
      </c>
      <c r="AM3656" t="str">
        <f t="shared" si="387"/>
        <v/>
      </c>
      <c r="AN3656" t="str">
        <f t="shared" si="388"/>
        <v/>
      </c>
      <c r="AP3656" t="str">
        <f t="shared" si="389"/>
        <v>Defensive</v>
      </c>
    </row>
    <row r="3657" spans="20:42" x14ac:dyDescent="0.2">
      <c r="T3657" t="str">
        <f t="shared" si="386"/>
        <v>o</v>
      </c>
      <c r="AM3657" t="str">
        <f t="shared" si="387"/>
        <v/>
      </c>
      <c r="AN3657" t="str">
        <f t="shared" si="388"/>
        <v/>
      </c>
      <c r="AP3657" t="str">
        <f t="shared" si="389"/>
        <v>Defensive</v>
      </c>
    </row>
    <row r="3658" spans="20:42" x14ac:dyDescent="0.2">
      <c r="T3658" t="str">
        <f t="shared" si="386"/>
        <v>o</v>
      </c>
      <c r="AM3658" t="str">
        <f t="shared" si="387"/>
        <v/>
      </c>
      <c r="AN3658" t="str">
        <f t="shared" si="388"/>
        <v/>
      </c>
      <c r="AP3658" t="str">
        <f t="shared" si="389"/>
        <v>Defensive</v>
      </c>
    </row>
    <row r="3659" spans="20:42" x14ac:dyDescent="0.2">
      <c r="T3659" t="str">
        <f t="shared" si="386"/>
        <v>o</v>
      </c>
      <c r="AM3659" t="str">
        <f t="shared" si="387"/>
        <v/>
      </c>
      <c r="AN3659" t="str">
        <f t="shared" si="388"/>
        <v/>
      </c>
      <c r="AP3659" t="str">
        <f t="shared" si="389"/>
        <v>Defensive</v>
      </c>
    </row>
    <row r="3660" spans="20:42" x14ac:dyDescent="0.2">
      <c r="T3660" t="str">
        <f t="shared" ref="T3660:T3723" si="390">IF(S3660="x","",IF(S3660=1,"e","o"))</f>
        <v>o</v>
      </c>
      <c r="AM3660" t="str">
        <f t="shared" si="387"/>
        <v/>
      </c>
      <c r="AN3660" t="str">
        <f t="shared" si="388"/>
        <v/>
      </c>
      <c r="AP3660" t="str">
        <f t="shared" si="389"/>
        <v>Defensive</v>
      </c>
    </row>
    <row r="3661" spans="20:42" x14ac:dyDescent="0.2">
      <c r="T3661" t="str">
        <f t="shared" si="390"/>
        <v>o</v>
      </c>
      <c r="AM3661" t="str">
        <f t="shared" si="387"/>
        <v/>
      </c>
      <c r="AN3661" t="str">
        <f t="shared" si="388"/>
        <v/>
      </c>
      <c r="AP3661" t="str">
        <f t="shared" si="389"/>
        <v>Defensive</v>
      </c>
    </row>
    <row r="3662" spans="20:42" x14ac:dyDescent="0.2">
      <c r="T3662" t="str">
        <f t="shared" si="390"/>
        <v>o</v>
      </c>
      <c r="AM3662" t="str">
        <f t="shared" si="387"/>
        <v/>
      </c>
      <c r="AN3662" t="str">
        <f t="shared" si="388"/>
        <v/>
      </c>
      <c r="AP3662" t="str">
        <f t="shared" si="389"/>
        <v>Defensive</v>
      </c>
    </row>
    <row r="3663" spans="20:42" x14ac:dyDescent="0.2">
      <c r="T3663" t="str">
        <f t="shared" si="390"/>
        <v>o</v>
      </c>
      <c r="AM3663" t="str">
        <f t="shared" ref="AM3663:AM3726" si="391">IF(U3663&lt;&gt;"",U3663,IF($A3663=$A3662,AM3662,""))</f>
        <v/>
      </c>
      <c r="AN3663" t="str">
        <f t="shared" ref="AN3663:AN3726" si="392">IF(V3663&lt;&gt;"",V3663,IF($A3663=$A3662,AN3662,""))</f>
        <v/>
      </c>
      <c r="AP3663" t="str">
        <f t="shared" ref="AP3663:AP3726" si="393">IF(AND(T3663="e",OR(AM3663="Save",AN3663="Turnover_Takeaway",AN3663="Play_Defensive")),"Defensive",IF(AND(T3663="o",OR(AM3663="Save",AN3663="Turnover_Takeaway",AN3663="Play_Defensive")),"Offensive",IF(OR(AM3663="Deadice",AM3663="Stoppage",AM3663="Intermission"),"",IF(T3663="e","Offensive",IF(T3663="o","Defensive","")))))</f>
        <v>Defensive</v>
      </c>
    </row>
    <row r="3664" spans="20:42" x14ac:dyDescent="0.2">
      <c r="T3664" t="str">
        <f t="shared" si="390"/>
        <v>o</v>
      </c>
      <c r="AM3664" t="str">
        <f t="shared" si="391"/>
        <v/>
      </c>
      <c r="AN3664" t="str">
        <f t="shared" si="392"/>
        <v/>
      </c>
      <c r="AP3664" t="str">
        <f t="shared" si="393"/>
        <v>Defensive</v>
      </c>
    </row>
    <row r="3665" spans="20:42" x14ac:dyDescent="0.2">
      <c r="T3665" t="str">
        <f t="shared" si="390"/>
        <v>o</v>
      </c>
      <c r="AM3665" t="str">
        <f t="shared" si="391"/>
        <v/>
      </c>
      <c r="AN3665" t="str">
        <f t="shared" si="392"/>
        <v/>
      </c>
      <c r="AP3665" t="str">
        <f t="shared" si="393"/>
        <v>Defensive</v>
      </c>
    </row>
    <row r="3666" spans="20:42" x14ac:dyDescent="0.2">
      <c r="T3666" t="str">
        <f t="shared" si="390"/>
        <v>o</v>
      </c>
      <c r="AM3666" t="str">
        <f t="shared" si="391"/>
        <v/>
      </c>
      <c r="AN3666" t="str">
        <f t="shared" si="392"/>
        <v/>
      </c>
      <c r="AP3666" t="str">
        <f t="shared" si="393"/>
        <v>Defensive</v>
      </c>
    </row>
    <row r="3667" spans="20:42" x14ac:dyDescent="0.2">
      <c r="T3667" t="str">
        <f t="shared" si="390"/>
        <v>o</v>
      </c>
      <c r="AM3667" t="str">
        <f t="shared" si="391"/>
        <v/>
      </c>
      <c r="AN3667" t="str">
        <f t="shared" si="392"/>
        <v/>
      </c>
      <c r="AP3667" t="str">
        <f t="shared" si="393"/>
        <v>Defensive</v>
      </c>
    </row>
    <row r="3668" spans="20:42" x14ac:dyDescent="0.2">
      <c r="T3668" t="str">
        <f t="shared" si="390"/>
        <v>o</v>
      </c>
      <c r="AM3668" t="str">
        <f t="shared" si="391"/>
        <v/>
      </c>
      <c r="AN3668" t="str">
        <f t="shared" si="392"/>
        <v/>
      </c>
      <c r="AP3668" t="str">
        <f t="shared" si="393"/>
        <v>Defensive</v>
      </c>
    </row>
    <row r="3669" spans="20:42" x14ac:dyDescent="0.2">
      <c r="T3669" t="str">
        <f t="shared" si="390"/>
        <v>o</v>
      </c>
      <c r="AM3669" t="str">
        <f t="shared" si="391"/>
        <v/>
      </c>
      <c r="AN3669" t="str">
        <f t="shared" si="392"/>
        <v/>
      </c>
      <c r="AP3669" t="str">
        <f t="shared" si="393"/>
        <v>Defensive</v>
      </c>
    </row>
    <row r="3670" spans="20:42" x14ac:dyDescent="0.2">
      <c r="T3670" t="str">
        <f t="shared" si="390"/>
        <v>o</v>
      </c>
      <c r="AM3670" t="str">
        <f t="shared" si="391"/>
        <v/>
      </c>
      <c r="AN3670" t="str">
        <f t="shared" si="392"/>
        <v/>
      </c>
      <c r="AP3670" t="str">
        <f t="shared" si="393"/>
        <v>Defensive</v>
      </c>
    </row>
    <row r="3671" spans="20:42" x14ac:dyDescent="0.2">
      <c r="T3671" t="str">
        <f t="shared" si="390"/>
        <v>o</v>
      </c>
      <c r="AM3671" t="str">
        <f t="shared" si="391"/>
        <v/>
      </c>
      <c r="AN3671" t="str">
        <f t="shared" si="392"/>
        <v/>
      </c>
      <c r="AP3671" t="str">
        <f t="shared" si="393"/>
        <v>Defensive</v>
      </c>
    </row>
    <row r="3672" spans="20:42" x14ac:dyDescent="0.2">
      <c r="T3672" t="str">
        <f t="shared" si="390"/>
        <v>o</v>
      </c>
      <c r="AM3672" t="str">
        <f t="shared" si="391"/>
        <v/>
      </c>
      <c r="AN3672" t="str">
        <f t="shared" si="392"/>
        <v/>
      </c>
      <c r="AP3672" t="str">
        <f t="shared" si="393"/>
        <v>Defensive</v>
      </c>
    </row>
    <row r="3673" spans="20:42" x14ac:dyDescent="0.2">
      <c r="T3673" t="str">
        <f t="shared" si="390"/>
        <v>o</v>
      </c>
      <c r="AM3673" t="str">
        <f t="shared" si="391"/>
        <v/>
      </c>
      <c r="AN3673" t="str">
        <f t="shared" si="392"/>
        <v/>
      </c>
      <c r="AP3673" t="str">
        <f t="shared" si="393"/>
        <v>Defensive</v>
      </c>
    </row>
    <row r="3674" spans="20:42" x14ac:dyDescent="0.2">
      <c r="T3674" t="str">
        <f t="shared" si="390"/>
        <v>o</v>
      </c>
      <c r="AM3674" t="str">
        <f t="shared" si="391"/>
        <v/>
      </c>
      <c r="AN3674" t="str">
        <f t="shared" si="392"/>
        <v/>
      </c>
      <c r="AP3674" t="str">
        <f t="shared" si="393"/>
        <v>Defensive</v>
      </c>
    </row>
    <row r="3675" spans="20:42" x14ac:dyDescent="0.2">
      <c r="T3675" t="str">
        <f t="shared" si="390"/>
        <v>o</v>
      </c>
      <c r="AM3675" t="str">
        <f t="shared" si="391"/>
        <v/>
      </c>
      <c r="AN3675" t="str">
        <f t="shared" si="392"/>
        <v/>
      </c>
      <c r="AP3675" t="str">
        <f t="shared" si="393"/>
        <v>Defensive</v>
      </c>
    </row>
    <row r="3676" spans="20:42" x14ac:dyDescent="0.2">
      <c r="T3676" t="str">
        <f t="shared" si="390"/>
        <v>o</v>
      </c>
      <c r="AM3676" t="str">
        <f t="shared" si="391"/>
        <v/>
      </c>
      <c r="AN3676" t="str">
        <f t="shared" si="392"/>
        <v/>
      </c>
      <c r="AP3676" t="str">
        <f t="shared" si="393"/>
        <v>Defensive</v>
      </c>
    </row>
    <row r="3677" spans="20:42" x14ac:dyDescent="0.2">
      <c r="T3677" t="str">
        <f t="shared" si="390"/>
        <v>o</v>
      </c>
      <c r="AM3677" t="str">
        <f t="shared" si="391"/>
        <v/>
      </c>
      <c r="AN3677" t="str">
        <f t="shared" si="392"/>
        <v/>
      </c>
      <c r="AP3677" t="str">
        <f t="shared" si="393"/>
        <v>Defensive</v>
      </c>
    </row>
    <row r="3678" spans="20:42" x14ac:dyDescent="0.2">
      <c r="T3678" t="str">
        <f t="shared" si="390"/>
        <v>o</v>
      </c>
      <c r="AM3678" t="str">
        <f t="shared" si="391"/>
        <v/>
      </c>
      <c r="AN3678" t="str">
        <f t="shared" si="392"/>
        <v/>
      </c>
      <c r="AP3678" t="str">
        <f t="shared" si="393"/>
        <v>Defensive</v>
      </c>
    </row>
    <row r="3679" spans="20:42" x14ac:dyDescent="0.2">
      <c r="T3679" t="str">
        <f t="shared" si="390"/>
        <v>o</v>
      </c>
      <c r="AM3679" t="str">
        <f t="shared" si="391"/>
        <v/>
      </c>
      <c r="AN3679" t="str">
        <f t="shared" si="392"/>
        <v/>
      </c>
      <c r="AP3679" t="str">
        <f t="shared" si="393"/>
        <v>Defensive</v>
      </c>
    </row>
    <row r="3680" spans="20:42" x14ac:dyDescent="0.2">
      <c r="T3680" t="str">
        <f t="shared" si="390"/>
        <v>o</v>
      </c>
      <c r="AM3680" t="str">
        <f t="shared" si="391"/>
        <v/>
      </c>
      <c r="AN3680" t="str">
        <f t="shared" si="392"/>
        <v/>
      </c>
      <c r="AP3680" t="str">
        <f t="shared" si="393"/>
        <v>Defensive</v>
      </c>
    </row>
    <row r="3681" spans="20:42" x14ac:dyDescent="0.2">
      <c r="T3681" t="str">
        <f t="shared" si="390"/>
        <v>o</v>
      </c>
      <c r="AM3681" t="str">
        <f t="shared" si="391"/>
        <v/>
      </c>
      <c r="AN3681" t="str">
        <f t="shared" si="392"/>
        <v/>
      </c>
      <c r="AP3681" t="str">
        <f t="shared" si="393"/>
        <v>Defensive</v>
      </c>
    </row>
    <row r="3682" spans="20:42" x14ac:dyDescent="0.2">
      <c r="T3682" t="str">
        <f t="shared" si="390"/>
        <v>o</v>
      </c>
      <c r="AM3682" t="str">
        <f t="shared" si="391"/>
        <v/>
      </c>
      <c r="AN3682" t="str">
        <f t="shared" si="392"/>
        <v/>
      </c>
      <c r="AP3682" t="str">
        <f t="shared" si="393"/>
        <v>Defensive</v>
      </c>
    </row>
    <row r="3683" spans="20:42" x14ac:dyDescent="0.2">
      <c r="T3683" t="str">
        <f t="shared" si="390"/>
        <v>o</v>
      </c>
      <c r="AM3683" t="str">
        <f t="shared" si="391"/>
        <v/>
      </c>
      <c r="AN3683" t="str">
        <f t="shared" si="392"/>
        <v/>
      </c>
      <c r="AP3683" t="str">
        <f t="shared" si="393"/>
        <v>Defensive</v>
      </c>
    </row>
    <row r="3684" spans="20:42" x14ac:dyDescent="0.2">
      <c r="T3684" t="str">
        <f t="shared" si="390"/>
        <v>o</v>
      </c>
      <c r="AM3684" t="str">
        <f t="shared" si="391"/>
        <v/>
      </c>
      <c r="AN3684" t="str">
        <f t="shared" si="392"/>
        <v/>
      </c>
      <c r="AP3684" t="str">
        <f t="shared" si="393"/>
        <v>Defensive</v>
      </c>
    </row>
    <row r="3685" spans="20:42" x14ac:dyDescent="0.2">
      <c r="T3685" t="str">
        <f t="shared" si="390"/>
        <v>o</v>
      </c>
      <c r="AM3685" t="str">
        <f t="shared" si="391"/>
        <v/>
      </c>
      <c r="AN3685" t="str">
        <f t="shared" si="392"/>
        <v/>
      </c>
      <c r="AP3685" t="str">
        <f t="shared" si="393"/>
        <v>Defensive</v>
      </c>
    </row>
    <row r="3686" spans="20:42" x14ac:dyDescent="0.2">
      <c r="T3686" t="str">
        <f t="shared" si="390"/>
        <v>o</v>
      </c>
      <c r="AM3686" t="str">
        <f t="shared" si="391"/>
        <v/>
      </c>
      <c r="AN3686" t="str">
        <f t="shared" si="392"/>
        <v/>
      </c>
      <c r="AP3686" t="str">
        <f t="shared" si="393"/>
        <v>Defensive</v>
      </c>
    </row>
    <row r="3687" spans="20:42" x14ac:dyDescent="0.2">
      <c r="T3687" t="str">
        <f t="shared" si="390"/>
        <v>o</v>
      </c>
      <c r="AM3687" t="str">
        <f t="shared" si="391"/>
        <v/>
      </c>
      <c r="AN3687" t="str">
        <f t="shared" si="392"/>
        <v/>
      </c>
      <c r="AP3687" t="str">
        <f t="shared" si="393"/>
        <v>Defensive</v>
      </c>
    </row>
    <row r="3688" spans="20:42" x14ac:dyDescent="0.2">
      <c r="T3688" t="str">
        <f t="shared" si="390"/>
        <v>o</v>
      </c>
      <c r="AM3688" t="str">
        <f t="shared" si="391"/>
        <v/>
      </c>
      <c r="AN3688" t="str">
        <f t="shared" si="392"/>
        <v/>
      </c>
      <c r="AP3688" t="str">
        <f t="shared" si="393"/>
        <v>Defensive</v>
      </c>
    </row>
    <row r="3689" spans="20:42" x14ac:dyDescent="0.2">
      <c r="T3689" t="str">
        <f t="shared" si="390"/>
        <v>o</v>
      </c>
      <c r="AM3689" t="str">
        <f t="shared" si="391"/>
        <v/>
      </c>
      <c r="AN3689" t="str">
        <f t="shared" si="392"/>
        <v/>
      </c>
      <c r="AP3689" t="str">
        <f t="shared" si="393"/>
        <v>Defensive</v>
      </c>
    </row>
    <row r="3690" spans="20:42" x14ac:dyDescent="0.2">
      <c r="T3690" t="str">
        <f t="shared" si="390"/>
        <v>o</v>
      </c>
      <c r="AM3690" t="str">
        <f t="shared" si="391"/>
        <v/>
      </c>
      <c r="AN3690" t="str">
        <f t="shared" si="392"/>
        <v/>
      </c>
      <c r="AP3690" t="str">
        <f t="shared" si="393"/>
        <v>Defensive</v>
      </c>
    </row>
    <row r="3691" spans="20:42" x14ac:dyDescent="0.2">
      <c r="T3691" t="str">
        <f t="shared" si="390"/>
        <v>o</v>
      </c>
      <c r="AM3691" t="str">
        <f t="shared" si="391"/>
        <v/>
      </c>
      <c r="AN3691" t="str">
        <f t="shared" si="392"/>
        <v/>
      </c>
      <c r="AP3691" t="str">
        <f t="shared" si="393"/>
        <v>Defensive</v>
      </c>
    </row>
    <row r="3692" spans="20:42" x14ac:dyDescent="0.2">
      <c r="T3692" t="str">
        <f t="shared" si="390"/>
        <v>o</v>
      </c>
      <c r="AM3692" t="str">
        <f t="shared" si="391"/>
        <v/>
      </c>
      <c r="AN3692" t="str">
        <f t="shared" si="392"/>
        <v/>
      </c>
      <c r="AP3692" t="str">
        <f t="shared" si="393"/>
        <v>Defensive</v>
      </c>
    </row>
    <row r="3693" spans="20:42" x14ac:dyDescent="0.2">
      <c r="T3693" t="str">
        <f t="shared" si="390"/>
        <v>o</v>
      </c>
      <c r="AM3693" t="str">
        <f t="shared" si="391"/>
        <v/>
      </c>
      <c r="AN3693" t="str">
        <f t="shared" si="392"/>
        <v/>
      </c>
      <c r="AP3693" t="str">
        <f t="shared" si="393"/>
        <v>Defensive</v>
      </c>
    </row>
    <row r="3694" spans="20:42" x14ac:dyDescent="0.2">
      <c r="T3694" t="str">
        <f t="shared" si="390"/>
        <v>o</v>
      </c>
      <c r="AM3694" t="str">
        <f t="shared" si="391"/>
        <v/>
      </c>
      <c r="AN3694" t="str">
        <f t="shared" si="392"/>
        <v/>
      </c>
      <c r="AP3694" t="str">
        <f t="shared" si="393"/>
        <v>Defensive</v>
      </c>
    </row>
    <row r="3695" spans="20:42" x14ac:dyDescent="0.2">
      <c r="T3695" t="str">
        <f t="shared" si="390"/>
        <v>o</v>
      </c>
      <c r="AM3695" t="str">
        <f t="shared" si="391"/>
        <v/>
      </c>
      <c r="AN3695" t="str">
        <f t="shared" si="392"/>
        <v/>
      </c>
      <c r="AP3695" t="str">
        <f t="shared" si="393"/>
        <v>Defensive</v>
      </c>
    </row>
    <row r="3696" spans="20:42" x14ac:dyDescent="0.2">
      <c r="T3696" t="str">
        <f t="shared" si="390"/>
        <v>o</v>
      </c>
      <c r="AM3696" t="str">
        <f t="shared" si="391"/>
        <v/>
      </c>
      <c r="AN3696" t="str">
        <f t="shared" si="392"/>
        <v/>
      </c>
      <c r="AP3696" t="str">
        <f t="shared" si="393"/>
        <v>Defensive</v>
      </c>
    </row>
    <row r="3697" spans="20:42" x14ac:dyDescent="0.2">
      <c r="T3697" t="str">
        <f t="shared" si="390"/>
        <v>o</v>
      </c>
      <c r="AM3697" t="str">
        <f t="shared" si="391"/>
        <v/>
      </c>
      <c r="AN3697" t="str">
        <f t="shared" si="392"/>
        <v/>
      </c>
      <c r="AP3697" t="str">
        <f t="shared" si="393"/>
        <v>Defensive</v>
      </c>
    </row>
    <row r="3698" spans="20:42" x14ac:dyDescent="0.2">
      <c r="T3698" t="str">
        <f t="shared" si="390"/>
        <v>o</v>
      </c>
      <c r="AM3698" t="str">
        <f t="shared" si="391"/>
        <v/>
      </c>
      <c r="AN3698" t="str">
        <f t="shared" si="392"/>
        <v/>
      </c>
      <c r="AP3698" t="str">
        <f t="shared" si="393"/>
        <v>Defensive</v>
      </c>
    </row>
    <row r="3699" spans="20:42" x14ac:dyDescent="0.2">
      <c r="T3699" t="str">
        <f t="shared" si="390"/>
        <v>o</v>
      </c>
      <c r="AM3699" t="str">
        <f t="shared" si="391"/>
        <v/>
      </c>
      <c r="AN3699" t="str">
        <f t="shared" si="392"/>
        <v/>
      </c>
      <c r="AP3699" t="str">
        <f t="shared" si="393"/>
        <v>Defensive</v>
      </c>
    </row>
    <row r="3700" spans="20:42" x14ac:dyDescent="0.2">
      <c r="T3700" t="str">
        <f t="shared" si="390"/>
        <v>o</v>
      </c>
      <c r="AM3700" t="str">
        <f t="shared" si="391"/>
        <v/>
      </c>
      <c r="AN3700" t="str">
        <f t="shared" si="392"/>
        <v/>
      </c>
      <c r="AP3700" t="str">
        <f t="shared" si="393"/>
        <v>Defensive</v>
      </c>
    </row>
    <row r="3701" spans="20:42" x14ac:dyDescent="0.2">
      <c r="T3701" t="str">
        <f t="shared" si="390"/>
        <v>o</v>
      </c>
      <c r="AM3701" t="str">
        <f t="shared" si="391"/>
        <v/>
      </c>
      <c r="AN3701" t="str">
        <f t="shared" si="392"/>
        <v/>
      </c>
      <c r="AP3701" t="str">
        <f t="shared" si="393"/>
        <v>Defensive</v>
      </c>
    </row>
    <row r="3702" spans="20:42" x14ac:dyDescent="0.2">
      <c r="T3702" t="str">
        <f t="shared" si="390"/>
        <v>o</v>
      </c>
      <c r="AM3702" t="str">
        <f t="shared" si="391"/>
        <v/>
      </c>
      <c r="AN3702" t="str">
        <f t="shared" si="392"/>
        <v/>
      </c>
      <c r="AP3702" t="str">
        <f t="shared" si="393"/>
        <v>Defensive</v>
      </c>
    </row>
    <row r="3703" spans="20:42" x14ac:dyDescent="0.2">
      <c r="T3703" t="str">
        <f t="shared" si="390"/>
        <v>o</v>
      </c>
      <c r="AM3703" t="str">
        <f t="shared" si="391"/>
        <v/>
      </c>
      <c r="AN3703" t="str">
        <f t="shared" si="392"/>
        <v/>
      </c>
      <c r="AP3703" t="str">
        <f t="shared" si="393"/>
        <v>Defensive</v>
      </c>
    </row>
    <row r="3704" spans="20:42" x14ac:dyDescent="0.2">
      <c r="T3704" t="str">
        <f t="shared" si="390"/>
        <v>o</v>
      </c>
      <c r="AM3704" t="str">
        <f t="shared" si="391"/>
        <v/>
      </c>
      <c r="AN3704" t="str">
        <f t="shared" si="392"/>
        <v/>
      </c>
      <c r="AP3704" t="str">
        <f t="shared" si="393"/>
        <v>Defensive</v>
      </c>
    </row>
    <row r="3705" spans="20:42" x14ac:dyDescent="0.2">
      <c r="T3705" t="str">
        <f t="shared" si="390"/>
        <v>o</v>
      </c>
      <c r="AM3705" t="str">
        <f t="shared" si="391"/>
        <v/>
      </c>
      <c r="AN3705" t="str">
        <f t="shared" si="392"/>
        <v/>
      </c>
      <c r="AP3705" t="str">
        <f t="shared" si="393"/>
        <v>Defensive</v>
      </c>
    </row>
    <row r="3706" spans="20:42" x14ac:dyDescent="0.2">
      <c r="T3706" t="str">
        <f t="shared" si="390"/>
        <v>o</v>
      </c>
      <c r="AM3706" t="str">
        <f t="shared" si="391"/>
        <v/>
      </c>
      <c r="AN3706" t="str">
        <f t="shared" si="392"/>
        <v/>
      </c>
      <c r="AP3706" t="str">
        <f t="shared" si="393"/>
        <v>Defensive</v>
      </c>
    </row>
    <row r="3707" spans="20:42" x14ac:dyDescent="0.2">
      <c r="T3707" t="str">
        <f t="shared" si="390"/>
        <v>o</v>
      </c>
      <c r="AM3707" t="str">
        <f t="shared" si="391"/>
        <v/>
      </c>
      <c r="AN3707" t="str">
        <f t="shared" si="392"/>
        <v/>
      </c>
      <c r="AP3707" t="str">
        <f t="shared" si="393"/>
        <v>Defensive</v>
      </c>
    </row>
    <row r="3708" spans="20:42" x14ac:dyDescent="0.2">
      <c r="T3708" t="str">
        <f t="shared" si="390"/>
        <v>o</v>
      </c>
      <c r="AM3708" t="str">
        <f t="shared" si="391"/>
        <v/>
      </c>
      <c r="AN3708" t="str">
        <f t="shared" si="392"/>
        <v/>
      </c>
      <c r="AP3708" t="str">
        <f t="shared" si="393"/>
        <v>Defensive</v>
      </c>
    </row>
    <row r="3709" spans="20:42" x14ac:dyDescent="0.2">
      <c r="T3709" t="str">
        <f t="shared" si="390"/>
        <v>o</v>
      </c>
      <c r="AM3709" t="str">
        <f t="shared" si="391"/>
        <v/>
      </c>
      <c r="AN3709" t="str">
        <f t="shared" si="392"/>
        <v/>
      </c>
      <c r="AP3709" t="str">
        <f t="shared" si="393"/>
        <v>Defensive</v>
      </c>
    </row>
    <row r="3710" spans="20:42" x14ac:dyDescent="0.2">
      <c r="T3710" t="str">
        <f t="shared" si="390"/>
        <v>o</v>
      </c>
      <c r="AM3710" t="str">
        <f t="shared" si="391"/>
        <v/>
      </c>
      <c r="AN3710" t="str">
        <f t="shared" si="392"/>
        <v/>
      </c>
      <c r="AP3710" t="str">
        <f t="shared" si="393"/>
        <v>Defensive</v>
      </c>
    </row>
    <row r="3711" spans="20:42" x14ac:dyDescent="0.2">
      <c r="T3711" t="str">
        <f t="shared" si="390"/>
        <v>o</v>
      </c>
      <c r="AM3711" t="str">
        <f t="shared" si="391"/>
        <v/>
      </c>
      <c r="AN3711" t="str">
        <f t="shared" si="392"/>
        <v/>
      </c>
      <c r="AP3711" t="str">
        <f t="shared" si="393"/>
        <v>Defensive</v>
      </c>
    </row>
    <row r="3712" spans="20:42" x14ac:dyDescent="0.2">
      <c r="T3712" t="str">
        <f t="shared" si="390"/>
        <v>o</v>
      </c>
      <c r="AM3712" t="str">
        <f t="shared" si="391"/>
        <v/>
      </c>
      <c r="AN3712" t="str">
        <f t="shared" si="392"/>
        <v/>
      </c>
      <c r="AP3712" t="str">
        <f t="shared" si="393"/>
        <v>Defensive</v>
      </c>
    </row>
    <row r="3713" spans="20:42" x14ac:dyDescent="0.2">
      <c r="T3713" t="str">
        <f t="shared" si="390"/>
        <v>o</v>
      </c>
      <c r="AM3713" t="str">
        <f t="shared" si="391"/>
        <v/>
      </c>
      <c r="AN3713" t="str">
        <f t="shared" si="392"/>
        <v/>
      </c>
      <c r="AP3713" t="str">
        <f t="shared" si="393"/>
        <v>Defensive</v>
      </c>
    </row>
    <row r="3714" spans="20:42" x14ac:dyDescent="0.2">
      <c r="T3714" t="str">
        <f t="shared" si="390"/>
        <v>o</v>
      </c>
      <c r="AM3714" t="str">
        <f t="shared" si="391"/>
        <v/>
      </c>
      <c r="AN3714" t="str">
        <f t="shared" si="392"/>
        <v/>
      </c>
      <c r="AP3714" t="str">
        <f t="shared" si="393"/>
        <v>Defensive</v>
      </c>
    </row>
    <row r="3715" spans="20:42" x14ac:dyDescent="0.2">
      <c r="T3715" t="str">
        <f t="shared" si="390"/>
        <v>o</v>
      </c>
      <c r="AM3715" t="str">
        <f t="shared" si="391"/>
        <v/>
      </c>
      <c r="AN3715" t="str">
        <f t="shared" si="392"/>
        <v/>
      </c>
      <c r="AP3715" t="str">
        <f t="shared" si="393"/>
        <v>Defensive</v>
      </c>
    </row>
    <row r="3716" spans="20:42" x14ac:dyDescent="0.2">
      <c r="T3716" t="str">
        <f t="shared" si="390"/>
        <v>o</v>
      </c>
      <c r="AM3716" t="str">
        <f t="shared" si="391"/>
        <v/>
      </c>
      <c r="AN3716" t="str">
        <f t="shared" si="392"/>
        <v/>
      </c>
      <c r="AP3716" t="str">
        <f t="shared" si="393"/>
        <v>Defensive</v>
      </c>
    </row>
    <row r="3717" spans="20:42" x14ac:dyDescent="0.2">
      <c r="T3717" t="str">
        <f t="shared" si="390"/>
        <v>o</v>
      </c>
      <c r="AM3717" t="str">
        <f t="shared" si="391"/>
        <v/>
      </c>
      <c r="AN3717" t="str">
        <f t="shared" si="392"/>
        <v/>
      </c>
      <c r="AP3717" t="str">
        <f t="shared" si="393"/>
        <v>Defensive</v>
      </c>
    </row>
    <row r="3718" spans="20:42" x14ac:dyDescent="0.2">
      <c r="T3718" t="str">
        <f t="shared" si="390"/>
        <v>o</v>
      </c>
      <c r="AM3718" t="str">
        <f t="shared" si="391"/>
        <v/>
      </c>
      <c r="AN3718" t="str">
        <f t="shared" si="392"/>
        <v/>
      </c>
      <c r="AP3718" t="str">
        <f t="shared" si="393"/>
        <v>Defensive</v>
      </c>
    </row>
    <row r="3719" spans="20:42" x14ac:dyDescent="0.2">
      <c r="T3719" t="str">
        <f t="shared" si="390"/>
        <v>o</v>
      </c>
      <c r="AM3719" t="str">
        <f t="shared" si="391"/>
        <v/>
      </c>
      <c r="AN3719" t="str">
        <f t="shared" si="392"/>
        <v/>
      </c>
      <c r="AP3719" t="str">
        <f t="shared" si="393"/>
        <v>Defensive</v>
      </c>
    </row>
    <row r="3720" spans="20:42" x14ac:dyDescent="0.2">
      <c r="T3720" t="str">
        <f t="shared" si="390"/>
        <v>o</v>
      </c>
      <c r="AM3720" t="str">
        <f t="shared" si="391"/>
        <v/>
      </c>
      <c r="AN3720" t="str">
        <f t="shared" si="392"/>
        <v/>
      </c>
      <c r="AP3720" t="str">
        <f t="shared" si="393"/>
        <v>Defensive</v>
      </c>
    </row>
    <row r="3721" spans="20:42" x14ac:dyDescent="0.2">
      <c r="T3721" t="str">
        <f t="shared" si="390"/>
        <v>o</v>
      </c>
      <c r="AM3721" t="str">
        <f t="shared" si="391"/>
        <v/>
      </c>
      <c r="AN3721" t="str">
        <f t="shared" si="392"/>
        <v/>
      </c>
      <c r="AP3721" t="str">
        <f t="shared" si="393"/>
        <v>Defensive</v>
      </c>
    </row>
    <row r="3722" spans="20:42" x14ac:dyDescent="0.2">
      <c r="T3722" t="str">
        <f t="shared" si="390"/>
        <v>o</v>
      </c>
      <c r="AM3722" t="str">
        <f t="shared" si="391"/>
        <v/>
      </c>
      <c r="AN3722" t="str">
        <f t="shared" si="392"/>
        <v/>
      </c>
      <c r="AP3722" t="str">
        <f t="shared" si="393"/>
        <v>Defensive</v>
      </c>
    </row>
    <row r="3723" spans="20:42" x14ac:dyDescent="0.2">
      <c r="T3723" t="str">
        <f t="shared" si="390"/>
        <v>o</v>
      </c>
      <c r="AM3723" t="str">
        <f t="shared" si="391"/>
        <v/>
      </c>
      <c r="AN3723" t="str">
        <f t="shared" si="392"/>
        <v/>
      </c>
      <c r="AP3723" t="str">
        <f t="shared" si="393"/>
        <v>Defensive</v>
      </c>
    </row>
    <row r="3724" spans="20:42" x14ac:dyDescent="0.2">
      <c r="T3724" t="str">
        <f t="shared" ref="T3724:T3787" si="394">IF(S3724="x","",IF(S3724=1,"e","o"))</f>
        <v>o</v>
      </c>
      <c r="AM3724" t="str">
        <f t="shared" si="391"/>
        <v/>
      </c>
      <c r="AN3724" t="str">
        <f t="shared" si="392"/>
        <v/>
      </c>
      <c r="AP3724" t="str">
        <f t="shared" si="393"/>
        <v>Defensive</v>
      </c>
    </row>
    <row r="3725" spans="20:42" x14ac:dyDescent="0.2">
      <c r="T3725" t="str">
        <f t="shared" si="394"/>
        <v>o</v>
      </c>
      <c r="AM3725" t="str">
        <f t="shared" si="391"/>
        <v/>
      </c>
      <c r="AN3725" t="str">
        <f t="shared" si="392"/>
        <v/>
      </c>
      <c r="AP3725" t="str">
        <f t="shared" si="393"/>
        <v>Defensive</v>
      </c>
    </row>
    <row r="3726" spans="20:42" x14ac:dyDescent="0.2">
      <c r="T3726" t="str">
        <f t="shared" si="394"/>
        <v>o</v>
      </c>
      <c r="AM3726" t="str">
        <f t="shared" si="391"/>
        <v/>
      </c>
      <c r="AN3726" t="str">
        <f t="shared" si="392"/>
        <v/>
      </c>
      <c r="AP3726" t="str">
        <f t="shared" si="393"/>
        <v>Defensive</v>
      </c>
    </row>
    <row r="3727" spans="20:42" x14ac:dyDescent="0.2">
      <c r="T3727" t="str">
        <f t="shared" si="394"/>
        <v>o</v>
      </c>
      <c r="AM3727" t="str">
        <f t="shared" ref="AM3727:AM3790" si="395">IF(U3727&lt;&gt;"",U3727,IF($A3727=$A3726,AM3726,""))</f>
        <v/>
      </c>
      <c r="AN3727" t="str">
        <f t="shared" ref="AN3727:AN3790" si="396">IF(V3727&lt;&gt;"",V3727,IF($A3727=$A3726,AN3726,""))</f>
        <v/>
      </c>
      <c r="AP3727" t="str">
        <f t="shared" ref="AP3727:AP3790" si="397">IF(AND(T3727="e",OR(AM3727="Save",AN3727="Turnover_Takeaway",AN3727="Play_Defensive")),"Defensive",IF(AND(T3727="o",OR(AM3727="Save",AN3727="Turnover_Takeaway",AN3727="Play_Defensive")),"Offensive",IF(OR(AM3727="Deadice",AM3727="Stoppage",AM3727="Intermission"),"",IF(T3727="e","Offensive",IF(T3727="o","Defensive","")))))</f>
        <v>Defensive</v>
      </c>
    </row>
    <row r="3728" spans="20:42" x14ac:dyDescent="0.2">
      <c r="T3728" t="str">
        <f t="shared" si="394"/>
        <v>o</v>
      </c>
      <c r="AM3728" t="str">
        <f t="shared" si="395"/>
        <v/>
      </c>
      <c r="AN3728" t="str">
        <f t="shared" si="396"/>
        <v/>
      </c>
      <c r="AP3728" t="str">
        <f t="shared" si="397"/>
        <v>Defensive</v>
      </c>
    </row>
    <row r="3729" spans="20:42" x14ac:dyDescent="0.2">
      <c r="T3729" t="str">
        <f t="shared" si="394"/>
        <v>o</v>
      </c>
      <c r="AM3729" t="str">
        <f t="shared" si="395"/>
        <v/>
      </c>
      <c r="AN3729" t="str">
        <f t="shared" si="396"/>
        <v/>
      </c>
      <c r="AP3729" t="str">
        <f t="shared" si="397"/>
        <v>Defensive</v>
      </c>
    </row>
    <row r="3730" spans="20:42" x14ac:dyDescent="0.2">
      <c r="T3730" t="str">
        <f t="shared" si="394"/>
        <v>o</v>
      </c>
      <c r="AM3730" t="str">
        <f t="shared" si="395"/>
        <v/>
      </c>
      <c r="AN3730" t="str">
        <f t="shared" si="396"/>
        <v/>
      </c>
      <c r="AP3730" t="str">
        <f t="shared" si="397"/>
        <v>Defensive</v>
      </c>
    </row>
    <row r="3731" spans="20:42" x14ac:dyDescent="0.2">
      <c r="T3731" t="str">
        <f t="shared" si="394"/>
        <v>o</v>
      </c>
      <c r="AM3731" t="str">
        <f t="shared" si="395"/>
        <v/>
      </c>
      <c r="AN3731" t="str">
        <f t="shared" si="396"/>
        <v/>
      </c>
      <c r="AP3731" t="str">
        <f t="shared" si="397"/>
        <v>Defensive</v>
      </c>
    </row>
    <row r="3732" spans="20:42" x14ac:dyDescent="0.2">
      <c r="T3732" t="str">
        <f t="shared" si="394"/>
        <v>o</v>
      </c>
      <c r="AM3732" t="str">
        <f t="shared" si="395"/>
        <v/>
      </c>
      <c r="AN3732" t="str">
        <f t="shared" si="396"/>
        <v/>
      </c>
      <c r="AP3732" t="str">
        <f t="shared" si="397"/>
        <v>Defensive</v>
      </c>
    </row>
    <row r="3733" spans="20:42" x14ac:dyDescent="0.2">
      <c r="T3733" t="str">
        <f t="shared" si="394"/>
        <v>o</v>
      </c>
      <c r="AM3733" t="str">
        <f t="shared" si="395"/>
        <v/>
      </c>
      <c r="AN3733" t="str">
        <f t="shared" si="396"/>
        <v/>
      </c>
      <c r="AP3733" t="str">
        <f t="shared" si="397"/>
        <v>Defensive</v>
      </c>
    </row>
    <row r="3734" spans="20:42" x14ac:dyDescent="0.2">
      <c r="T3734" t="str">
        <f t="shared" si="394"/>
        <v>o</v>
      </c>
      <c r="AM3734" t="str">
        <f t="shared" si="395"/>
        <v/>
      </c>
      <c r="AN3734" t="str">
        <f t="shared" si="396"/>
        <v/>
      </c>
      <c r="AP3734" t="str">
        <f t="shared" si="397"/>
        <v>Defensive</v>
      </c>
    </row>
    <row r="3735" spans="20:42" x14ac:dyDescent="0.2">
      <c r="T3735" t="str">
        <f t="shared" si="394"/>
        <v>o</v>
      </c>
      <c r="AM3735" t="str">
        <f t="shared" si="395"/>
        <v/>
      </c>
      <c r="AN3735" t="str">
        <f t="shared" si="396"/>
        <v/>
      </c>
      <c r="AP3735" t="str">
        <f t="shared" si="397"/>
        <v>Defensive</v>
      </c>
    </row>
    <row r="3736" spans="20:42" x14ac:dyDescent="0.2">
      <c r="T3736" t="str">
        <f t="shared" si="394"/>
        <v>o</v>
      </c>
      <c r="AM3736" t="str">
        <f t="shared" si="395"/>
        <v/>
      </c>
      <c r="AN3736" t="str">
        <f t="shared" si="396"/>
        <v/>
      </c>
      <c r="AP3736" t="str">
        <f t="shared" si="397"/>
        <v>Defensive</v>
      </c>
    </row>
    <row r="3737" spans="20:42" x14ac:dyDescent="0.2">
      <c r="T3737" t="str">
        <f t="shared" si="394"/>
        <v>o</v>
      </c>
      <c r="AM3737" t="str">
        <f t="shared" si="395"/>
        <v/>
      </c>
      <c r="AN3737" t="str">
        <f t="shared" si="396"/>
        <v/>
      </c>
      <c r="AP3737" t="str">
        <f t="shared" si="397"/>
        <v>Defensive</v>
      </c>
    </row>
    <row r="3738" spans="20:42" x14ac:dyDescent="0.2">
      <c r="T3738" t="str">
        <f t="shared" si="394"/>
        <v>o</v>
      </c>
      <c r="AM3738" t="str">
        <f t="shared" si="395"/>
        <v/>
      </c>
      <c r="AN3738" t="str">
        <f t="shared" si="396"/>
        <v/>
      </c>
      <c r="AP3738" t="str">
        <f t="shared" si="397"/>
        <v>Defensive</v>
      </c>
    </row>
    <row r="3739" spans="20:42" x14ac:dyDescent="0.2">
      <c r="T3739" t="str">
        <f t="shared" si="394"/>
        <v>o</v>
      </c>
      <c r="AM3739" t="str">
        <f t="shared" si="395"/>
        <v/>
      </c>
      <c r="AN3739" t="str">
        <f t="shared" si="396"/>
        <v/>
      </c>
      <c r="AP3739" t="str">
        <f t="shared" si="397"/>
        <v>Defensive</v>
      </c>
    </row>
    <row r="3740" spans="20:42" x14ac:dyDescent="0.2">
      <c r="T3740" t="str">
        <f t="shared" si="394"/>
        <v>o</v>
      </c>
      <c r="AM3740" t="str">
        <f t="shared" si="395"/>
        <v/>
      </c>
      <c r="AN3740" t="str">
        <f t="shared" si="396"/>
        <v/>
      </c>
      <c r="AP3740" t="str">
        <f t="shared" si="397"/>
        <v>Defensive</v>
      </c>
    </row>
    <row r="3741" spans="20:42" x14ac:dyDescent="0.2">
      <c r="T3741" t="str">
        <f t="shared" si="394"/>
        <v>o</v>
      </c>
      <c r="AM3741" t="str">
        <f t="shared" si="395"/>
        <v/>
      </c>
      <c r="AN3741" t="str">
        <f t="shared" si="396"/>
        <v/>
      </c>
      <c r="AP3741" t="str">
        <f t="shared" si="397"/>
        <v>Defensive</v>
      </c>
    </row>
    <row r="3742" spans="20:42" x14ac:dyDescent="0.2">
      <c r="T3742" t="str">
        <f t="shared" si="394"/>
        <v>o</v>
      </c>
      <c r="AM3742" t="str">
        <f t="shared" si="395"/>
        <v/>
      </c>
      <c r="AN3742" t="str">
        <f t="shared" si="396"/>
        <v/>
      </c>
      <c r="AP3742" t="str">
        <f t="shared" si="397"/>
        <v>Defensive</v>
      </c>
    </row>
    <row r="3743" spans="20:42" x14ac:dyDescent="0.2">
      <c r="T3743" t="str">
        <f t="shared" si="394"/>
        <v>o</v>
      </c>
      <c r="AM3743" t="str">
        <f t="shared" si="395"/>
        <v/>
      </c>
      <c r="AN3743" t="str">
        <f t="shared" si="396"/>
        <v/>
      </c>
      <c r="AP3743" t="str">
        <f t="shared" si="397"/>
        <v>Defensive</v>
      </c>
    </row>
    <row r="3744" spans="20:42" x14ac:dyDescent="0.2">
      <c r="T3744" t="str">
        <f t="shared" si="394"/>
        <v>o</v>
      </c>
      <c r="AM3744" t="str">
        <f t="shared" si="395"/>
        <v/>
      </c>
      <c r="AN3744" t="str">
        <f t="shared" si="396"/>
        <v/>
      </c>
      <c r="AP3744" t="str">
        <f t="shared" si="397"/>
        <v>Defensive</v>
      </c>
    </row>
    <row r="3745" spans="20:42" x14ac:dyDescent="0.2">
      <c r="T3745" t="str">
        <f t="shared" si="394"/>
        <v>o</v>
      </c>
      <c r="AM3745" t="str">
        <f t="shared" si="395"/>
        <v/>
      </c>
      <c r="AN3745" t="str">
        <f t="shared" si="396"/>
        <v/>
      </c>
      <c r="AP3745" t="str">
        <f t="shared" si="397"/>
        <v>Defensive</v>
      </c>
    </row>
    <row r="3746" spans="20:42" x14ac:dyDescent="0.2">
      <c r="T3746" t="str">
        <f t="shared" si="394"/>
        <v>o</v>
      </c>
      <c r="AM3746" t="str">
        <f t="shared" si="395"/>
        <v/>
      </c>
      <c r="AN3746" t="str">
        <f t="shared" si="396"/>
        <v/>
      </c>
      <c r="AP3746" t="str">
        <f t="shared" si="397"/>
        <v>Defensive</v>
      </c>
    </row>
    <row r="3747" spans="20:42" x14ac:dyDescent="0.2">
      <c r="T3747" t="str">
        <f t="shared" si="394"/>
        <v>o</v>
      </c>
      <c r="AM3747" t="str">
        <f t="shared" si="395"/>
        <v/>
      </c>
      <c r="AN3747" t="str">
        <f t="shared" si="396"/>
        <v/>
      </c>
      <c r="AP3747" t="str">
        <f t="shared" si="397"/>
        <v>Defensive</v>
      </c>
    </row>
    <row r="3748" spans="20:42" x14ac:dyDescent="0.2">
      <c r="T3748" t="str">
        <f t="shared" si="394"/>
        <v>o</v>
      </c>
      <c r="AM3748" t="str">
        <f t="shared" si="395"/>
        <v/>
      </c>
      <c r="AN3748" t="str">
        <f t="shared" si="396"/>
        <v/>
      </c>
      <c r="AP3748" t="str">
        <f t="shared" si="397"/>
        <v>Defensive</v>
      </c>
    </row>
    <row r="3749" spans="20:42" x14ac:dyDescent="0.2">
      <c r="T3749" t="str">
        <f t="shared" si="394"/>
        <v>o</v>
      </c>
      <c r="AM3749" t="str">
        <f t="shared" si="395"/>
        <v/>
      </c>
      <c r="AN3749" t="str">
        <f t="shared" si="396"/>
        <v/>
      </c>
      <c r="AP3749" t="str">
        <f t="shared" si="397"/>
        <v>Defensive</v>
      </c>
    </row>
    <row r="3750" spans="20:42" x14ac:dyDescent="0.2">
      <c r="T3750" t="str">
        <f t="shared" si="394"/>
        <v>o</v>
      </c>
      <c r="AM3750" t="str">
        <f t="shared" si="395"/>
        <v/>
      </c>
      <c r="AN3750" t="str">
        <f t="shared" si="396"/>
        <v/>
      </c>
      <c r="AP3750" t="str">
        <f t="shared" si="397"/>
        <v>Defensive</v>
      </c>
    </row>
    <row r="3751" spans="20:42" x14ac:dyDescent="0.2">
      <c r="T3751" t="str">
        <f t="shared" si="394"/>
        <v>o</v>
      </c>
      <c r="AM3751" t="str">
        <f t="shared" si="395"/>
        <v/>
      </c>
      <c r="AN3751" t="str">
        <f t="shared" si="396"/>
        <v/>
      </c>
      <c r="AP3751" t="str">
        <f t="shared" si="397"/>
        <v>Defensive</v>
      </c>
    </row>
    <row r="3752" spans="20:42" x14ac:dyDescent="0.2">
      <c r="T3752" t="str">
        <f t="shared" si="394"/>
        <v>o</v>
      </c>
      <c r="AM3752" t="str">
        <f t="shared" si="395"/>
        <v/>
      </c>
      <c r="AN3752" t="str">
        <f t="shared" si="396"/>
        <v/>
      </c>
      <c r="AP3752" t="str">
        <f t="shared" si="397"/>
        <v>Defensive</v>
      </c>
    </row>
    <row r="3753" spans="20:42" x14ac:dyDescent="0.2">
      <c r="T3753" t="str">
        <f t="shared" si="394"/>
        <v>o</v>
      </c>
      <c r="AM3753" t="str">
        <f t="shared" si="395"/>
        <v/>
      </c>
      <c r="AN3753" t="str">
        <f t="shared" si="396"/>
        <v/>
      </c>
      <c r="AP3753" t="str">
        <f t="shared" si="397"/>
        <v>Defensive</v>
      </c>
    </row>
    <row r="3754" spans="20:42" x14ac:dyDescent="0.2">
      <c r="T3754" t="str">
        <f t="shared" si="394"/>
        <v>o</v>
      </c>
      <c r="AM3754" t="str">
        <f t="shared" si="395"/>
        <v/>
      </c>
      <c r="AN3754" t="str">
        <f t="shared" si="396"/>
        <v/>
      </c>
      <c r="AP3754" t="str">
        <f t="shared" si="397"/>
        <v>Defensive</v>
      </c>
    </row>
    <row r="3755" spans="20:42" x14ac:dyDescent="0.2">
      <c r="T3755" t="str">
        <f t="shared" si="394"/>
        <v>o</v>
      </c>
      <c r="AM3755" t="str">
        <f t="shared" si="395"/>
        <v/>
      </c>
      <c r="AN3755" t="str">
        <f t="shared" si="396"/>
        <v/>
      </c>
      <c r="AP3755" t="str">
        <f t="shared" si="397"/>
        <v>Defensive</v>
      </c>
    </row>
    <row r="3756" spans="20:42" x14ac:dyDescent="0.2">
      <c r="T3756" t="str">
        <f t="shared" si="394"/>
        <v>o</v>
      </c>
      <c r="AM3756" t="str">
        <f t="shared" si="395"/>
        <v/>
      </c>
      <c r="AN3756" t="str">
        <f t="shared" si="396"/>
        <v/>
      </c>
      <c r="AP3756" t="str">
        <f t="shared" si="397"/>
        <v>Defensive</v>
      </c>
    </row>
    <row r="3757" spans="20:42" x14ac:dyDescent="0.2">
      <c r="T3757" t="str">
        <f t="shared" si="394"/>
        <v>o</v>
      </c>
      <c r="AM3757" t="str">
        <f t="shared" si="395"/>
        <v/>
      </c>
      <c r="AN3757" t="str">
        <f t="shared" si="396"/>
        <v/>
      </c>
      <c r="AP3757" t="str">
        <f t="shared" si="397"/>
        <v>Defensive</v>
      </c>
    </row>
    <row r="3758" spans="20:42" x14ac:dyDescent="0.2">
      <c r="T3758" t="str">
        <f t="shared" si="394"/>
        <v>o</v>
      </c>
      <c r="AM3758" t="str">
        <f t="shared" si="395"/>
        <v/>
      </c>
      <c r="AN3758" t="str">
        <f t="shared" si="396"/>
        <v/>
      </c>
      <c r="AP3758" t="str">
        <f t="shared" si="397"/>
        <v>Defensive</v>
      </c>
    </row>
    <row r="3759" spans="20:42" x14ac:dyDescent="0.2">
      <c r="T3759" t="str">
        <f t="shared" si="394"/>
        <v>o</v>
      </c>
      <c r="AM3759" t="str">
        <f t="shared" si="395"/>
        <v/>
      </c>
      <c r="AN3759" t="str">
        <f t="shared" si="396"/>
        <v/>
      </c>
      <c r="AP3759" t="str">
        <f t="shared" si="397"/>
        <v>Defensive</v>
      </c>
    </row>
    <row r="3760" spans="20:42" x14ac:dyDescent="0.2">
      <c r="T3760" t="str">
        <f t="shared" si="394"/>
        <v>o</v>
      </c>
      <c r="AM3760" t="str">
        <f t="shared" si="395"/>
        <v/>
      </c>
      <c r="AN3760" t="str">
        <f t="shared" si="396"/>
        <v/>
      </c>
      <c r="AP3760" t="str">
        <f t="shared" si="397"/>
        <v>Defensive</v>
      </c>
    </row>
    <row r="3761" spans="20:42" x14ac:dyDescent="0.2">
      <c r="T3761" t="str">
        <f t="shared" si="394"/>
        <v>o</v>
      </c>
      <c r="AM3761" t="str">
        <f t="shared" si="395"/>
        <v/>
      </c>
      <c r="AN3761" t="str">
        <f t="shared" si="396"/>
        <v/>
      </c>
      <c r="AP3761" t="str">
        <f t="shared" si="397"/>
        <v>Defensive</v>
      </c>
    </row>
    <row r="3762" spans="20:42" x14ac:dyDescent="0.2">
      <c r="T3762" t="str">
        <f t="shared" si="394"/>
        <v>o</v>
      </c>
      <c r="AM3762" t="str">
        <f t="shared" si="395"/>
        <v/>
      </c>
      <c r="AN3762" t="str">
        <f t="shared" si="396"/>
        <v/>
      </c>
      <c r="AP3762" t="str">
        <f t="shared" si="397"/>
        <v>Defensive</v>
      </c>
    </row>
    <row r="3763" spans="20:42" x14ac:dyDescent="0.2">
      <c r="T3763" t="str">
        <f t="shared" si="394"/>
        <v>o</v>
      </c>
      <c r="AM3763" t="str">
        <f t="shared" si="395"/>
        <v/>
      </c>
      <c r="AN3763" t="str">
        <f t="shared" si="396"/>
        <v/>
      </c>
      <c r="AP3763" t="str">
        <f t="shared" si="397"/>
        <v>Defensive</v>
      </c>
    </row>
    <row r="3764" spans="20:42" x14ac:dyDescent="0.2">
      <c r="T3764" t="str">
        <f t="shared" si="394"/>
        <v>o</v>
      </c>
      <c r="AM3764" t="str">
        <f t="shared" si="395"/>
        <v/>
      </c>
      <c r="AN3764" t="str">
        <f t="shared" si="396"/>
        <v/>
      </c>
      <c r="AP3764" t="str">
        <f t="shared" si="397"/>
        <v>Defensive</v>
      </c>
    </row>
    <row r="3765" spans="20:42" x14ac:dyDescent="0.2">
      <c r="T3765" t="str">
        <f t="shared" si="394"/>
        <v>o</v>
      </c>
      <c r="AM3765" t="str">
        <f t="shared" si="395"/>
        <v/>
      </c>
      <c r="AN3765" t="str">
        <f t="shared" si="396"/>
        <v/>
      </c>
      <c r="AP3765" t="str">
        <f t="shared" si="397"/>
        <v>Defensive</v>
      </c>
    </row>
    <row r="3766" spans="20:42" x14ac:dyDescent="0.2">
      <c r="T3766" t="str">
        <f t="shared" si="394"/>
        <v>o</v>
      </c>
      <c r="AM3766" t="str">
        <f t="shared" si="395"/>
        <v/>
      </c>
      <c r="AN3766" t="str">
        <f t="shared" si="396"/>
        <v/>
      </c>
      <c r="AP3766" t="str">
        <f t="shared" si="397"/>
        <v>Defensive</v>
      </c>
    </row>
    <row r="3767" spans="20:42" x14ac:dyDescent="0.2">
      <c r="T3767" t="str">
        <f t="shared" si="394"/>
        <v>o</v>
      </c>
      <c r="AM3767" t="str">
        <f t="shared" si="395"/>
        <v/>
      </c>
      <c r="AN3767" t="str">
        <f t="shared" si="396"/>
        <v/>
      </c>
      <c r="AP3767" t="str">
        <f t="shared" si="397"/>
        <v>Defensive</v>
      </c>
    </row>
    <row r="3768" spans="20:42" x14ac:dyDescent="0.2">
      <c r="T3768" t="str">
        <f t="shared" si="394"/>
        <v>o</v>
      </c>
      <c r="AM3768" t="str">
        <f t="shared" si="395"/>
        <v/>
      </c>
      <c r="AN3768" t="str">
        <f t="shared" si="396"/>
        <v/>
      </c>
      <c r="AP3768" t="str">
        <f t="shared" si="397"/>
        <v>Defensive</v>
      </c>
    </row>
    <row r="3769" spans="20:42" x14ac:dyDescent="0.2">
      <c r="T3769" t="str">
        <f t="shared" si="394"/>
        <v>o</v>
      </c>
      <c r="AM3769" t="str">
        <f t="shared" si="395"/>
        <v/>
      </c>
      <c r="AN3769" t="str">
        <f t="shared" si="396"/>
        <v/>
      </c>
      <c r="AP3769" t="str">
        <f t="shared" si="397"/>
        <v>Defensive</v>
      </c>
    </row>
    <row r="3770" spans="20:42" x14ac:dyDescent="0.2">
      <c r="T3770" t="str">
        <f t="shared" si="394"/>
        <v>o</v>
      </c>
      <c r="AM3770" t="str">
        <f t="shared" si="395"/>
        <v/>
      </c>
      <c r="AN3770" t="str">
        <f t="shared" si="396"/>
        <v/>
      </c>
      <c r="AP3770" t="str">
        <f t="shared" si="397"/>
        <v>Defensive</v>
      </c>
    </row>
    <row r="3771" spans="20:42" x14ac:dyDescent="0.2">
      <c r="T3771" t="str">
        <f t="shared" si="394"/>
        <v>o</v>
      </c>
      <c r="AM3771" t="str">
        <f t="shared" si="395"/>
        <v/>
      </c>
      <c r="AN3771" t="str">
        <f t="shared" si="396"/>
        <v/>
      </c>
      <c r="AP3771" t="str">
        <f t="shared" si="397"/>
        <v>Defensive</v>
      </c>
    </row>
    <row r="3772" spans="20:42" x14ac:dyDescent="0.2">
      <c r="T3772" t="str">
        <f t="shared" si="394"/>
        <v>o</v>
      </c>
      <c r="AM3772" t="str">
        <f t="shared" si="395"/>
        <v/>
      </c>
      <c r="AN3772" t="str">
        <f t="shared" si="396"/>
        <v/>
      </c>
      <c r="AP3772" t="str">
        <f t="shared" si="397"/>
        <v>Defensive</v>
      </c>
    </row>
    <row r="3773" spans="20:42" x14ac:dyDescent="0.2">
      <c r="T3773" t="str">
        <f t="shared" si="394"/>
        <v>o</v>
      </c>
      <c r="AM3773" t="str">
        <f t="shared" si="395"/>
        <v/>
      </c>
      <c r="AN3773" t="str">
        <f t="shared" si="396"/>
        <v/>
      </c>
      <c r="AP3773" t="str">
        <f t="shared" si="397"/>
        <v>Defensive</v>
      </c>
    </row>
    <row r="3774" spans="20:42" x14ac:dyDescent="0.2">
      <c r="T3774" t="str">
        <f t="shared" si="394"/>
        <v>o</v>
      </c>
      <c r="AM3774" t="str">
        <f t="shared" si="395"/>
        <v/>
      </c>
      <c r="AN3774" t="str">
        <f t="shared" si="396"/>
        <v/>
      </c>
      <c r="AP3774" t="str">
        <f t="shared" si="397"/>
        <v>Defensive</v>
      </c>
    </row>
    <row r="3775" spans="20:42" x14ac:dyDescent="0.2">
      <c r="T3775" t="str">
        <f t="shared" si="394"/>
        <v>o</v>
      </c>
      <c r="AM3775" t="str">
        <f t="shared" si="395"/>
        <v/>
      </c>
      <c r="AN3775" t="str">
        <f t="shared" si="396"/>
        <v/>
      </c>
      <c r="AP3775" t="str">
        <f t="shared" si="397"/>
        <v>Defensive</v>
      </c>
    </row>
    <row r="3776" spans="20:42" x14ac:dyDescent="0.2">
      <c r="T3776" t="str">
        <f t="shared" si="394"/>
        <v>o</v>
      </c>
      <c r="AM3776" t="str">
        <f t="shared" si="395"/>
        <v/>
      </c>
      <c r="AN3776" t="str">
        <f t="shared" si="396"/>
        <v/>
      </c>
      <c r="AP3776" t="str">
        <f t="shared" si="397"/>
        <v>Defensive</v>
      </c>
    </row>
    <row r="3777" spans="20:42" x14ac:dyDescent="0.2">
      <c r="T3777" t="str">
        <f t="shared" si="394"/>
        <v>o</v>
      </c>
      <c r="AM3777" t="str">
        <f t="shared" si="395"/>
        <v/>
      </c>
      <c r="AN3777" t="str">
        <f t="shared" si="396"/>
        <v/>
      </c>
      <c r="AP3777" t="str">
        <f t="shared" si="397"/>
        <v>Defensive</v>
      </c>
    </row>
    <row r="3778" spans="20:42" x14ac:dyDescent="0.2">
      <c r="T3778" t="str">
        <f t="shared" si="394"/>
        <v>o</v>
      </c>
      <c r="AM3778" t="str">
        <f t="shared" si="395"/>
        <v/>
      </c>
      <c r="AN3778" t="str">
        <f t="shared" si="396"/>
        <v/>
      </c>
      <c r="AP3778" t="str">
        <f t="shared" si="397"/>
        <v>Defensive</v>
      </c>
    </row>
    <row r="3779" spans="20:42" x14ac:dyDescent="0.2">
      <c r="T3779" t="str">
        <f t="shared" si="394"/>
        <v>o</v>
      </c>
      <c r="AM3779" t="str">
        <f t="shared" si="395"/>
        <v/>
      </c>
      <c r="AN3779" t="str">
        <f t="shared" si="396"/>
        <v/>
      </c>
      <c r="AP3779" t="str">
        <f t="shared" si="397"/>
        <v>Defensive</v>
      </c>
    </row>
    <row r="3780" spans="20:42" x14ac:dyDescent="0.2">
      <c r="T3780" t="str">
        <f t="shared" si="394"/>
        <v>o</v>
      </c>
      <c r="AM3780" t="str">
        <f t="shared" si="395"/>
        <v/>
      </c>
      <c r="AN3780" t="str">
        <f t="shared" si="396"/>
        <v/>
      </c>
      <c r="AP3780" t="str">
        <f t="shared" si="397"/>
        <v>Defensive</v>
      </c>
    </row>
    <row r="3781" spans="20:42" x14ac:dyDescent="0.2">
      <c r="T3781" t="str">
        <f t="shared" si="394"/>
        <v>o</v>
      </c>
      <c r="AM3781" t="str">
        <f t="shared" si="395"/>
        <v/>
      </c>
      <c r="AN3781" t="str">
        <f t="shared" si="396"/>
        <v/>
      </c>
      <c r="AP3781" t="str">
        <f t="shared" si="397"/>
        <v>Defensive</v>
      </c>
    </row>
    <row r="3782" spans="20:42" x14ac:dyDescent="0.2">
      <c r="T3782" t="str">
        <f t="shared" si="394"/>
        <v>o</v>
      </c>
      <c r="AM3782" t="str">
        <f t="shared" si="395"/>
        <v/>
      </c>
      <c r="AN3782" t="str">
        <f t="shared" si="396"/>
        <v/>
      </c>
      <c r="AP3782" t="str">
        <f t="shared" si="397"/>
        <v>Defensive</v>
      </c>
    </row>
    <row r="3783" spans="20:42" x14ac:dyDescent="0.2">
      <c r="T3783" t="str">
        <f t="shared" si="394"/>
        <v>o</v>
      </c>
      <c r="AM3783" t="str">
        <f t="shared" si="395"/>
        <v/>
      </c>
      <c r="AN3783" t="str">
        <f t="shared" si="396"/>
        <v/>
      </c>
      <c r="AP3783" t="str">
        <f t="shared" si="397"/>
        <v>Defensive</v>
      </c>
    </row>
    <row r="3784" spans="20:42" x14ac:dyDescent="0.2">
      <c r="T3784" t="str">
        <f t="shared" si="394"/>
        <v>o</v>
      </c>
      <c r="AM3784" t="str">
        <f t="shared" si="395"/>
        <v/>
      </c>
      <c r="AN3784" t="str">
        <f t="shared" si="396"/>
        <v/>
      </c>
      <c r="AP3784" t="str">
        <f t="shared" si="397"/>
        <v>Defensive</v>
      </c>
    </row>
    <row r="3785" spans="20:42" x14ac:dyDescent="0.2">
      <c r="T3785" t="str">
        <f t="shared" si="394"/>
        <v>o</v>
      </c>
      <c r="AM3785" t="str">
        <f t="shared" si="395"/>
        <v/>
      </c>
      <c r="AN3785" t="str">
        <f t="shared" si="396"/>
        <v/>
      </c>
      <c r="AP3785" t="str">
        <f t="shared" si="397"/>
        <v>Defensive</v>
      </c>
    </row>
    <row r="3786" spans="20:42" x14ac:dyDescent="0.2">
      <c r="T3786" t="str">
        <f t="shared" si="394"/>
        <v>o</v>
      </c>
      <c r="AM3786" t="str">
        <f t="shared" si="395"/>
        <v/>
      </c>
      <c r="AN3786" t="str">
        <f t="shared" si="396"/>
        <v/>
      </c>
      <c r="AP3786" t="str">
        <f t="shared" si="397"/>
        <v>Defensive</v>
      </c>
    </row>
    <row r="3787" spans="20:42" x14ac:dyDescent="0.2">
      <c r="T3787" t="str">
        <f t="shared" si="394"/>
        <v>o</v>
      </c>
      <c r="AM3787" t="str">
        <f t="shared" si="395"/>
        <v/>
      </c>
      <c r="AN3787" t="str">
        <f t="shared" si="396"/>
        <v/>
      </c>
      <c r="AP3787" t="str">
        <f t="shared" si="397"/>
        <v>Defensive</v>
      </c>
    </row>
    <row r="3788" spans="20:42" x14ac:dyDescent="0.2">
      <c r="T3788" t="str">
        <f t="shared" ref="T3788:T3851" si="398">IF(S3788="x","",IF(S3788=1,"e","o"))</f>
        <v>o</v>
      </c>
      <c r="AM3788" t="str">
        <f t="shared" si="395"/>
        <v/>
      </c>
      <c r="AN3788" t="str">
        <f t="shared" si="396"/>
        <v/>
      </c>
      <c r="AP3788" t="str">
        <f t="shared" si="397"/>
        <v>Defensive</v>
      </c>
    </row>
    <row r="3789" spans="20:42" x14ac:dyDescent="0.2">
      <c r="T3789" t="str">
        <f t="shared" si="398"/>
        <v>o</v>
      </c>
      <c r="AM3789" t="str">
        <f t="shared" si="395"/>
        <v/>
      </c>
      <c r="AN3789" t="str">
        <f t="shared" si="396"/>
        <v/>
      </c>
      <c r="AP3789" t="str">
        <f t="shared" si="397"/>
        <v>Defensive</v>
      </c>
    </row>
    <row r="3790" spans="20:42" x14ac:dyDescent="0.2">
      <c r="T3790" t="str">
        <f t="shared" si="398"/>
        <v>o</v>
      </c>
      <c r="AM3790" t="str">
        <f t="shared" si="395"/>
        <v/>
      </c>
      <c r="AN3790" t="str">
        <f t="shared" si="396"/>
        <v/>
      </c>
      <c r="AP3790" t="str">
        <f t="shared" si="397"/>
        <v>Defensive</v>
      </c>
    </row>
    <row r="3791" spans="20:42" x14ac:dyDescent="0.2">
      <c r="T3791" t="str">
        <f t="shared" si="398"/>
        <v>o</v>
      </c>
      <c r="AM3791" t="str">
        <f t="shared" ref="AM3791:AM3854" si="399">IF(U3791&lt;&gt;"",U3791,IF($A3791=$A3790,AM3790,""))</f>
        <v/>
      </c>
      <c r="AN3791" t="str">
        <f t="shared" ref="AN3791:AN3854" si="400">IF(V3791&lt;&gt;"",V3791,IF($A3791=$A3790,AN3790,""))</f>
        <v/>
      </c>
      <c r="AP3791" t="str">
        <f t="shared" ref="AP3791:AP3854" si="401">IF(AND(T3791="e",OR(AM3791="Save",AN3791="Turnover_Takeaway",AN3791="Play_Defensive")),"Defensive",IF(AND(T3791="o",OR(AM3791="Save",AN3791="Turnover_Takeaway",AN3791="Play_Defensive")),"Offensive",IF(OR(AM3791="Deadice",AM3791="Stoppage",AM3791="Intermission"),"",IF(T3791="e","Offensive",IF(T3791="o","Defensive","")))))</f>
        <v>Defensive</v>
      </c>
    </row>
    <row r="3792" spans="20:42" x14ac:dyDescent="0.2">
      <c r="T3792" t="str">
        <f t="shared" si="398"/>
        <v>o</v>
      </c>
      <c r="AM3792" t="str">
        <f t="shared" si="399"/>
        <v/>
      </c>
      <c r="AN3792" t="str">
        <f t="shared" si="400"/>
        <v/>
      </c>
      <c r="AP3792" t="str">
        <f t="shared" si="401"/>
        <v>Defensive</v>
      </c>
    </row>
    <row r="3793" spans="20:42" x14ac:dyDescent="0.2">
      <c r="T3793" t="str">
        <f t="shared" si="398"/>
        <v>o</v>
      </c>
      <c r="AM3793" t="str">
        <f t="shared" si="399"/>
        <v/>
      </c>
      <c r="AN3793" t="str">
        <f t="shared" si="400"/>
        <v/>
      </c>
      <c r="AP3793" t="str">
        <f t="shared" si="401"/>
        <v>Defensive</v>
      </c>
    </row>
    <row r="3794" spans="20:42" x14ac:dyDescent="0.2">
      <c r="T3794" t="str">
        <f t="shared" si="398"/>
        <v>o</v>
      </c>
      <c r="AM3794" t="str">
        <f t="shared" si="399"/>
        <v/>
      </c>
      <c r="AN3794" t="str">
        <f t="shared" si="400"/>
        <v/>
      </c>
      <c r="AP3794" t="str">
        <f t="shared" si="401"/>
        <v>Defensive</v>
      </c>
    </row>
    <row r="3795" spans="20:42" x14ac:dyDescent="0.2">
      <c r="T3795" t="str">
        <f t="shared" si="398"/>
        <v>o</v>
      </c>
      <c r="AM3795" t="str">
        <f t="shared" si="399"/>
        <v/>
      </c>
      <c r="AN3795" t="str">
        <f t="shared" si="400"/>
        <v/>
      </c>
      <c r="AP3795" t="str">
        <f t="shared" si="401"/>
        <v>Defensive</v>
      </c>
    </row>
    <row r="3796" spans="20:42" x14ac:dyDescent="0.2">
      <c r="T3796" t="str">
        <f t="shared" si="398"/>
        <v>o</v>
      </c>
      <c r="AM3796" t="str">
        <f t="shared" si="399"/>
        <v/>
      </c>
      <c r="AN3796" t="str">
        <f t="shared" si="400"/>
        <v/>
      </c>
      <c r="AP3796" t="str">
        <f t="shared" si="401"/>
        <v>Defensive</v>
      </c>
    </row>
    <row r="3797" spans="20:42" x14ac:dyDescent="0.2">
      <c r="T3797" t="str">
        <f t="shared" si="398"/>
        <v>o</v>
      </c>
      <c r="AM3797" t="str">
        <f t="shared" si="399"/>
        <v/>
      </c>
      <c r="AN3797" t="str">
        <f t="shared" si="400"/>
        <v/>
      </c>
      <c r="AP3797" t="str">
        <f t="shared" si="401"/>
        <v>Defensive</v>
      </c>
    </row>
    <row r="3798" spans="20:42" x14ac:dyDescent="0.2">
      <c r="T3798" t="str">
        <f t="shared" si="398"/>
        <v>o</v>
      </c>
      <c r="AM3798" t="str">
        <f t="shared" si="399"/>
        <v/>
      </c>
      <c r="AN3798" t="str">
        <f t="shared" si="400"/>
        <v/>
      </c>
      <c r="AP3798" t="str">
        <f t="shared" si="401"/>
        <v>Defensive</v>
      </c>
    </row>
    <row r="3799" spans="20:42" x14ac:dyDescent="0.2">
      <c r="T3799" t="str">
        <f t="shared" si="398"/>
        <v>o</v>
      </c>
      <c r="AM3799" t="str">
        <f t="shared" si="399"/>
        <v/>
      </c>
      <c r="AN3799" t="str">
        <f t="shared" si="400"/>
        <v/>
      </c>
      <c r="AP3799" t="str">
        <f t="shared" si="401"/>
        <v>Defensive</v>
      </c>
    </row>
    <row r="3800" spans="20:42" x14ac:dyDescent="0.2">
      <c r="T3800" t="str">
        <f t="shared" si="398"/>
        <v>o</v>
      </c>
      <c r="AM3800" t="str">
        <f t="shared" si="399"/>
        <v/>
      </c>
      <c r="AN3800" t="str">
        <f t="shared" si="400"/>
        <v/>
      </c>
      <c r="AP3800" t="str">
        <f t="shared" si="401"/>
        <v>Defensive</v>
      </c>
    </row>
    <row r="3801" spans="20:42" x14ac:dyDescent="0.2">
      <c r="T3801" t="str">
        <f t="shared" si="398"/>
        <v>o</v>
      </c>
      <c r="AM3801" t="str">
        <f t="shared" si="399"/>
        <v/>
      </c>
      <c r="AN3801" t="str">
        <f t="shared" si="400"/>
        <v/>
      </c>
      <c r="AP3801" t="str">
        <f t="shared" si="401"/>
        <v>Defensive</v>
      </c>
    </row>
    <row r="3802" spans="20:42" x14ac:dyDescent="0.2">
      <c r="T3802" t="str">
        <f t="shared" si="398"/>
        <v>o</v>
      </c>
      <c r="AM3802" t="str">
        <f t="shared" si="399"/>
        <v/>
      </c>
      <c r="AN3802" t="str">
        <f t="shared" si="400"/>
        <v/>
      </c>
      <c r="AP3802" t="str">
        <f t="shared" si="401"/>
        <v>Defensive</v>
      </c>
    </row>
    <row r="3803" spans="20:42" x14ac:dyDescent="0.2">
      <c r="T3803" t="str">
        <f t="shared" si="398"/>
        <v>o</v>
      </c>
      <c r="AM3803" t="str">
        <f t="shared" si="399"/>
        <v/>
      </c>
      <c r="AN3803" t="str">
        <f t="shared" si="400"/>
        <v/>
      </c>
      <c r="AP3803" t="str">
        <f t="shared" si="401"/>
        <v>Defensive</v>
      </c>
    </row>
    <row r="3804" spans="20:42" x14ac:dyDescent="0.2">
      <c r="T3804" t="str">
        <f t="shared" si="398"/>
        <v>o</v>
      </c>
      <c r="AM3804" t="str">
        <f t="shared" si="399"/>
        <v/>
      </c>
      <c r="AN3804" t="str">
        <f t="shared" si="400"/>
        <v/>
      </c>
      <c r="AP3804" t="str">
        <f t="shared" si="401"/>
        <v>Defensive</v>
      </c>
    </row>
    <row r="3805" spans="20:42" x14ac:dyDescent="0.2">
      <c r="T3805" t="str">
        <f t="shared" si="398"/>
        <v>o</v>
      </c>
      <c r="AM3805" t="str">
        <f t="shared" si="399"/>
        <v/>
      </c>
      <c r="AN3805" t="str">
        <f t="shared" si="400"/>
        <v/>
      </c>
      <c r="AP3805" t="str">
        <f t="shared" si="401"/>
        <v>Defensive</v>
      </c>
    </row>
    <row r="3806" spans="20:42" x14ac:dyDescent="0.2">
      <c r="T3806" t="str">
        <f t="shared" si="398"/>
        <v>o</v>
      </c>
      <c r="AM3806" t="str">
        <f t="shared" si="399"/>
        <v/>
      </c>
      <c r="AN3806" t="str">
        <f t="shared" si="400"/>
        <v/>
      </c>
      <c r="AP3806" t="str">
        <f t="shared" si="401"/>
        <v>Defensive</v>
      </c>
    </row>
    <row r="3807" spans="20:42" x14ac:dyDescent="0.2">
      <c r="T3807" t="str">
        <f t="shared" si="398"/>
        <v>o</v>
      </c>
      <c r="AM3807" t="str">
        <f t="shared" si="399"/>
        <v/>
      </c>
      <c r="AN3807" t="str">
        <f t="shared" si="400"/>
        <v/>
      </c>
      <c r="AP3807" t="str">
        <f t="shared" si="401"/>
        <v>Defensive</v>
      </c>
    </row>
    <row r="3808" spans="20:42" x14ac:dyDescent="0.2">
      <c r="T3808" t="str">
        <f t="shared" si="398"/>
        <v>o</v>
      </c>
      <c r="AM3808" t="str">
        <f t="shared" si="399"/>
        <v/>
      </c>
      <c r="AN3808" t="str">
        <f t="shared" si="400"/>
        <v/>
      </c>
      <c r="AP3808" t="str">
        <f t="shared" si="401"/>
        <v>Defensive</v>
      </c>
    </row>
    <row r="3809" spans="20:42" x14ac:dyDescent="0.2">
      <c r="T3809" t="str">
        <f t="shared" si="398"/>
        <v>o</v>
      </c>
      <c r="AM3809" t="str">
        <f t="shared" si="399"/>
        <v/>
      </c>
      <c r="AN3809" t="str">
        <f t="shared" si="400"/>
        <v/>
      </c>
      <c r="AP3809" t="str">
        <f t="shared" si="401"/>
        <v>Defensive</v>
      </c>
    </row>
    <row r="3810" spans="20:42" x14ac:dyDescent="0.2">
      <c r="T3810" t="str">
        <f t="shared" si="398"/>
        <v>o</v>
      </c>
      <c r="AM3810" t="str">
        <f t="shared" si="399"/>
        <v/>
      </c>
      <c r="AN3810" t="str">
        <f t="shared" si="400"/>
        <v/>
      </c>
      <c r="AP3810" t="str">
        <f t="shared" si="401"/>
        <v>Defensive</v>
      </c>
    </row>
    <row r="3811" spans="20:42" x14ac:dyDescent="0.2">
      <c r="T3811" t="str">
        <f t="shared" si="398"/>
        <v>o</v>
      </c>
      <c r="AM3811" t="str">
        <f t="shared" si="399"/>
        <v/>
      </c>
      <c r="AN3811" t="str">
        <f t="shared" si="400"/>
        <v/>
      </c>
      <c r="AP3811" t="str">
        <f t="shared" si="401"/>
        <v>Defensive</v>
      </c>
    </row>
    <row r="3812" spans="20:42" x14ac:dyDescent="0.2">
      <c r="T3812" t="str">
        <f t="shared" si="398"/>
        <v>o</v>
      </c>
      <c r="AM3812" t="str">
        <f t="shared" si="399"/>
        <v/>
      </c>
      <c r="AN3812" t="str">
        <f t="shared" si="400"/>
        <v/>
      </c>
      <c r="AP3812" t="str">
        <f t="shared" si="401"/>
        <v>Defensive</v>
      </c>
    </row>
    <row r="3813" spans="20:42" x14ac:dyDescent="0.2">
      <c r="T3813" t="str">
        <f t="shared" si="398"/>
        <v>o</v>
      </c>
      <c r="AM3813" t="str">
        <f t="shared" si="399"/>
        <v/>
      </c>
      <c r="AN3813" t="str">
        <f t="shared" si="400"/>
        <v/>
      </c>
      <c r="AP3813" t="str">
        <f t="shared" si="401"/>
        <v>Defensive</v>
      </c>
    </row>
    <row r="3814" spans="20:42" x14ac:dyDescent="0.2">
      <c r="T3814" t="str">
        <f t="shared" si="398"/>
        <v>o</v>
      </c>
      <c r="AM3814" t="str">
        <f t="shared" si="399"/>
        <v/>
      </c>
      <c r="AN3814" t="str">
        <f t="shared" si="400"/>
        <v/>
      </c>
      <c r="AP3814" t="str">
        <f t="shared" si="401"/>
        <v>Defensive</v>
      </c>
    </row>
    <row r="3815" spans="20:42" x14ac:dyDescent="0.2">
      <c r="T3815" t="str">
        <f t="shared" si="398"/>
        <v>o</v>
      </c>
      <c r="AM3815" t="str">
        <f t="shared" si="399"/>
        <v/>
      </c>
      <c r="AN3815" t="str">
        <f t="shared" si="400"/>
        <v/>
      </c>
      <c r="AP3815" t="str">
        <f t="shared" si="401"/>
        <v>Defensive</v>
      </c>
    </row>
    <row r="3816" spans="20:42" x14ac:dyDescent="0.2">
      <c r="T3816" t="str">
        <f t="shared" si="398"/>
        <v>o</v>
      </c>
      <c r="AM3816" t="str">
        <f t="shared" si="399"/>
        <v/>
      </c>
      <c r="AN3816" t="str">
        <f t="shared" si="400"/>
        <v/>
      </c>
      <c r="AP3816" t="str">
        <f t="shared" si="401"/>
        <v>Defensive</v>
      </c>
    </row>
    <row r="3817" spans="20:42" x14ac:dyDescent="0.2">
      <c r="T3817" t="str">
        <f t="shared" si="398"/>
        <v>o</v>
      </c>
      <c r="AM3817" t="str">
        <f t="shared" si="399"/>
        <v/>
      </c>
      <c r="AN3817" t="str">
        <f t="shared" si="400"/>
        <v/>
      </c>
      <c r="AP3817" t="str">
        <f t="shared" si="401"/>
        <v>Defensive</v>
      </c>
    </row>
    <row r="3818" spans="20:42" x14ac:dyDescent="0.2">
      <c r="T3818" t="str">
        <f t="shared" si="398"/>
        <v>o</v>
      </c>
      <c r="AM3818" t="str">
        <f t="shared" si="399"/>
        <v/>
      </c>
      <c r="AN3818" t="str">
        <f t="shared" si="400"/>
        <v/>
      </c>
      <c r="AP3818" t="str">
        <f t="shared" si="401"/>
        <v>Defensive</v>
      </c>
    </row>
    <row r="3819" spans="20:42" x14ac:dyDescent="0.2">
      <c r="T3819" t="str">
        <f t="shared" si="398"/>
        <v>o</v>
      </c>
      <c r="AM3819" t="str">
        <f t="shared" si="399"/>
        <v/>
      </c>
      <c r="AN3819" t="str">
        <f t="shared" si="400"/>
        <v/>
      </c>
      <c r="AP3819" t="str">
        <f t="shared" si="401"/>
        <v>Defensive</v>
      </c>
    </row>
    <row r="3820" spans="20:42" x14ac:dyDescent="0.2">
      <c r="T3820" t="str">
        <f t="shared" si="398"/>
        <v>o</v>
      </c>
      <c r="AM3820" t="str">
        <f t="shared" si="399"/>
        <v/>
      </c>
      <c r="AN3820" t="str">
        <f t="shared" si="400"/>
        <v/>
      </c>
      <c r="AP3820" t="str">
        <f t="shared" si="401"/>
        <v>Defensive</v>
      </c>
    </row>
    <row r="3821" spans="20:42" x14ac:dyDescent="0.2">
      <c r="T3821" t="str">
        <f t="shared" si="398"/>
        <v>o</v>
      </c>
      <c r="AM3821" t="str">
        <f t="shared" si="399"/>
        <v/>
      </c>
      <c r="AN3821" t="str">
        <f t="shared" si="400"/>
        <v/>
      </c>
      <c r="AP3821" t="str">
        <f t="shared" si="401"/>
        <v>Defensive</v>
      </c>
    </row>
    <row r="3822" spans="20:42" x14ac:dyDescent="0.2">
      <c r="T3822" t="str">
        <f t="shared" si="398"/>
        <v>o</v>
      </c>
      <c r="AM3822" t="str">
        <f t="shared" si="399"/>
        <v/>
      </c>
      <c r="AN3822" t="str">
        <f t="shared" si="400"/>
        <v/>
      </c>
      <c r="AP3822" t="str">
        <f t="shared" si="401"/>
        <v>Defensive</v>
      </c>
    </row>
    <row r="3823" spans="20:42" x14ac:dyDescent="0.2">
      <c r="T3823" t="str">
        <f t="shared" si="398"/>
        <v>o</v>
      </c>
      <c r="AM3823" t="str">
        <f t="shared" si="399"/>
        <v/>
      </c>
      <c r="AN3823" t="str">
        <f t="shared" si="400"/>
        <v/>
      </c>
      <c r="AP3823" t="str">
        <f t="shared" si="401"/>
        <v>Defensive</v>
      </c>
    </row>
    <row r="3824" spans="20:42" x14ac:dyDescent="0.2">
      <c r="T3824" t="str">
        <f t="shared" si="398"/>
        <v>o</v>
      </c>
      <c r="AM3824" t="str">
        <f t="shared" si="399"/>
        <v/>
      </c>
      <c r="AN3824" t="str">
        <f t="shared" si="400"/>
        <v/>
      </c>
      <c r="AP3824" t="str">
        <f t="shared" si="401"/>
        <v>Defensive</v>
      </c>
    </row>
    <row r="3825" spans="20:42" x14ac:dyDescent="0.2">
      <c r="T3825" t="str">
        <f t="shared" si="398"/>
        <v>o</v>
      </c>
      <c r="AM3825" t="str">
        <f t="shared" si="399"/>
        <v/>
      </c>
      <c r="AN3825" t="str">
        <f t="shared" si="400"/>
        <v/>
      </c>
      <c r="AP3825" t="str">
        <f t="shared" si="401"/>
        <v>Defensive</v>
      </c>
    </row>
    <row r="3826" spans="20:42" x14ac:dyDescent="0.2">
      <c r="T3826" t="str">
        <f t="shared" si="398"/>
        <v>o</v>
      </c>
      <c r="AM3826" t="str">
        <f t="shared" si="399"/>
        <v/>
      </c>
      <c r="AN3826" t="str">
        <f t="shared" si="400"/>
        <v/>
      </c>
      <c r="AP3826" t="str">
        <f t="shared" si="401"/>
        <v>Defensive</v>
      </c>
    </row>
    <row r="3827" spans="20:42" x14ac:dyDescent="0.2">
      <c r="T3827" t="str">
        <f t="shared" si="398"/>
        <v>o</v>
      </c>
      <c r="AM3827" t="str">
        <f t="shared" si="399"/>
        <v/>
      </c>
      <c r="AN3827" t="str">
        <f t="shared" si="400"/>
        <v/>
      </c>
      <c r="AP3827" t="str">
        <f t="shared" si="401"/>
        <v>Defensive</v>
      </c>
    </row>
    <row r="3828" spans="20:42" x14ac:dyDescent="0.2">
      <c r="T3828" t="str">
        <f t="shared" si="398"/>
        <v>o</v>
      </c>
      <c r="AM3828" t="str">
        <f t="shared" si="399"/>
        <v/>
      </c>
      <c r="AN3828" t="str">
        <f t="shared" si="400"/>
        <v/>
      </c>
      <c r="AP3828" t="str">
        <f t="shared" si="401"/>
        <v>Defensive</v>
      </c>
    </row>
    <row r="3829" spans="20:42" x14ac:dyDescent="0.2">
      <c r="T3829" t="str">
        <f t="shared" si="398"/>
        <v>o</v>
      </c>
      <c r="AM3829" t="str">
        <f t="shared" si="399"/>
        <v/>
      </c>
      <c r="AN3829" t="str">
        <f t="shared" si="400"/>
        <v/>
      </c>
      <c r="AP3829" t="str">
        <f t="shared" si="401"/>
        <v>Defensive</v>
      </c>
    </row>
    <row r="3830" spans="20:42" x14ac:dyDescent="0.2">
      <c r="T3830" t="str">
        <f t="shared" si="398"/>
        <v>o</v>
      </c>
      <c r="AM3830" t="str">
        <f t="shared" si="399"/>
        <v/>
      </c>
      <c r="AN3830" t="str">
        <f t="shared" si="400"/>
        <v/>
      </c>
      <c r="AP3830" t="str">
        <f t="shared" si="401"/>
        <v>Defensive</v>
      </c>
    </row>
    <row r="3831" spans="20:42" x14ac:dyDescent="0.2">
      <c r="T3831" t="str">
        <f t="shared" si="398"/>
        <v>o</v>
      </c>
      <c r="AM3831" t="str">
        <f t="shared" si="399"/>
        <v/>
      </c>
      <c r="AN3831" t="str">
        <f t="shared" si="400"/>
        <v/>
      </c>
      <c r="AP3831" t="str">
        <f t="shared" si="401"/>
        <v>Defensive</v>
      </c>
    </row>
    <row r="3832" spans="20:42" x14ac:dyDescent="0.2">
      <c r="T3832" t="str">
        <f t="shared" si="398"/>
        <v>o</v>
      </c>
      <c r="AM3832" t="str">
        <f t="shared" si="399"/>
        <v/>
      </c>
      <c r="AN3832" t="str">
        <f t="shared" si="400"/>
        <v/>
      </c>
      <c r="AP3832" t="str">
        <f t="shared" si="401"/>
        <v>Defensive</v>
      </c>
    </row>
    <row r="3833" spans="20:42" x14ac:dyDescent="0.2">
      <c r="T3833" t="str">
        <f t="shared" si="398"/>
        <v>o</v>
      </c>
      <c r="AM3833" t="str">
        <f t="shared" si="399"/>
        <v/>
      </c>
      <c r="AN3833" t="str">
        <f t="shared" si="400"/>
        <v/>
      </c>
      <c r="AP3833" t="str">
        <f t="shared" si="401"/>
        <v>Defensive</v>
      </c>
    </row>
    <row r="3834" spans="20:42" x14ac:dyDescent="0.2">
      <c r="T3834" t="str">
        <f t="shared" si="398"/>
        <v>o</v>
      </c>
      <c r="AM3834" t="str">
        <f t="shared" si="399"/>
        <v/>
      </c>
      <c r="AN3834" t="str">
        <f t="shared" si="400"/>
        <v/>
      </c>
      <c r="AP3834" t="str">
        <f t="shared" si="401"/>
        <v>Defensive</v>
      </c>
    </row>
    <row r="3835" spans="20:42" x14ac:dyDescent="0.2">
      <c r="T3835" t="str">
        <f t="shared" si="398"/>
        <v>o</v>
      </c>
      <c r="AM3835" t="str">
        <f t="shared" si="399"/>
        <v/>
      </c>
      <c r="AN3835" t="str">
        <f t="shared" si="400"/>
        <v/>
      </c>
      <c r="AP3835" t="str">
        <f t="shared" si="401"/>
        <v>Defensive</v>
      </c>
    </row>
    <row r="3836" spans="20:42" x14ac:dyDescent="0.2">
      <c r="T3836" t="str">
        <f t="shared" si="398"/>
        <v>o</v>
      </c>
      <c r="AM3836" t="str">
        <f t="shared" si="399"/>
        <v/>
      </c>
      <c r="AN3836" t="str">
        <f t="shared" si="400"/>
        <v/>
      </c>
      <c r="AP3836" t="str">
        <f t="shared" si="401"/>
        <v>Defensive</v>
      </c>
    </row>
    <row r="3837" spans="20:42" x14ac:dyDescent="0.2">
      <c r="T3837" t="str">
        <f t="shared" si="398"/>
        <v>o</v>
      </c>
      <c r="AM3837" t="str">
        <f t="shared" si="399"/>
        <v/>
      </c>
      <c r="AN3837" t="str">
        <f t="shared" si="400"/>
        <v/>
      </c>
      <c r="AP3837" t="str">
        <f t="shared" si="401"/>
        <v>Defensive</v>
      </c>
    </row>
    <row r="3838" spans="20:42" x14ac:dyDescent="0.2">
      <c r="T3838" t="str">
        <f t="shared" si="398"/>
        <v>o</v>
      </c>
      <c r="AM3838" t="str">
        <f t="shared" si="399"/>
        <v/>
      </c>
      <c r="AN3838" t="str">
        <f t="shared" si="400"/>
        <v/>
      </c>
      <c r="AP3838" t="str">
        <f t="shared" si="401"/>
        <v>Defensive</v>
      </c>
    </row>
    <row r="3839" spans="20:42" x14ac:dyDescent="0.2">
      <c r="T3839" t="str">
        <f t="shared" si="398"/>
        <v>o</v>
      </c>
      <c r="AM3839" t="str">
        <f t="shared" si="399"/>
        <v/>
      </c>
      <c r="AN3839" t="str">
        <f t="shared" si="400"/>
        <v/>
      </c>
      <c r="AP3839" t="str">
        <f t="shared" si="401"/>
        <v>Defensive</v>
      </c>
    </row>
    <row r="3840" spans="20:42" x14ac:dyDescent="0.2">
      <c r="T3840" t="str">
        <f t="shared" si="398"/>
        <v>o</v>
      </c>
      <c r="AM3840" t="str">
        <f t="shared" si="399"/>
        <v/>
      </c>
      <c r="AN3840" t="str">
        <f t="shared" si="400"/>
        <v/>
      </c>
      <c r="AP3840" t="str">
        <f t="shared" si="401"/>
        <v>Defensive</v>
      </c>
    </row>
    <row r="3841" spans="20:42" x14ac:dyDescent="0.2">
      <c r="T3841" t="str">
        <f t="shared" si="398"/>
        <v>o</v>
      </c>
      <c r="AM3841" t="str">
        <f t="shared" si="399"/>
        <v/>
      </c>
      <c r="AN3841" t="str">
        <f t="shared" si="400"/>
        <v/>
      </c>
      <c r="AP3841" t="str">
        <f t="shared" si="401"/>
        <v>Defensive</v>
      </c>
    </row>
    <row r="3842" spans="20:42" x14ac:dyDescent="0.2">
      <c r="T3842" t="str">
        <f t="shared" si="398"/>
        <v>o</v>
      </c>
      <c r="AM3842" t="str">
        <f t="shared" si="399"/>
        <v/>
      </c>
      <c r="AN3842" t="str">
        <f t="shared" si="400"/>
        <v/>
      </c>
      <c r="AP3842" t="str">
        <f t="shared" si="401"/>
        <v>Defensive</v>
      </c>
    </row>
    <row r="3843" spans="20:42" x14ac:dyDescent="0.2">
      <c r="T3843" t="str">
        <f t="shared" si="398"/>
        <v>o</v>
      </c>
      <c r="AM3843" t="str">
        <f t="shared" si="399"/>
        <v/>
      </c>
      <c r="AN3843" t="str">
        <f t="shared" si="400"/>
        <v/>
      </c>
      <c r="AP3843" t="str">
        <f t="shared" si="401"/>
        <v>Defensive</v>
      </c>
    </row>
    <row r="3844" spans="20:42" x14ac:dyDescent="0.2">
      <c r="T3844" t="str">
        <f t="shared" si="398"/>
        <v>o</v>
      </c>
      <c r="AM3844" t="str">
        <f t="shared" si="399"/>
        <v/>
      </c>
      <c r="AN3844" t="str">
        <f t="shared" si="400"/>
        <v/>
      </c>
      <c r="AP3844" t="str">
        <f t="shared" si="401"/>
        <v>Defensive</v>
      </c>
    </row>
    <row r="3845" spans="20:42" x14ac:dyDescent="0.2">
      <c r="T3845" t="str">
        <f t="shared" si="398"/>
        <v>o</v>
      </c>
      <c r="AM3845" t="str">
        <f t="shared" si="399"/>
        <v/>
      </c>
      <c r="AN3845" t="str">
        <f t="shared" si="400"/>
        <v/>
      </c>
      <c r="AP3845" t="str">
        <f t="shared" si="401"/>
        <v>Defensive</v>
      </c>
    </row>
    <row r="3846" spans="20:42" x14ac:dyDescent="0.2">
      <c r="T3846" t="str">
        <f t="shared" si="398"/>
        <v>o</v>
      </c>
      <c r="AM3846" t="str">
        <f t="shared" si="399"/>
        <v/>
      </c>
      <c r="AN3846" t="str">
        <f t="shared" si="400"/>
        <v/>
      </c>
      <c r="AP3846" t="str">
        <f t="shared" si="401"/>
        <v>Defensive</v>
      </c>
    </row>
    <row r="3847" spans="20:42" x14ac:dyDescent="0.2">
      <c r="T3847" t="str">
        <f t="shared" si="398"/>
        <v>o</v>
      </c>
      <c r="AM3847" t="str">
        <f t="shared" si="399"/>
        <v/>
      </c>
      <c r="AN3847" t="str">
        <f t="shared" si="400"/>
        <v/>
      </c>
      <c r="AP3847" t="str">
        <f t="shared" si="401"/>
        <v>Defensive</v>
      </c>
    </row>
    <row r="3848" spans="20:42" x14ac:dyDescent="0.2">
      <c r="T3848" t="str">
        <f t="shared" si="398"/>
        <v>o</v>
      </c>
      <c r="AM3848" t="str">
        <f t="shared" si="399"/>
        <v/>
      </c>
      <c r="AN3848" t="str">
        <f t="shared" si="400"/>
        <v/>
      </c>
      <c r="AP3848" t="str">
        <f t="shared" si="401"/>
        <v>Defensive</v>
      </c>
    </row>
    <row r="3849" spans="20:42" x14ac:dyDescent="0.2">
      <c r="T3849" t="str">
        <f t="shared" si="398"/>
        <v>o</v>
      </c>
      <c r="AM3849" t="str">
        <f t="shared" si="399"/>
        <v/>
      </c>
      <c r="AN3849" t="str">
        <f t="shared" si="400"/>
        <v/>
      </c>
      <c r="AP3849" t="str">
        <f t="shared" si="401"/>
        <v>Defensive</v>
      </c>
    </row>
    <row r="3850" spans="20:42" x14ac:dyDescent="0.2">
      <c r="T3850" t="str">
        <f t="shared" si="398"/>
        <v>o</v>
      </c>
      <c r="AM3850" t="str">
        <f t="shared" si="399"/>
        <v/>
      </c>
      <c r="AN3850" t="str">
        <f t="shared" si="400"/>
        <v/>
      </c>
      <c r="AP3850" t="str">
        <f t="shared" si="401"/>
        <v>Defensive</v>
      </c>
    </row>
    <row r="3851" spans="20:42" x14ac:dyDescent="0.2">
      <c r="T3851" t="str">
        <f t="shared" si="398"/>
        <v>o</v>
      </c>
      <c r="AM3851" t="str">
        <f t="shared" si="399"/>
        <v/>
      </c>
      <c r="AN3851" t="str">
        <f t="shared" si="400"/>
        <v/>
      </c>
      <c r="AP3851" t="str">
        <f t="shared" si="401"/>
        <v>Defensive</v>
      </c>
    </row>
    <row r="3852" spans="20:42" x14ac:dyDescent="0.2">
      <c r="T3852" t="str">
        <f t="shared" ref="T3852:T3915" si="402">IF(S3852="x","",IF(S3852=1,"e","o"))</f>
        <v>o</v>
      </c>
      <c r="AM3852" t="str">
        <f t="shared" si="399"/>
        <v/>
      </c>
      <c r="AN3852" t="str">
        <f t="shared" si="400"/>
        <v/>
      </c>
      <c r="AP3852" t="str">
        <f t="shared" si="401"/>
        <v>Defensive</v>
      </c>
    </row>
    <row r="3853" spans="20:42" x14ac:dyDescent="0.2">
      <c r="T3853" t="str">
        <f t="shared" si="402"/>
        <v>o</v>
      </c>
      <c r="AM3853" t="str">
        <f t="shared" si="399"/>
        <v/>
      </c>
      <c r="AN3853" t="str">
        <f t="shared" si="400"/>
        <v/>
      </c>
      <c r="AP3853" t="str">
        <f t="shared" si="401"/>
        <v>Defensive</v>
      </c>
    </row>
    <row r="3854" spans="20:42" x14ac:dyDescent="0.2">
      <c r="T3854" t="str">
        <f t="shared" si="402"/>
        <v>o</v>
      </c>
      <c r="AM3854" t="str">
        <f t="shared" si="399"/>
        <v/>
      </c>
      <c r="AN3854" t="str">
        <f t="shared" si="400"/>
        <v/>
      </c>
      <c r="AP3854" t="str">
        <f t="shared" si="401"/>
        <v>Defensive</v>
      </c>
    </row>
    <row r="3855" spans="20:42" x14ac:dyDescent="0.2">
      <c r="T3855" t="str">
        <f t="shared" si="402"/>
        <v>o</v>
      </c>
      <c r="AM3855" t="str">
        <f t="shared" ref="AM3855:AM3918" si="403">IF(U3855&lt;&gt;"",U3855,IF($A3855=$A3854,AM3854,""))</f>
        <v/>
      </c>
      <c r="AN3855" t="str">
        <f t="shared" ref="AN3855:AN3918" si="404">IF(V3855&lt;&gt;"",V3855,IF($A3855=$A3854,AN3854,""))</f>
        <v/>
      </c>
      <c r="AP3855" t="str">
        <f t="shared" ref="AP3855:AP3918" si="405">IF(AND(T3855="e",OR(AM3855="Save",AN3855="Turnover_Takeaway",AN3855="Play_Defensive")),"Defensive",IF(AND(T3855="o",OR(AM3855="Save",AN3855="Turnover_Takeaway",AN3855="Play_Defensive")),"Offensive",IF(OR(AM3855="Deadice",AM3855="Stoppage",AM3855="Intermission"),"",IF(T3855="e","Offensive",IF(T3855="o","Defensive","")))))</f>
        <v>Defensive</v>
      </c>
    </row>
    <row r="3856" spans="20:42" x14ac:dyDescent="0.2">
      <c r="T3856" t="str">
        <f t="shared" si="402"/>
        <v>o</v>
      </c>
      <c r="AM3856" t="str">
        <f t="shared" si="403"/>
        <v/>
      </c>
      <c r="AN3856" t="str">
        <f t="shared" si="404"/>
        <v/>
      </c>
      <c r="AP3856" t="str">
        <f t="shared" si="405"/>
        <v>Defensive</v>
      </c>
    </row>
    <row r="3857" spans="20:42" x14ac:dyDescent="0.2">
      <c r="T3857" t="str">
        <f t="shared" si="402"/>
        <v>o</v>
      </c>
      <c r="AM3857" t="str">
        <f t="shared" si="403"/>
        <v/>
      </c>
      <c r="AN3857" t="str">
        <f t="shared" si="404"/>
        <v/>
      </c>
      <c r="AP3857" t="str">
        <f t="shared" si="405"/>
        <v>Defensive</v>
      </c>
    </row>
    <row r="3858" spans="20:42" x14ac:dyDescent="0.2">
      <c r="T3858" t="str">
        <f t="shared" si="402"/>
        <v>o</v>
      </c>
      <c r="AM3858" t="str">
        <f t="shared" si="403"/>
        <v/>
      </c>
      <c r="AN3858" t="str">
        <f t="shared" si="404"/>
        <v/>
      </c>
      <c r="AP3858" t="str">
        <f t="shared" si="405"/>
        <v>Defensive</v>
      </c>
    </row>
    <row r="3859" spans="20:42" x14ac:dyDescent="0.2">
      <c r="T3859" t="str">
        <f t="shared" si="402"/>
        <v>o</v>
      </c>
      <c r="AM3859" t="str">
        <f t="shared" si="403"/>
        <v/>
      </c>
      <c r="AN3859" t="str">
        <f t="shared" si="404"/>
        <v/>
      </c>
      <c r="AP3859" t="str">
        <f t="shared" si="405"/>
        <v>Defensive</v>
      </c>
    </row>
    <row r="3860" spans="20:42" x14ac:dyDescent="0.2">
      <c r="T3860" t="str">
        <f t="shared" si="402"/>
        <v>o</v>
      </c>
      <c r="AM3860" t="str">
        <f t="shared" si="403"/>
        <v/>
      </c>
      <c r="AN3860" t="str">
        <f t="shared" si="404"/>
        <v/>
      </c>
      <c r="AP3860" t="str">
        <f t="shared" si="405"/>
        <v>Defensive</v>
      </c>
    </row>
    <row r="3861" spans="20:42" x14ac:dyDescent="0.2">
      <c r="T3861" t="str">
        <f t="shared" si="402"/>
        <v>o</v>
      </c>
      <c r="AM3861" t="str">
        <f t="shared" si="403"/>
        <v/>
      </c>
      <c r="AN3861" t="str">
        <f t="shared" si="404"/>
        <v/>
      </c>
      <c r="AP3861" t="str">
        <f t="shared" si="405"/>
        <v>Defensive</v>
      </c>
    </row>
    <row r="3862" spans="20:42" x14ac:dyDescent="0.2">
      <c r="T3862" t="str">
        <f t="shared" si="402"/>
        <v>o</v>
      </c>
      <c r="AM3862" t="str">
        <f t="shared" si="403"/>
        <v/>
      </c>
      <c r="AN3862" t="str">
        <f t="shared" si="404"/>
        <v/>
      </c>
      <c r="AP3862" t="str">
        <f t="shared" si="405"/>
        <v>Defensive</v>
      </c>
    </row>
    <row r="3863" spans="20:42" x14ac:dyDescent="0.2">
      <c r="T3863" t="str">
        <f t="shared" si="402"/>
        <v>o</v>
      </c>
      <c r="AM3863" t="str">
        <f t="shared" si="403"/>
        <v/>
      </c>
      <c r="AN3863" t="str">
        <f t="shared" si="404"/>
        <v/>
      </c>
      <c r="AP3863" t="str">
        <f t="shared" si="405"/>
        <v>Defensive</v>
      </c>
    </row>
    <row r="3864" spans="20:42" x14ac:dyDescent="0.2">
      <c r="T3864" t="str">
        <f t="shared" si="402"/>
        <v>o</v>
      </c>
      <c r="AM3864" t="str">
        <f t="shared" si="403"/>
        <v/>
      </c>
      <c r="AN3864" t="str">
        <f t="shared" si="404"/>
        <v/>
      </c>
      <c r="AP3864" t="str">
        <f t="shared" si="405"/>
        <v>Defensive</v>
      </c>
    </row>
    <row r="3865" spans="20:42" x14ac:dyDescent="0.2">
      <c r="T3865" t="str">
        <f t="shared" si="402"/>
        <v>o</v>
      </c>
      <c r="AM3865" t="str">
        <f t="shared" si="403"/>
        <v/>
      </c>
      <c r="AN3865" t="str">
        <f t="shared" si="404"/>
        <v/>
      </c>
      <c r="AP3865" t="str">
        <f t="shared" si="405"/>
        <v>Defensive</v>
      </c>
    </row>
    <row r="3866" spans="20:42" x14ac:dyDescent="0.2">
      <c r="T3866" t="str">
        <f t="shared" si="402"/>
        <v>o</v>
      </c>
      <c r="AM3866" t="str">
        <f t="shared" si="403"/>
        <v/>
      </c>
      <c r="AN3866" t="str">
        <f t="shared" si="404"/>
        <v/>
      </c>
      <c r="AP3866" t="str">
        <f t="shared" si="405"/>
        <v>Defensive</v>
      </c>
    </row>
    <row r="3867" spans="20:42" x14ac:dyDescent="0.2">
      <c r="T3867" t="str">
        <f t="shared" si="402"/>
        <v>o</v>
      </c>
      <c r="AM3867" t="str">
        <f t="shared" si="403"/>
        <v/>
      </c>
      <c r="AN3867" t="str">
        <f t="shared" si="404"/>
        <v/>
      </c>
      <c r="AP3867" t="str">
        <f t="shared" si="405"/>
        <v>Defensive</v>
      </c>
    </row>
    <row r="3868" spans="20:42" x14ac:dyDescent="0.2">
      <c r="T3868" t="str">
        <f t="shared" si="402"/>
        <v>o</v>
      </c>
      <c r="AM3868" t="str">
        <f t="shared" si="403"/>
        <v/>
      </c>
      <c r="AN3868" t="str">
        <f t="shared" si="404"/>
        <v/>
      </c>
      <c r="AP3868" t="str">
        <f t="shared" si="405"/>
        <v>Defensive</v>
      </c>
    </row>
    <row r="3869" spans="20:42" x14ac:dyDescent="0.2">
      <c r="T3869" t="str">
        <f t="shared" si="402"/>
        <v>o</v>
      </c>
      <c r="AM3869" t="str">
        <f t="shared" si="403"/>
        <v/>
      </c>
      <c r="AN3869" t="str">
        <f t="shared" si="404"/>
        <v/>
      </c>
      <c r="AP3869" t="str">
        <f t="shared" si="405"/>
        <v>Defensive</v>
      </c>
    </row>
    <row r="3870" spans="20:42" x14ac:dyDescent="0.2">
      <c r="T3870" t="str">
        <f t="shared" si="402"/>
        <v>o</v>
      </c>
      <c r="AM3870" t="str">
        <f t="shared" si="403"/>
        <v/>
      </c>
      <c r="AN3870" t="str">
        <f t="shared" si="404"/>
        <v/>
      </c>
      <c r="AP3870" t="str">
        <f t="shared" si="405"/>
        <v>Defensive</v>
      </c>
    </row>
    <row r="3871" spans="20:42" x14ac:dyDescent="0.2">
      <c r="T3871" t="str">
        <f t="shared" si="402"/>
        <v>o</v>
      </c>
      <c r="AM3871" t="str">
        <f t="shared" si="403"/>
        <v/>
      </c>
      <c r="AN3871" t="str">
        <f t="shared" si="404"/>
        <v/>
      </c>
      <c r="AP3871" t="str">
        <f t="shared" si="405"/>
        <v>Defensive</v>
      </c>
    </row>
    <row r="3872" spans="20:42" x14ac:dyDescent="0.2">
      <c r="T3872" t="str">
        <f t="shared" si="402"/>
        <v>o</v>
      </c>
      <c r="AM3872" t="str">
        <f t="shared" si="403"/>
        <v/>
      </c>
      <c r="AN3872" t="str">
        <f t="shared" si="404"/>
        <v/>
      </c>
      <c r="AP3872" t="str">
        <f t="shared" si="405"/>
        <v>Defensive</v>
      </c>
    </row>
    <row r="3873" spans="20:42" x14ac:dyDescent="0.2">
      <c r="T3873" t="str">
        <f t="shared" si="402"/>
        <v>o</v>
      </c>
      <c r="AM3873" t="str">
        <f t="shared" si="403"/>
        <v/>
      </c>
      <c r="AN3873" t="str">
        <f t="shared" si="404"/>
        <v/>
      </c>
      <c r="AP3873" t="str">
        <f t="shared" si="405"/>
        <v>Defensive</v>
      </c>
    </row>
    <row r="3874" spans="20:42" x14ac:dyDescent="0.2">
      <c r="T3874" t="str">
        <f t="shared" si="402"/>
        <v>o</v>
      </c>
      <c r="AM3874" t="str">
        <f t="shared" si="403"/>
        <v/>
      </c>
      <c r="AN3874" t="str">
        <f t="shared" si="404"/>
        <v/>
      </c>
      <c r="AP3874" t="str">
        <f t="shared" si="405"/>
        <v>Defensive</v>
      </c>
    </row>
    <row r="3875" spans="20:42" x14ac:dyDescent="0.2">
      <c r="T3875" t="str">
        <f t="shared" si="402"/>
        <v>o</v>
      </c>
      <c r="AM3875" t="str">
        <f t="shared" si="403"/>
        <v/>
      </c>
      <c r="AN3875" t="str">
        <f t="shared" si="404"/>
        <v/>
      </c>
      <c r="AP3875" t="str">
        <f t="shared" si="405"/>
        <v>Defensive</v>
      </c>
    </row>
    <row r="3876" spans="20:42" x14ac:dyDescent="0.2">
      <c r="T3876" t="str">
        <f t="shared" si="402"/>
        <v>o</v>
      </c>
      <c r="AM3876" t="str">
        <f t="shared" si="403"/>
        <v/>
      </c>
      <c r="AN3876" t="str">
        <f t="shared" si="404"/>
        <v/>
      </c>
      <c r="AP3876" t="str">
        <f t="shared" si="405"/>
        <v>Defensive</v>
      </c>
    </row>
    <row r="3877" spans="20:42" x14ac:dyDescent="0.2">
      <c r="T3877" t="str">
        <f t="shared" si="402"/>
        <v>o</v>
      </c>
      <c r="AM3877" t="str">
        <f t="shared" si="403"/>
        <v/>
      </c>
      <c r="AN3877" t="str">
        <f t="shared" si="404"/>
        <v/>
      </c>
      <c r="AP3877" t="str">
        <f t="shared" si="405"/>
        <v>Defensive</v>
      </c>
    </row>
    <row r="3878" spans="20:42" x14ac:dyDescent="0.2">
      <c r="T3878" t="str">
        <f t="shared" si="402"/>
        <v>o</v>
      </c>
      <c r="AM3878" t="str">
        <f t="shared" si="403"/>
        <v/>
      </c>
      <c r="AN3878" t="str">
        <f t="shared" si="404"/>
        <v/>
      </c>
      <c r="AP3878" t="str">
        <f t="shared" si="405"/>
        <v>Defensive</v>
      </c>
    </row>
    <row r="3879" spans="20:42" x14ac:dyDescent="0.2">
      <c r="T3879" t="str">
        <f t="shared" si="402"/>
        <v>o</v>
      </c>
      <c r="AM3879" t="str">
        <f t="shared" si="403"/>
        <v/>
      </c>
      <c r="AN3879" t="str">
        <f t="shared" si="404"/>
        <v/>
      </c>
      <c r="AP3879" t="str">
        <f t="shared" si="405"/>
        <v>Defensive</v>
      </c>
    </row>
    <row r="3880" spans="20:42" x14ac:dyDescent="0.2">
      <c r="T3880" t="str">
        <f t="shared" si="402"/>
        <v>o</v>
      </c>
      <c r="AM3880" t="str">
        <f t="shared" si="403"/>
        <v/>
      </c>
      <c r="AN3880" t="str">
        <f t="shared" si="404"/>
        <v/>
      </c>
      <c r="AP3880" t="str">
        <f t="shared" si="405"/>
        <v>Defensive</v>
      </c>
    </row>
    <row r="3881" spans="20:42" x14ac:dyDescent="0.2">
      <c r="T3881" t="str">
        <f t="shared" si="402"/>
        <v>o</v>
      </c>
      <c r="AM3881" t="str">
        <f t="shared" si="403"/>
        <v/>
      </c>
      <c r="AN3881" t="str">
        <f t="shared" si="404"/>
        <v/>
      </c>
      <c r="AP3881" t="str">
        <f t="shared" si="405"/>
        <v>Defensive</v>
      </c>
    </row>
    <row r="3882" spans="20:42" x14ac:dyDescent="0.2">
      <c r="T3882" t="str">
        <f t="shared" si="402"/>
        <v>o</v>
      </c>
      <c r="AM3882" t="str">
        <f t="shared" si="403"/>
        <v/>
      </c>
      <c r="AN3882" t="str">
        <f t="shared" si="404"/>
        <v/>
      </c>
      <c r="AP3882" t="str">
        <f t="shared" si="405"/>
        <v>Defensive</v>
      </c>
    </row>
    <row r="3883" spans="20:42" x14ac:dyDescent="0.2">
      <c r="T3883" t="str">
        <f t="shared" si="402"/>
        <v>o</v>
      </c>
      <c r="AM3883" t="str">
        <f t="shared" si="403"/>
        <v/>
      </c>
      <c r="AN3883" t="str">
        <f t="shared" si="404"/>
        <v/>
      </c>
      <c r="AP3883" t="str">
        <f t="shared" si="405"/>
        <v>Defensive</v>
      </c>
    </row>
    <row r="3884" spans="20:42" x14ac:dyDescent="0.2">
      <c r="T3884" t="str">
        <f t="shared" si="402"/>
        <v>o</v>
      </c>
      <c r="AM3884" t="str">
        <f t="shared" si="403"/>
        <v/>
      </c>
      <c r="AN3884" t="str">
        <f t="shared" si="404"/>
        <v/>
      </c>
      <c r="AP3884" t="str">
        <f t="shared" si="405"/>
        <v>Defensive</v>
      </c>
    </row>
    <row r="3885" spans="20:42" x14ac:dyDescent="0.2">
      <c r="T3885" t="str">
        <f t="shared" si="402"/>
        <v>o</v>
      </c>
      <c r="AM3885" t="str">
        <f t="shared" si="403"/>
        <v/>
      </c>
      <c r="AN3885" t="str">
        <f t="shared" si="404"/>
        <v/>
      </c>
      <c r="AP3885" t="str">
        <f t="shared" si="405"/>
        <v>Defensive</v>
      </c>
    </row>
    <row r="3886" spans="20:42" x14ac:dyDescent="0.2">
      <c r="T3886" t="str">
        <f t="shared" si="402"/>
        <v>o</v>
      </c>
      <c r="AM3886" t="str">
        <f t="shared" si="403"/>
        <v/>
      </c>
      <c r="AN3886" t="str">
        <f t="shared" si="404"/>
        <v/>
      </c>
      <c r="AP3886" t="str">
        <f t="shared" si="405"/>
        <v>Defensive</v>
      </c>
    </row>
    <row r="3887" spans="20:42" x14ac:dyDescent="0.2">
      <c r="T3887" t="str">
        <f t="shared" si="402"/>
        <v>o</v>
      </c>
      <c r="AM3887" t="str">
        <f t="shared" si="403"/>
        <v/>
      </c>
      <c r="AN3887" t="str">
        <f t="shared" si="404"/>
        <v/>
      </c>
      <c r="AP3887" t="str">
        <f t="shared" si="405"/>
        <v>Defensive</v>
      </c>
    </row>
    <row r="3888" spans="20:42" x14ac:dyDescent="0.2">
      <c r="T3888" t="str">
        <f t="shared" si="402"/>
        <v>o</v>
      </c>
      <c r="AM3888" t="str">
        <f t="shared" si="403"/>
        <v/>
      </c>
      <c r="AN3888" t="str">
        <f t="shared" si="404"/>
        <v/>
      </c>
      <c r="AP3888" t="str">
        <f t="shared" si="405"/>
        <v>Defensive</v>
      </c>
    </row>
    <row r="3889" spans="20:42" x14ac:dyDescent="0.2">
      <c r="T3889" t="str">
        <f t="shared" si="402"/>
        <v>o</v>
      </c>
      <c r="AM3889" t="str">
        <f t="shared" si="403"/>
        <v/>
      </c>
      <c r="AN3889" t="str">
        <f t="shared" si="404"/>
        <v/>
      </c>
      <c r="AP3889" t="str">
        <f t="shared" si="405"/>
        <v>Defensive</v>
      </c>
    </row>
    <row r="3890" spans="20:42" x14ac:dyDescent="0.2">
      <c r="T3890" t="str">
        <f t="shared" si="402"/>
        <v>o</v>
      </c>
      <c r="AM3890" t="str">
        <f t="shared" si="403"/>
        <v/>
      </c>
      <c r="AN3890" t="str">
        <f t="shared" si="404"/>
        <v/>
      </c>
      <c r="AP3890" t="str">
        <f t="shared" si="405"/>
        <v>Defensive</v>
      </c>
    </row>
    <row r="3891" spans="20:42" x14ac:dyDescent="0.2">
      <c r="T3891" t="str">
        <f t="shared" si="402"/>
        <v>o</v>
      </c>
      <c r="AM3891" t="str">
        <f t="shared" si="403"/>
        <v/>
      </c>
      <c r="AN3891" t="str">
        <f t="shared" si="404"/>
        <v/>
      </c>
      <c r="AP3891" t="str">
        <f t="shared" si="405"/>
        <v>Defensive</v>
      </c>
    </row>
    <row r="3892" spans="20:42" x14ac:dyDescent="0.2">
      <c r="T3892" t="str">
        <f t="shared" si="402"/>
        <v>o</v>
      </c>
      <c r="AM3892" t="str">
        <f t="shared" si="403"/>
        <v/>
      </c>
      <c r="AN3892" t="str">
        <f t="shared" si="404"/>
        <v/>
      </c>
      <c r="AP3892" t="str">
        <f t="shared" si="405"/>
        <v>Defensive</v>
      </c>
    </row>
    <row r="3893" spans="20:42" x14ac:dyDescent="0.2">
      <c r="T3893" t="str">
        <f t="shared" si="402"/>
        <v>o</v>
      </c>
      <c r="AM3893" t="str">
        <f t="shared" si="403"/>
        <v/>
      </c>
      <c r="AN3893" t="str">
        <f t="shared" si="404"/>
        <v/>
      </c>
      <c r="AP3893" t="str">
        <f t="shared" si="405"/>
        <v>Defensive</v>
      </c>
    </row>
    <row r="3894" spans="20:42" x14ac:dyDescent="0.2">
      <c r="T3894" t="str">
        <f t="shared" si="402"/>
        <v>o</v>
      </c>
      <c r="AM3894" t="str">
        <f t="shared" si="403"/>
        <v/>
      </c>
      <c r="AN3894" t="str">
        <f t="shared" si="404"/>
        <v/>
      </c>
      <c r="AP3894" t="str">
        <f t="shared" si="405"/>
        <v>Defensive</v>
      </c>
    </row>
    <row r="3895" spans="20:42" x14ac:dyDescent="0.2">
      <c r="T3895" t="str">
        <f t="shared" si="402"/>
        <v>o</v>
      </c>
      <c r="AM3895" t="str">
        <f t="shared" si="403"/>
        <v/>
      </c>
      <c r="AN3895" t="str">
        <f t="shared" si="404"/>
        <v/>
      </c>
      <c r="AP3895" t="str">
        <f t="shared" si="405"/>
        <v>Defensive</v>
      </c>
    </row>
    <row r="3896" spans="20:42" x14ac:dyDescent="0.2">
      <c r="T3896" t="str">
        <f t="shared" si="402"/>
        <v>o</v>
      </c>
      <c r="AM3896" t="str">
        <f t="shared" si="403"/>
        <v/>
      </c>
      <c r="AN3896" t="str">
        <f t="shared" si="404"/>
        <v/>
      </c>
      <c r="AP3896" t="str">
        <f t="shared" si="405"/>
        <v>Defensive</v>
      </c>
    </row>
    <row r="3897" spans="20:42" x14ac:dyDescent="0.2">
      <c r="T3897" t="str">
        <f t="shared" si="402"/>
        <v>o</v>
      </c>
      <c r="AM3897" t="str">
        <f t="shared" si="403"/>
        <v/>
      </c>
      <c r="AN3897" t="str">
        <f t="shared" si="404"/>
        <v/>
      </c>
      <c r="AP3897" t="str">
        <f t="shared" si="405"/>
        <v>Defensive</v>
      </c>
    </row>
    <row r="3898" spans="20:42" x14ac:dyDescent="0.2">
      <c r="T3898" t="str">
        <f t="shared" si="402"/>
        <v>o</v>
      </c>
      <c r="AM3898" t="str">
        <f t="shared" si="403"/>
        <v/>
      </c>
      <c r="AN3898" t="str">
        <f t="shared" si="404"/>
        <v/>
      </c>
      <c r="AP3898" t="str">
        <f t="shared" si="405"/>
        <v>Defensive</v>
      </c>
    </row>
    <row r="3899" spans="20:42" x14ac:dyDescent="0.2">
      <c r="T3899" t="str">
        <f t="shared" si="402"/>
        <v>o</v>
      </c>
      <c r="AM3899" t="str">
        <f t="shared" si="403"/>
        <v/>
      </c>
      <c r="AN3899" t="str">
        <f t="shared" si="404"/>
        <v/>
      </c>
      <c r="AP3899" t="str">
        <f t="shared" si="405"/>
        <v>Defensive</v>
      </c>
    </row>
    <row r="3900" spans="20:42" x14ac:dyDescent="0.2">
      <c r="T3900" t="str">
        <f t="shared" si="402"/>
        <v>o</v>
      </c>
      <c r="AM3900" t="str">
        <f t="shared" si="403"/>
        <v/>
      </c>
      <c r="AN3900" t="str">
        <f t="shared" si="404"/>
        <v/>
      </c>
      <c r="AP3900" t="str">
        <f t="shared" si="405"/>
        <v>Defensive</v>
      </c>
    </row>
    <row r="3901" spans="20:42" x14ac:dyDescent="0.2">
      <c r="T3901" t="str">
        <f t="shared" si="402"/>
        <v>o</v>
      </c>
      <c r="AM3901" t="str">
        <f t="shared" si="403"/>
        <v/>
      </c>
      <c r="AN3901" t="str">
        <f t="shared" si="404"/>
        <v/>
      </c>
      <c r="AP3901" t="str">
        <f t="shared" si="405"/>
        <v>Defensive</v>
      </c>
    </row>
    <row r="3902" spans="20:42" x14ac:dyDescent="0.2">
      <c r="T3902" t="str">
        <f t="shared" si="402"/>
        <v>o</v>
      </c>
      <c r="AM3902" t="str">
        <f t="shared" si="403"/>
        <v/>
      </c>
      <c r="AN3902" t="str">
        <f t="shared" si="404"/>
        <v/>
      </c>
      <c r="AP3902" t="str">
        <f t="shared" si="405"/>
        <v>Defensive</v>
      </c>
    </row>
    <row r="3903" spans="20:42" x14ac:dyDescent="0.2">
      <c r="T3903" t="str">
        <f t="shared" si="402"/>
        <v>o</v>
      </c>
      <c r="AM3903" t="str">
        <f t="shared" si="403"/>
        <v/>
      </c>
      <c r="AN3903" t="str">
        <f t="shared" si="404"/>
        <v/>
      </c>
      <c r="AP3903" t="str">
        <f t="shared" si="405"/>
        <v>Defensive</v>
      </c>
    </row>
    <row r="3904" spans="20:42" x14ac:dyDescent="0.2">
      <c r="T3904" t="str">
        <f t="shared" si="402"/>
        <v>o</v>
      </c>
      <c r="AM3904" t="str">
        <f t="shared" si="403"/>
        <v/>
      </c>
      <c r="AN3904" t="str">
        <f t="shared" si="404"/>
        <v/>
      </c>
      <c r="AP3904" t="str">
        <f t="shared" si="405"/>
        <v>Defensive</v>
      </c>
    </row>
    <row r="3905" spans="20:42" x14ac:dyDescent="0.2">
      <c r="T3905" t="str">
        <f t="shared" si="402"/>
        <v>o</v>
      </c>
      <c r="AM3905" t="str">
        <f t="shared" si="403"/>
        <v/>
      </c>
      <c r="AN3905" t="str">
        <f t="shared" si="404"/>
        <v/>
      </c>
      <c r="AP3905" t="str">
        <f t="shared" si="405"/>
        <v>Defensive</v>
      </c>
    </row>
    <row r="3906" spans="20:42" x14ac:dyDescent="0.2">
      <c r="T3906" t="str">
        <f t="shared" si="402"/>
        <v>o</v>
      </c>
      <c r="AM3906" t="str">
        <f t="shared" si="403"/>
        <v/>
      </c>
      <c r="AN3906" t="str">
        <f t="shared" si="404"/>
        <v/>
      </c>
      <c r="AP3906" t="str">
        <f t="shared" si="405"/>
        <v>Defensive</v>
      </c>
    </row>
    <row r="3907" spans="20:42" x14ac:dyDescent="0.2">
      <c r="T3907" t="str">
        <f t="shared" si="402"/>
        <v>o</v>
      </c>
      <c r="AM3907" t="str">
        <f t="shared" si="403"/>
        <v/>
      </c>
      <c r="AN3907" t="str">
        <f t="shared" si="404"/>
        <v/>
      </c>
      <c r="AP3907" t="str">
        <f t="shared" si="405"/>
        <v>Defensive</v>
      </c>
    </row>
    <row r="3908" spans="20:42" x14ac:dyDescent="0.2">
      <c r="T3908" t="str">
        <f t="shared" si="402"/>
        <v>o</v>
      </c>
      <c r="AM3908" t="str">
        <f t="shared" si="403"/>
        <v/>
      </c>
      <c r="AN3908" t="str">
        <f t="shared" si="404"/>
        <v/>
      </c>
      <c r="AP3908" t="str">
        <f t="shared" si="405"/>
        <v>Defensive</v>
      </c>
    </row>
    <row r="3909" spans="20:42" x14ac:dyDescent="0.2">
      <c r="T3909" t="str">
        <f t="shared" si="402"/>
        <v>o</v>
      </c>
      <c r="AM3909" t="str">
        <f t="shared" si="403"/>
        <v/>
      </c>
      <c r="AN3909" t="str">
        <f t="shared" si="404"/>
        <v/>
      </c>
      <c r="AP3909" t="str">
        <f t="shared" si="405"/>
        <v>Defensive</v>
      </c>
    </row>
    <row r="3910" spans="20:42" x14ac:dyDescent="0.2">
      <c r="T3910" t="str">
        <f t="shared" si="402"/>
        <v>o</v>
      </c>
      <c r="AM3910" t="str">
        <f t="shared" si="403"/>
        <v/>
      </c>
      <c r="AN3910" t="str">
        <f t="shared" si="404"/>
        <v/>
      </c>
      <c r="AP3910" t="str">
        <f t="shared" si="405"/>
        <v>Defensive</v>
      </c>
    </row>
    <row r="3911" spans="20:42" x14ac:dyDescent="0.2">
      <c r="T3911" t="str">
        <f t="shared" si="402"/>
        <v>o</v>
      </c>
      <c r="AM3911" t="str">
        <f t="shared" si="403"/>
        <v/>
      </c>
      <c r="AN3911" t="str">
        <f t="shared" si="404"/>
        <v/>
      </c>
      <c r="AP3911" t="str">
        <f t="shared" si="405"/>
        <v>Defensive</v>
      </c>
    </row>
    <row r="3912" spans="20:42" x14ac:dyDescent="0.2">
      <c r="T3912" t="str">
        <f t="shared" si="402"/>
        <v>o</v>
      </c>
      <c r="AM3912" t="str">
        <f t="shared" si="403"/>
        <v/>
      </c>
      <c r="AN3912" t="str">
        <f t="shared" si="404"/>
        <v/>
      </c>
      <c r="AP3912" t="str">
        <f t="shared" si="405"/>
        <v>Defensive</v>
      </c>
    </row>
    <row r="3913" spans="20:42" x14ac:dyDescent="0.2">
      <c r="T3913" t="str">
        <f t="shared" si="402"/>
        <v>o</v>
      </c>
      <c r="AM3913" t="str">
        <f t="shared" si="403"/>
        <v/>
      </c>
      <c r="AN3913" t="str">
        <f t="shared" si="404"/>
        <v/>
      </c>
      <c r="AP3913" t="str">
        <f t="shared" si="405"/>
        <v>Defensive</v>
      </c>
    </row>
    <row r="3914" spans="20:42" x14ac:dyDescent="0.2">
      <c r="T3914" t="str">
        <f t="shared" si="402"/>
        <v>o</v>
      </c>
      <c r="AM3914" t="str">
        <f t="shared" si="403"/>
        <v/>
      </c>
      <c r="AN3914" t="str">
        <f t="shared" si="404"/>
        <v/>
      </c>
      <c r="AP3914" t="str">
        <f t="shared" si="405"/>
        <v>Defensive</v>
      </c>
    </row>
    <row r="3915" spans="20:42" x14ac:dyDescent="0.2">
      <c r="T3915" t="str">
        <f t="shared" si="402"/>
        <v>o</v>
      </c>
      <c r="AM3915" t="str">
        <f t="shared" si="403"/>
        <v/>
      </c>
      <c r="AN3915" t="str">
        <f t="shared" si="404"/>
        <v/>
      </c>
      <c r="AP3915" t="str">
        <f t="shared" si="405"/>
        <v>Defensive</v>
      </c>
    </row>
    <row r="3916" spans="20:42" x14ac:dyDescent="0.2">
      <c r="T3916" t="str">
        <f t="shared" ref="T3916:T3979" si="406">IF(S3916="x","",IF(S3916=1,"e","o"))</f>
        <v>o</v>
      </c>
      <c r="AM3916" t="str">
        <f t="shared" si="403"/>
        <v/>
      </c>
      <c r="AN3916" t="str">
        <f t="shared" si="404"/>
        <v/>
      </c>
      <c r="AP3916" t="str">
        <f t="shared" si="405"/>
        <v>Defensive</v>
      </c>
    </row>
    <row r="3917" spans="20:42" x14ac:dyDescent="0.2">
      <c r="T3917" t="str">
        <f t="shared" si="406"/>
        <v>o</v>
      </c>
      <c r="AM3917" t="str">
        <f t="shared" si="403"/>
        <v/>
      </c>
      <c r="AN3917" t="str">
        <f t="shared" si="404"/>
        <v/>
      </c>
      <c r="AP3917" t="str">
        <f t="shared" si="405"/>
        <v>Defensive</v>
      </c>
    </row>
    <row r="3918" spans="20:42" x14ac:dyDescent="0.2">
      <c r="T3918" t="str">
        <f t="shared" si="406"/>
        <v>o</v>
      </c>
      <c r="AM3918" t="str">
        <f t="shared" si="403"/>
        <v/>
      </c>
      <c r="AN3918" t="str">
        <f t="shared" si="404"/>
        <v/>
      </c>
      <c r="AP3918" t="str">
        <f t="shared" si="405"/>
        <v>Defensive</v>
      </c>
    </row>
    <row r="3919" spans="20:42" x14ac:dyDescent="0.2">
      <c r="T3919" t="str">
        <f t="shared" si="406"/>
        <v>o</v>
      </c>
      <c r="AM3919" t="str">
        <f t="shared" ref="AM3919:AM3982" si="407">IF(U3919&lt;&gt;"",U3919,IF($A3919=$A3918,AM3918,""))</f>
        <v/>
      </c>
      <c r="AN3919" t="str">
        <f t="shared" ref="AN3919:AN3982" si="408">IF(V3919&lt;&gt;"",V3919,IF($A3919=$A3918,AN3918,""))</f>
        <v/>
      </c>
      <c r="AP3919" t="str">
        <f t="shared" ref="AP3919:AP3982" si="409">IF(AND(T3919="e",OR(AM3919="Save",AN3919="Turnover_Takeaway",AN3919="Play_Defensive")),"Defensive",IF(AND(T3919="o",OR(AM3919="Save",AN3919="Turnover_Takeaway",AN3919="Play_Defensive")),"Offensive",IF(OR(AM3919="Deadice",AM3919="Stoppage",AM3919="Intermission"),"",IF(T3919="e","Offensive",IF(T3919="o","Defensive","")))))</f>
        <v>Defensive</v>
      </c>
    </row>
    <row r="3920" spans="20:42" x14ac:dyDescent="0.2">
      <c r="T3920" t="str">
        <f t="shared" si="406"/>
        <v>o</v>
      </c>
      <c r="AM3920" t="str">
        <f t="shared" si="407"/>
        <v/>
      </c>
      <c r="AN3920" t="str">
        <f t="shared" si="408"/>
        <v/>
      </c>
      <c r="AP3920" t="str">
        <f t="shared" si="409"/>
        <v>Defensive</v>
      </c>
    </row>
    <row r="3921" spans="20:42" x14ac:dyDescent="0.2">
      <c r="T3921" t="str">
        <f t="shared" si="406"/>
        <v>o</v>
      </c>
      <c r="AM3921" t="str">
        <f t="shared" si="407"/>
        <v/>
      </c>
      <c r="AN3921" t="str">
        <f t="shared" si="408"/>
        <v/>
      </c>
      <c r="AP3921" t="str">
        <f t="shared" si="409"/>
        <v>Defensive</v>
      </c>
    </row>
    <row r="3922" spans="20:42" x14ac:dyDescent="0.2">
      <c r="T3922" t="str">
        <f t="shared" si="406"/>
        <v>o</v>
      </c>
      <c r="AM3922" t="str">
        <f t="shared" si="407"/>
        <v/>
      </c>
      <c r="AN3922" t="str">
        <f t="shared" si="408"/>
        <v/>
      </c>
      <c r="AP3922" t="str">
        <f t="shared" si="409"/>
        <v>Defensive</v>
      </c>
    </row>
    <row r="3923" spans="20:42" x14ac:dyDescent="0.2">
      <c r="T3923" t="str">
        <f t="shared" si="406"/>
        <v>o</v>
      </c>
      <c r="AM3923" t="str">
        <f t="shared" si="407"/>
        <v/>
      </c>
      <c r="AN3923" t="str">
        <f t="shared" si="408"/>
        <v/>
      </c>
      <c r="AP3923" t="str">
        <f t="shared" si="409"/>
        <v>Defensive</v>
      </c>
    </row>
    <row r="3924" spans="20:42" x14ac:dyDescent="0.2">
      <c r="T3924" t="str">
        <f t="shared" si="406"/>
        <v>o</v>
      </c>
      <c r="AM3924" t="str">
        <f t="shared" si="407"/>
        <v/>
      </c>
      <c r="AN3924" t="str">
        <f t="shared" si="408"/>
        <v/>
      </c>
      <c r="AP3924" t="str">
        <f t="shared" si="409"/>
        <v>Defensive</v>
      </c>
    </row>
    <row r="3925" spans="20:42" x14ac:dyDescent="0.2">
      <c r="T3925" t="str">
        <f t="shared" si="406"/>
        <v>o</v>
      </c>
      <c r="AM3925" t="str">
        <f t="shared" si="407"/>
        <v/>
      </c>
      <c r="AN3925" t="str">
        <f t="shared" si="408"/>
        <v/>
      </c>
      <c r="AP3925" t="str">
        <f t="shared" si="409"/>
        <v>Defensive</v>
      </c>
    </row>
    <row r="3926" spans="20:42" x14ac:dyDescent="0.2">
      <c r="T3926" t="str">
        <f t="shared" si="406"/>
        <v>o</v>
      </c>
      <c r="AM3926" t="str">
        <f t="shared" si="407"/>
        <v/>
      </c>
      <c r="AN3926" t="str">
        <f t="shared" si="408"/>
        <v/>
      </c>
      <c r="AP3926" t="str">
        <f t="shared" si="409"/>
        <v>Defensive</v>
      </c>
    </row>
    <row r="3927" spans="20:42" x14ac:dyDescent="0.2">
      <c r="T3927" t="str">
        <f t="shared" si="406"/>
        <v>o</v>
      </c>
      <c r="AM3927" t="str">
        <f t="shared" si="407"/>
        <v/>
      </c>
      <c r="AN3927" t="str">
        <f t="shared" si="408"/>
        <v/>
      </c>
      <c r="AP3927" t="str">
        <f t="shared" si="409"/>
        <v>Defensive</v>
      </c>
    </row>
    <row r="3928" spans="20:42" x14ac:dyDescent="0.2">
      <c r="T3928" t="str">
        <f t="shared" si="406"/>
        <v>o</v>
      </c>
      <c r="AM3928" t="str">
        <f t="shared" si="407"/>
        <v/>
      </c>
      <c r="AN3928" t="str">
        <f t="shared" si="408"/>
        <v/>
      </c>
      <c r="AP3928" t="str">
        <f t="shared" si="409"/>
        <v>Defensive</v>
      </c>
    </row>
    <row r="3929" spans="20:42" x14ac:dyDescent="0.2">
      <c r="T3929" t="str">
        <f t="shared" si="406"/>
        <v>o</v>
      </c>
      <c r="AM3929" t="str">
        <f t="shared" si="407"/>
        <v/>
      </c>
      <c r="AN3929" t="str">
        <f t="shared" si="408"/>
        <v/>
      </c>
      <c r="AP3929" t="str">
        <f t="shared" si="409"/>
        <v>Defensive</v>
      </c>
    </row>
    <row r="3930" spans="20:42" x14ac:dyDescent="0.2">
      <c r="T3930" t="str">
        <f t="shared" si="406"/>
        <v>o</v>
      </c>
      <c r="AM3930" t="str">
        <f t="shared" si="407"/>
        <v/>
      </c>
      <c r="AN3930" t="str">
        <f t="shared" si="408"/>
        <v/>
      </c>
      <c r="AP3930" t="str">
        <f t="shared" si="409"/>
        <v>Defensive</v>
      </c>
    </row>
    <row r="3931" spans="20:42" x14ac:dyDescent="0.2">
      <c r="T3931" t="str">
        <f t="shared" si="406"/>
        <v>o</v>
      </c>
      <c r="AM3931" t="str">
        <f t="shared" si="407"/>
        <v/>
      </c>
      <c r="AN3931" t="str">
        <f t="shared" si="408"/>
        <v/>
      </c>
      <c r="AP3931" t="str">
        <f t="shared" si="409"/>
        <v>Defensive</v>
      </c>
    </row>
    <row r="3932" spans="20:42" x14ac:dyDescent="0.2">
      <c r="T3932" t="str">
        <f t="shared" si="406"/>
        <v>o</v>
      </c>
      <c r="AM3932" t="str">
        <f t="shared" si="407"/>
        <v/>
      </c>
      <c r="AN3932" t="str">
        <f t="shared" si="408"/>
        <v/>
      </c>
      <c r="AP3932" t="str">
        <f t="shared" si="409"/>
        <v>Defensive</v>
      </c>
    </row>
    <row r="3933" spans="20:42" x14ac:dyDescent="0.2">
      <c r="T3933" t="str">
        <f t="shared" si="406"/>
        <v>o</v>
      </c>
      <c r="AM3933" t="str">
        <f t="shared" si="407"/>
        <v/>
      </c>
      <c r="AN3933" t="str">
        <f t="shared" si="408"/>
        <v/>
      </c>
      <c r="AP3933" t="str">
        <f t="shared" si="409"/>
        <v>Defensive</v>
      </c>
    </row>
    <row r="3934" spans="20:42" x14ac:dyDescent="0.2">
      <c r="T3934" t="str">
        <f t="shared" si="406"/>
        <v>o</v>
      </c>
      <c r="AM3934" t="str">
        <f t="shared" si="407"/>
        <v/>
      </c>
      <c r="AN3934" t="str">
        <f t="shared" si="408"/>
        <v/>
      </c>
      <c r="AP3934" t="str">
        <f t="shared" si="409"/>
        <v>Defensive</v>
      </c>
    </row>
    <row r="3935" spans="20:42" x14ac:dyDescent="0.2">
      <c r="T3935" t="str">
        <f t="shared" si="406"/>
        <v>o</v>
      </c>
      <c r="AM3935" t="str">
        <f t="shared" si="407"/>
        <v/>
      </c>
      <c r="AN3935" t="str">
        <f t="shared" si="408"/>
        <v/>
      </c>
      <c r="AP3935" t="str">
        <f t="shared" si="409"/>
        <v>Defensive</v>
      </c>
    </row>
    <row r="3936" spans="20:42" x14ac:dyDescent="0.2">
      <c r="T3936" t="str">
        <f t="shared" si="406"/>
        <v>o</v>
      </c>
      <c r="AM3936" t="str">
        <f t="shared" si="407"/>
        <v/>
      </c>
      <c r="AN3936" t="str">
        <f t="shared" si="408"/>
        <v/>
      </c>
      <c r="AP3936" t="str">
        <f t="shared" si="409"/>
        <v>Defensive</v>
      </c>
    </row>
    <row r="3937" spans="20:42" x14ac:dyDescent="0.2">
      <c r="T3937" t="str">
        <f t="shared" si="406"/>
        <v>o</v>
      </c>
      <c r="AM3937" t="str">
        <f t="shared" si="407"/>
        <v/>
      </c>
      <c r="AN3937" t="str">
        <f t="shared" si="408"/>
        <v/>
      </c>
      <c r="AP3937" t="str">
        <f t="shared" si="409"/>
        <v>Defensive</v>
      </c>
    </row>
    <row r="3938" spans="20:42" x14ac:dyDescent="0.2">
      <c r="T3938" t="str">
        <f t="shared" si="406"/>
        <v>o</v>
      </c>
      <c r="AM3938" t="str">
        <f t="shared" si="407"/>
        <v/>
      </c>
      <c r="AN3938" t="str">
        <f t="shared" si="408"/>
        <v/>
      </c>
      <c r="AP3938" t="str">
        <f t="shared" si="409"/>
        <v>Defensive</v>
      </c>
    </row>
    <row r="3939" spans="20:42" x14ac:dyDescent="0.2">
      <c r="T3939" t="str">
        <f t="shared" si="406"/>
        <v>o</v>
      </c>
      <c r="AM3939" t="str">
        <f t="shared" si="407"/>
        <v/>
      </c>
      <c r="AN3939" t="str">
        <f t="shared" si="408"/>
        <v/>
      </c>
      <c r="AP3939" t="str">
        <f t="shared" si="409"/>
        <v>Defensive</v>
      </c>
    </row>
    <row r="3940" spans="20:42" x14ac:dyDescent="0.2">
      <c r="T3940" t="str">
        <f t="shared" si="406"/>
        <v>o</v>
      </c>
      <c r="AM3940" t="str">
        <f t="shared" si="407"/>
        <v/>
      </c>
      <c r="AN3940" t="str">
        <f t="shared" si="408"/>
        <v/>
      </c>
      <c r="AP3940" t="str">
        <f t="shared" si="409"/>
        <v>Defensive</v>
      </c>
    </row>
    <row r="3941" spans="20:42" x14ac:dyDescent="0.2">
      <c r="T3941" t="str">
        <f t="shared" si="406"/>
        <v>o</v>
      </c>
      <c r="AM3941" t="str">
        <f t="shared" si="407"/>
        <v/>
      </c>
      <c r="AN3941" t="str">
        <f t="shared" si="408"/>
        <v/>
      </c>
      <c r="AP3941" t="str">
        <f t="shared" si="409"/>
        <v>Defensive</v>
      </c>
    </row>
    <row r="3942" spans="20:42" x14ac:dyDescent="0.2">
      <c r="T3942" t="str">
        <f t="shared" si="406"/>
        <v>o</v>
      </c>
      <c r="AM3942" t="str">
        <f t="shared" si="407"/>
        <v/>
      </c>
      <c r="AN3942" t="str">
        <f t="shared" si="408"/>
        <v/>
      </c>
      <c r="AP3942" t="str">
        <f t="shared" si="409"/>
        <v>Defensive</v>
      </c>
    </row>
    <row r="3943" spans="20:42" x14ac:dyDescent="0.2">
      <c r="T3943" t="str">
        <f t="shared" si="406"/>
        <v>o</v>
      </c>
      <c r="AM3943" t="str">
        <f t="shared" si="407"/>
        <v/>
      </c>
      <c r="AN3943" t="str">
        <f t="shared" si="408"/>
        <v/>
      </c>
      <c r="AP3943" t="str">
        <f t="shared" si="409"/>
        <v>Defensive</v>
      </c>
    </row>
    <row r="3944" spans="20:42" x14ac:dyDescent="0.2">
      <c r="T3944" t="str">
        <f t="shared" si="406"/>
        <v>o</v>
      </c>
      <c r="AM3944" t="str">
        <f t="shared" si="407"/>
        <v/>
      </c>
      <c r="AN3944" t="str">
        <f t="shared" si="408"/>
        <v/>
      </c>
      <c r="AP3944" t="str">
        <f t="shared" si="409"/>
        <v>Defensive</v>
      </c>
    </row>
    <row r="3945" spans="20:42" x14ac:dyDescent="0.2">
      <c r="T3945" t="str">
        <f t="shared" si="406"/>
        <v>o</v>
      </c>
      <c r="AM3945" t="str">
        <f t="shared" si="407"/>
        <v/>
      </c>
      <c r="AN3945" t="str">
        <f t="shared" si="408"/>
        <v/>
      </c>
      <c r="AP3945" t="str">
        <f t="shared" si="409"/>
        <v>Defensive</v>
      </c>
    </row>
    <row r="3946" spans="20:42" x14ac:dyDescent="0.2">
      <c r="T3946" t="str">
        <f t="shared" si="406"/>
        <v>o</v>
      </c>
      <c r="AM3946" t="str">
        <f t="shared" si="407"/>
        <v/>
      </c>
      <c r="AN3946" t="str">
        <f t="shared" si="408"/>
        <v/>
      </c>
      <c r="AP3946" t="str">
        <f t="shared" si="409"/>
        <v>Defensive</v>
      </c>
    </row>
    <row r="3947" spans="20:42" x14ac:dyDescent="0.2">
      <c r="T3947" t="str">
        <f t="shared" si="406"/>
        <v>o</v>
      </c>
      <c r="AM3947" t="str">
        <f t="shared" si="407"/>
        <v/>
      </c>
      <c r="AN3947" t="str">
        <f t="shared" si="408"/>
        <v/>
      </c>
      <c r="AP3947" t="str">
        <f t="shared" si="409"/>
        <v>Defensive</v>
      </c>
    </row>
    <row r="3948" spans="20:42" x14ac:dyDescent="0.2">
      <c r="T3948" t="str">
        <f t="shared" si="406"/>
        <v>o</v>
      </c>
      <c r="AM3948" t="str">
        <f t="shared" si="407"/>
        <v/>
      </c>
      <c r="AN3948" t="str">
        <f t="shared" si="408"/>
        <v/>
      </c>
      <c r="AP3948" t="str">
        <f t="shared" si="409"/>
        <v>Defensive</v>
      </c>
    </row>
    <row r="3949" spans="20:42" x14ac:dyDescent="0.2">
      <c r="T3949" t="str">
        <f t="shared" si="406"/>
        <v>o</v>
      </c>
      <c r="AM3949" t="str">
        <f t="shared" si="407"/>
        <v/>
      </c>
      <c r="AN3949" t="str">
        <f t="shared" si="408"/>
        <v/>
      </c>
      <c r="AP3949" t="str">
        <f t="shared" si="409"/>
        <v>Defensive</v>
      </c>
    </row>
    <row r="3950" spans="20:42" x14ac:dyDescent="0.2">
      <c r="T3950" t="str">
        <f t="shared" si="406"/>
        <v>o</v>
      </c>
      <c r="AM3950" t="str">
        <f t="shared" si="407"/>
        <v/>
      </c>
      <c r="AN3950" t="str">
        <f t="shared" si="408"/>
        <v/>
      </c>
      <c r="AP3950" t="str">
        <f t="shared" si="409"/>
        <v>Defensive</v>
      </c>
    </row>
    <row r="3951" spans="20:42" x14ac:dyDescent="0.2">
      <c r="T3951" t="str">
        <f t="shared" si="406"/>
        <v>o</v>
      </c>
      <c r="AM3951" t="str">
        <f t="shared" si="407"/>
        <v/>
      </c>
      <c r="AN3951" t="str">
        <f t="shared" si="408"/>
        <v/>
      </c>
      <c r="AP3951" t="str">
        <f t="shared" si="409"/>
        <v>Defensive</v>
      </c>
    </row>
    <row r="3952" spans="20:42" x14ac:dyDescent="0.2">
      <c r="T3952" t="str">
        <f t="shared" si="406"/>
        <v>o</v>
      </c>
      <c r="AM3952" t="str">
        <f t="shared" si="407"/>
        <v/>
      </c>
      <c r="AN3952" t="str">
        <f t="shared" si="408"/>
        <v/>
      </c>
      <c r="AP3952" t="str">
        <f t="shared" si="409"/>
        <v>Defensive</v>
      </c>
    </row>
    <row r="3953" spans="20:42" x14ac:dyDescent="0.2">
      <c r="T3953" t="str">
        <f t="shared" si="406"/>
        <v>o</v>
      </c>
      <c r="AM3953" t="str">
        <f t="shared" si="407"/>
        <v/>
      </c>
      <c r="AN3953" t="str">
        <f t="shared" si="408"/>
        <v/>
      </c>
      <c r="AP3953" t="str">
        <f t="shared" si="409"/>
        <v>Defensive</v>
      </c>
    </row>
    <row r="3954" spans="20:42" x14ac:dyDescent="0.2">
      <c r="T3954" t="str">
        <f t="shared" si="406"/>
        <v>o</v>
      </c>
      <c r="AM3954" t="str">
        <f t="shared" si="407"/>
        <v/>
      </c>
      <c r="AN3954" t="str">
        <f t="shared" si="408"/>
        <v/>
      </c>
      <c r="AP3954" t="str">
        <f t="shared" si="409"/>
        <v>Defensive</v>
      </c>
    </row>
    <row r="3955" spans="20:42" x14ac:dyDescent="0.2">
      <c r="T3955" t="str">
        <f t="shared" si="406"/>
        <v>o</v>
      </c>
      <c r="AM3955" t="str">
        <f t="shared" si="407"/>
        <v/>
      </c>
      <c r="AN3955" t="str">
        <f t="shared" si="408"/>
        <v/>
      </c>
      <c r="AP3955" t="str">
        <f t="shared" si="409"/>
        <v>Defensive</v>
      </c>
    </row>
    <row r="3956" spans="20:42" x14ac:dyDescent="0.2">
      <c r="T3956" t="str">
        <f t="shared" si="406"/>
        <v>o</v>
      </c>
      <c r="AM3956" t="str">
        <f t="shared" si="407"/>
        <v/>
      </c>
      <c r="AN3956" t="str">
        <f t="shared" si="408"/>
        <v/>
      </c>
      <c r="AP3956" t="str">
        <f t="shared" si="409"/>
        <v>Defensive</v>
      </c>
    </row>
    <row r="3957" spans="20:42" x14ac:dyDescent="0.2">
      <c r="T3957" t="str">
        <f t="shared" si="406"/>
        <v>o</v>
      </c>
      <c r="AM3957" t="str">
        <f t="shared" si="407"/>
        <v/>
      </c>
      <c r="AN3957" t="str">
        <f t="shared" si="408"/>
        <v/>
      </c>
      <c r="AP3957" t="str">
        <f t="shared" si="409"/>
        <v>Defensive</v>
      </c>
    </row>
    <row r="3958" spans="20:42" x14ac:dyDescent="0.2">
      <c r="T3958" t="str">
        <f t="shared" si="406"/>
        <v>o</v>
      </c>
      <c r="AM3958" t="str">
        <f t="shared" si="407"/>
        <v/>
      </c>
      <c r="AN3958" t="str">
        <f t="shared" si="408"/>
        <v/>
      </c>
      <c r="AP3958" t="str">
        <f t="shared" si="409"/>
        <v>Defensive</v>
      </c>
    </row>
    <row r="3959" spans="20:42" x14ac:dyDescent="0.2">
      <c r="T3959" t="str">
        <f t="shared" si="406"/>
        <v>o</v>
      </c>
      <c r="AM3959" t="str">
        <f t="shared" si="407"/>
        <v/>
      </c>
      <c r="AN3959" t="str">
        <f t="shared" si="408"/>
        <v/>
      </c>
      <c r="AP3959" t="str">
        <f t="shared" si="409"/>
        <v>Defensive</v>
      </c>
    </row>
    <row r="3960" spans="20:42" x14ac:dyDescent="0.2">
      <c r="T3960" t="str">
        <f t="shared" si="406"/>
        <v>o</v>
      </c>
      <c r="AM3960" t="str">
        <f t="shared" si="407"/>
        <v/>
      </c>
      <c r="AN3960" t="str">
        <f t="shared" si="408"/>
        <v/>
      </c>
      <c r="AP3960" t="str">
        <f t="shared" si="409"/>
        <v>Defensive</v>
      </c>
    </row>
    <row r="3961" spans="20:42" x14ac:dyDescent="0.2">
      <c r="T3961" t="str">
        <f t="shared" si="406"/>
        <v>o</v>
      </c>
      <c r="AM3961" t="str">
        <f t="shared" si="407"/>
        <v/>
      </c>
      <c r="AN3961" t="str">
        <f t="shared" si="408"/>
        <v/>
      </c>
      <c r="AP3961" t="str">
        <f t="shared" si="409"/>
        <v>Defensive</v>
      </c>
    </row>
    <row r="3962" spans="20:42" x14ac:dyDescent="0.2">
      <c r="T3962" t="str">
        <f t="shared" si="406"/>
        <v>o</v>
      </c>
      <c r="AM3962" t="str">
        <f t="shared" si="407"/>
        <v/>
      </c>
      <c r="AN3962" t="str">
        <f t="shared" si="408"/>
        <v/>
      </c>
      <c r="AP3962" t="str">
        <f t="shared" si="409"/>
        <v>Defensive</v>
      </c>
    </row>
    <row r="3963" spans="20:42" x14ac:dyDescent="0.2">
      <c r="T3963" t="str">
        <f t="shared" si="406"/>
        <v>o</v>
      </c>
      <c r="AM3963" t="str">
        <f t="shared" si="407"/>
        <v/>
      </c>
      <c r="AN3963" t="str">
        <f t="shared" si="408"/>
        <v/>
      </c>
      <c r="AP3963" t="str">
        <f t="shared" si="409"/>
        <v>Defensive</v>
      </c>
    </row>
    <row r="3964" spans="20:42" x14ac:dyDescent="0.2">
      <c r="T3964" t="str">
        <f t="shared" si="406"/>
        <v>o</v>
      </c>
      <c r="AM3964" t="str">
        <f t="shared" si="407"/>
        <v/>
      </c>
      <c r="AN3964" t="str">
        <f t="shared" si="408"/>
        <v/>
      </c>
      <c r="AP3964" t="str">
        <f t="shared" si="409"/>
        <v>Defensive</v>
      </c>
    </row>
    <row r="3965" spans="20:42" x14ac:dyDescent="0.2">
      <c r="T3965" t="str">
        <f t="shared" si="406"/>
        <v>o</v>
      </c>
      <c r="AM3965" t="str">
        <f t="shared" si="407"/>
        <v/>
      </c>
      <c r="AN3965" t="str">
        <f t="shared" si="408"/>
        <v/>
      </c>
      <c r="AP3965" t="str">
        <f t="shared" si="409"/>
        <v>Defensive</v>
      </c>
    </row>
    <row r="3966" spans="20:42" x14ac:dyDescent="0.2">
      <c r="T3966" t="str">
        <f t="shared" si="406"/>
        <v>o</v>
      </c>
      <c r="AM3966" t="str">
        <f t="shared" si="407"/>
        <v/>
      </c>
      <c r="AN3966" t="str">
        <f t="shared" si="408"/>
        <v/>
      </c>
      <c r="AP3966" t="str">
        <f t="shared" si="409"/>
        <v>Defensive</v>
      </c>
    </row>
    <row r="3967" spans="20:42" x14ac:dyDescent="0.2">
      <c r="T3967" t="str">
        <f t="shared" si="406"/>
        <v>o</v>
      </c>
      <c r="AM3967" t="str">
        <f t="shared" si="407"/>
        <v/>
      </c>
      <c r="AN3967" t="str">
        <f t="shared" si="408"/>
        <v/>
      </c>
      <c r="AP3967" t="str">
        <f t="shared" si="409"/>
        <v>Defensive</v>
      </c>
    </row>
    <row r="3968" spans="20:42" x14ac:dyDescent="0.2">
      <c r="T3968" t="str">
        <f t="shared" si="406"/>
        <v>o</v>
      </c>
      <c r="AM3968" t="str">
        <f t="shared" si="407"/>
        <v/>
      </c>
      <c r="AN3968" t="str">
        <f t="shared" si="408"/>
        <v/>
      </c>
      <c r="AP3968" t="str">
        <f t="shared" si="409"/>
        <v>Defensive</v>
      </c>
    </row>
    <row r="3969" spans="20:42" x14ac:dyDescent="0.2">
      <c r="T3969" t="str">
        <f t="shared" si="406"/>
        <v>o</v>
      </c>
      <c r="AM3969" t="str">
        <f t="shared" si="407"/>
        <v/>
      </c>
      <c r="AN3969" t="str">
        <f t="shared" si="408"/>
        <v/>
      </c>
      <c r="AP3969" t="str">
        <f t="shared" si="409"/>
        <v>Defensive</v>
      </c>
    </row>
    <row r="3970" spans="20:42" x14ac:dyDescent="0.2">
      <c r="T3970" t="str">
        <f t="shared" si="406"/>
        <v>o</v>
      </c>
      <c r="AM3970" t="str">
        <f t="shared" si="407"/>
        <v/>
      </c>
      <c r="AN3970" t="str">
        <f t="shared" si="408"/>
        <v/>
      </c>
      <c r="AP3970" t="str">
        <f t="shared" si="409"/>
        <v>Defensive</v>
      </c>
    </row>
    <row r="3971" spans="20:42" x14ac:dyDescent="0.2">
      <c r="T3971" t="str">
        <f t="shared" si="406"/>
        <v>o</v>
      </c>
      <c r="AM3971" t="str">
        <f t="shared" si="407"/>
        <v/>
      </c>
      <c r="AN3971" t="str">
        <f t="shared" si="408"/>
        <v/>
      </c>
      <c r="AP3971" t="str">
        <f t="shared" si="409"/>
        <v>Defensive</v>
      </c>
    </row>
    <row r="3972" spans="20:42" x14ac:dyDescent="0.2">
      <c r="T3972" t="str">
        <f t="shared" si="406"/>
        <v>o</v>
      </c>
      <c r="AM3972" t="str">
        <f t="shared" si="407"/>
        <v/>
      </c>
      <c r="AN3972" t="str">
        <f t="shared" si="408"/>
        <v/>
      </c>
      <c r="AP3972" t="str">
        <f t="shared" si="409"/>
        <v>Defensive</v>
      </c>
    </row>
    <row r="3973" spans="20:42" x14ac:dyDescent="0.2">
      <c r="T3973" t="str">
        <f t="shared" si="406"/>
        <v>o</v>
      </c>
      <c r="AM3973" t="str">
        <f t="shared" si="407"/>
        <v/>
      </c>
      <c r="AN3973" t="str">
        <f t="shared" si="408"/>
        <v/>
      </c>
      <c r="AP3973" t="str">
        <f t="shared" si="409"/>
        <v>Defensive</v>
      </c>
    </row>
    <row r="3974" spans="20:42" x14ac:dyDescent="0.2">
      <c r="T3974" t="str">
        <f t="shared" si="406"/>
        <v>o</v>
      </c>
      <c r="AM3974" t="str">
        <f t="shared" si="407"/>
        <v/>
      </c>
      <c r="AN3974" t="str">
        <f t="shared" si="408"/>
        <v/>
      </c>
      <c r="AP3974" t="str">
        <f t="shared" si="409"/>
        <v>Defensive</v>
      </c>
    </row>
    <row r="3975" spans="20:42" x14ac:dyDescent="0.2">
      <c r="T3975" t="str">
        <f t="shared" si="406"/>
        <v>o</v>
      </c>
      <c r="AM3975" t="str">
        <f t="shared" si="407"/>
        <v/>
      </c>
      <c r="AN3975" t="str">
        <f t="shared" si="408"/>
        <v/>
      </c>
      <c r="AP3975" t="str">
        <f t="shared" si="409"/>
        <v>Defensive</v>
      </c>
    </row>
    <row r="3976" spans="20:42" x14ac:dyDescent="0.2">
      <c r="T3976" t="str">
        <f t="shared" si="406"/>
        <v>o</v>
      </c>
      <c r="AM3976" t="str">
        <f t="shared" si="407"/>
        <v/>
      </c>
      <c r="AN3976" t="str">
        <f t="shared" si="408"/>
        <v/>
      </c>
      <c r="AP3976" t="str">
        <f t="shared" si="409"/>
        <v>Defensive</v>
      </c>
    </row>
    <row r="3977" spans="20:42" x14ac:dyDescent="0.2">
      <c r="T3977" t="str">
        <f t="shared" si="406"/>
        <v>o</v>
      </c>
      <c r="AM3977" t="str">
        <f t="shared" si="407"/>
        <v/>
      </c>
      <c r="AN3977" t="str">
        <f t="shared" si="408"/>
        <v/>
      </c>
      <c r="AP3977" t="str">
        <f t="shared" si="409"/>
        <v>Defensive</v>
      </c>
    </row>
    <row r="3978" spans="20:42" x14ac:dyDescent="0.2">
      <c r="T3978" t="str">
        <f t="shared" si="406"/>
        <v>o</v>
      </c>
      <c r="AM3978" t="str">
        <f t="shared" si="407"/>
        <v/>
      </c>
      <c r="AN3978" t="str">
        <f t="shared" si="408"/>
        <v/>
      </c>
      <c r="AP3978" t="str">
        <f t="shared" si="409"/>
        <v>Defensive</v>
      </c>
    </row>
    <row r="3979" spans="20:42" x14ac:dyDescent="0.2">
      <c r="T3979" t="str">
        <f t="shared" si="406"/>
        <v>o</v>
      </c>
      <c r="AM3979" t="str">
        <f t="shared" si="407"/>
        <v/>
      </c>
      <c r="AN3979" t="str">
        <f t="shared" si="408"/>
        <v/>
      </c>
      <c r="AP3979" t="str">
        <f t="shared" si="409"/>
        <v>Defensive</v>
      </c>
    </row>
    <row r="3980" spans="20:42" x14ac:dyDescent="0.2">
      <c r="T3980" t="str">
        <f t="shared" ref="T3980:T4000" si="410">IF(S3980="x","",IF(S3980=1,"e","o"))</f>
        <v>o</v>
      </c>
      <c r="AM3980" t="str">
        <f t="shared" si="407"/>
        <v/>
      </c>
      <c r="AN3980" t="str">
        <f t="shared" si="408"/>
        <v/>
      </c>
      <c r="AP3980" t="str">
        <f t="shared" si="409"/>
        <v>Defensive</v>
      </c>
    </row>
    <row r="3981" spans="20:42" x14ac:dyDescent="0.2">
      <c r="T3981" t="str">
        <f t="shared" si="410"/>
        <v>o</v>
      </c>
      <c r="AM3981" t="str">
        <f t="shared" si="407"/>
        <v/>
      </c>
      <c r="AN3981" t="str">
        <f t="shared" si="408"/>
        <v/>
      </c>
      <c r="AP3981" t="str">
        <f t="shared" si="409"/>
        <v>Defensive</v>
      </c>
    </row>
    <row r="3982" spans="20:42" x14ac:dyDescent="0.2">
      <c r="T3982" t="str">
        <f t="shared" si="410"/>
        <v>o</v>
      </c>
      <c r="AM3982" t="str">
        <f t="shared" si="407"/>
        <v/>
      </c>
      <c r="AN3982" t="str">
        <f t="shared" si="408"/>
        <v/>
      </c>
      <c r="AP3982" t="str">
        <f t="shared" si="409"/>
        <v>Defensive</v>
      </c>
    </row>
    <row r="3983" spans="20:42" x14ac:dyDescent="0.2">
      <c r="T3983" t="str">
        <f t="shared" si="410"/>
        <v>o</v>
      </c>
      <c r="AM3983" t="str">
        <f t="shared" ref="AM3983:AM4000" si="411">IF(U3983&lt;&gt;"",U3983,IF($A3983=$A3982,AM3982,""))</f>
        <v/>
      </c>
      <c r="AN3983" t="str">
        <f t="shared" ref="AN3983:AN4000" si="412">IF(V3983&lt;&gt;"",V3983,IF($A3983=$A3982,AN3982,""))</f>
        <v/>
      </c>
      <c r="AP3983" t="str">
        <f t="shared" ref="AP3983:AP4000" si="413">IF(AND(T3983="e",OR(AM3983="Save",AN3983="Turnover_Takeaway",AN3983="Play_Defensive")),"Defensive",IF(AND(T3983="o",OR(AM3983="Save",AN3983="Turnover_Takeaway",AN3983="Play_Defensive")),"Offensive",IF(OR(AM3983="Deadice",AM3983="Stoppage",AM3983="Intermission"),"",IF(T3983="e","Offensive",IF(T3983="o","Defensive","")))))</f>
        <v>Defensive</v>
      </c>
    </row>
    <row r="3984" spans="20:42" x14ac:dyDescent="0.2">
      <c r="T3984" t="str">
        <f t="shared" si="410"/>
        <v>o</v>
      </c>
      <c r="AM3984" t="str">
        <f t="shared" si="411"/>
        <v/>
      </c>
      <c r="AN3984" t="str">
        <f t="shared" si="412"/>
        <v/>
      </c>
      <c r="AP3984" t="str">
        <f t="shared" si="413"/>
        <v>Defensive</v>
      </c>
    </row>
    <row r="3985" spans="20:42" x14ac:dyDescent="0.2">
      <c r="T3985" t="str">
        <f t="shared" si="410"/>
        <v>o</v>
      </c>
      <c r="AM3985" t="str">
        <f t="shared" si="411"/>
        <v/>
      </c>
      <c r="AN3985" t="str">
        <f t="shared" si="412"/>
        <v/>
      </c>
      <c r="AP3985" t="str">
        <f t="shared" si="413"/>
        <v>Defensive</v>
      </c>
    </row>
    <row r="3986" spans="20:42" x14ac:dyDescent="0.2">
      <c r="T3986" t="str">
        <f t="shared" si="410"/>
        <v>o</v>
      </c>
      <c r="AM3986" t="str">
        <f t="shared" si="411"/>
        <v/>
      </c>
      <c r="AN3986" t="str">
        <f t="shared" si="412"/>
        <v/>
      </c>
      <c r="AP3986" t="str">
        <f t="shared" si="413"/>
        <v>Defensive</v>
      </c>
    </row>
    <row r="3987" spans="20:42" x14ac:dyDescent="0.2">
      <c r="T3987" t="str">
        <f t="shared" si="410"/>
        <v>o</v>
      </c>
      <c r="AM3987" t="str">
        <f t="shared" si="411"/>
        <v/>
      </c>
      <c r="AN3987" t="str">
        <f t="shared" si="412"/>
        <v/>
      </c>
      <c r="AP3987" t="str">
        <f t="shared" si="413"/>
        <v>Defensive</v>
      </c>
    </row>
    <row r="3988" spans="20:42" x14ac:dyDescent="0.2">
      <c r="T3988" t="str">
        <f t="shared" si="410"/>
        <v>o</v>
      </c>
      <c r="AM3988" t="str">
        <f t="shared" si="411"/>
        <v/>
      </c>
      <c r="AN3988" t="str">
        <f t="shared" si="412"/>
        <v/>
      </c>
      <c r="AP3988" t="str">
        <f t="shared" si="413"/>
        <v>Defensive</v>
      </c>
    </row>
    <row r="3989" spans="20:42" x14ac:dyDescent="0.2">
      <c r="T3989" t="str">
        <f t="shared" si="410"/>
        <v>o</v>
      </c>
      <c r="AM3989" t="str">
        <f t="shared" si="411"/>
        <v/>
      </c>
      <c r="AN3989" t="str">
        <f t="shared" si="412"/>
        <v/>
      </c>
      <c r="AP3989" t="str">
        <f t="shared" si="413"/>
        <v>Defensive</v>
      </c>
    </row>
    <row r="3990" spans="20:42" x14ac:dyDescent="0.2">
      <c r="T3990" t="str">
        <f t="shared" si="410"/>
        <v>o</v>
      </c>
      <c r="AM3990" t="str">
        <f t="shared" si="411"/>
        <v/>
      </c>
      <c r="AN3990" t="str">
        <f t="shared" si="412"/>
        <v/>
      </c>
      <c r="AP3990" t="str">
        <f t="shared" si="413"/>
        <v>Defensive</v>
      </c>
    </row>
    <row r="3991" spans="20:42" x14ac:dyDescent="0.2">
      <c r="T3991" t="str">
        <f t="shared" si="410"/>
        <v>o</v>
      </c>
      <c r="AM3991" t="str">
        <f t="shared" si="411"/>
        <v/>
      </c>
      <c r="AN3991" t="str">
        <f t="shared" si="412"/>
        <v/>
      </c>
      <c r="AP3991" t="str">
        <f t="shared" si="413"/>
        <v>Defensive</v>
      </c>
    </row>
    <row r="3992" spans="20:42" x14ac:dyDescent="0.2">
      <c r="T3992" t="str">
        <f t="shared" si="410"/>
        <v>o</v>
      </c>
      <c r="AM3992" t="str">
        <f t="shared" si="411"/>
        <v/>
      </c>
      <c r="AN3992" t="str">
        <f t="shared" si="412"/>
        <v/>
      </c>
      <c r="AP3992" t="str">
        <f t="shared" si="413"/>
        <v>Defensive</v>
      </c>
    </row>
    <row r="3993" spans="20:42" x14ac:dyDescent="0.2">
      <c r="T3993" t="str">
        <f t="shared" si="410"/>
        <v>o</v>
      </c>
      <c r="AM3993" t="str">
        <f t="shared" si="411"/>
        <v/>
      </c>
      <c r="AN3993" t="str">
        <f t="shared" si="412"/>
        <v/>
      </c>
      <c r="AP3993" t="str">
        <f t="shared" si="413"/>
        <v>Defensive</v>
      </c>
    </row>
    <row r="3994" spans="20:42" x14ac:dyDescent="0.2">
      <c r="T3994" t="str">
        <f t="shared" si="410"/>
        <v>o</v>
      </c>
      <c r="AM3994" t="str">
        <f t="shared" si="411"/>
        <v/>
      </c>
      <c r="AN3994" t="str">
        <f t="shared" si="412"/>
        <v/>
      </c>
      <c r="AP3994" t="str">
        <f t="shared" si="413"/>
        <v>Defensive</v>
      </c>
    </row>
    <row r="3995" spans="20:42" x14ac:dyDescent="0.2">
      <c r="T3995" t="str">
        <f t="shared" si="410"/>
        <v>o</v>
      </c>
      <c r="AM3995" t="str">
        <f t="shared" si="411"/>
        <v/>
      </c>
      <c r="AN3995" t="str">
        <f t="shared" si="412"/>
        <v/>
      </c>
      <c r="AP3995" t="str">
        <f t="shared" si="413"/>
        <v>Defensive</v>
      </c>
    </row>
    <row r="3996" spans="20:42" x14ac:dyDescent="0.2">
      <c r="T3996" t="str">
        <f t="shared" si="410"/>
        <v>o</v>
      </c>
      <c r="AM3996" t="str">
        <f t="shared" si="411"/>
        <v/>
      </c>
      <c r="AN3996" t="str">
        <f t="shared" si="412"/>
        <v/>
      </c>
      <c r="AP3996" t="str">
        <f t="shared" si="413"/>
        <v>Defensive</v>
      </c>
    </row>
    <row r="3997" spans="20:42" x14ac:dyDescent="0.2">
      <c r="T3997" t="str">
        <f t="shared" si="410"/>
        <v>o</v>
      </c>
      <c r="AM3997" t="str">
        <f t="shared" si="411"/>
        <v/>
      </c>
      <c r="AN3997" t="str">
        <f t="shared" si="412"/>
        <v/>
      </c>
      <c r="AP3997" t="str">
        <f t="shared" si="413"/>
        <v>Defensive</v>
      </c>
    </row>
    <row r="3998" spans="20:42" x14ac:dyDescent="0.2">
      <c r="T3998" t="str">
        <f t="shared" si="410"/>
        <v>o</v>
      </c>
      <c r="AM3998" t="str">
        <f t="shared" si="411"/>
        <v/>
      </c>
      <c r="AN3998" t="str">
        <f t="shared" si="412"/>
        <v/>
      </c>
      <c r="AP3998" t="str">
        <f t="shared" si="413"/>
        <v>Defensive</v>
      </c>
    </row>
    <row r="3999" spans="20:42" x14ac:dyDescent="0.2">
      <c r="T3999" t="str">
        <f t="shared" si="410"/>
        <v>o</v>
      </c>
      <c r="AM3999" t="str">
        <f t="shared" si="411"/>
        <v/>
      </c>
      <c r="AN3999" t="str">
        <f t="shared" si="412"/>
        <v/>
      </c>
      <c r="AP3999" t="str">
        <f t="shared" si="413"/>
        <v>Defensive</v>
      </c>
    </row>
    <row r="4000" spans="20:42" x14ac:dyDescent="0.2">
      <c r="T4000" t="str">
        <f t="shared" si="410"/>
        <v>o</v>
      </c>
      <c r="AM4000" t="str">
        <f t="shared" si="411"/>
        <v/>
      </c>
      <c r="AN4000" t="str">
        <f t="shared" si="412"/>
        <v/>
      </c>
      <c r="AP4000" t="str">
        <f t="shared" si="413"/>
        <v>Defensive</v>
      </c>
    </row>
  </sheetData>
  <phoneticPr fontId="2" type="noConversion"/>
  <conditionalFormatting sqref="A473 E473:R473 U473:AK473 H474:H3226">
    <cfRule type="expression" dxfId="7" priority="13" stopIfTrue="1">
      <formula>$A473&lt;#REF!</formula>
    </cfRule>
  </conditionalFormatting>
  <conditionalFormatting sqref="A782:G783 I782:R783 U782:AK783">
    <cfRule type="expression" dxfId="6" priority="18" stopIfTrue="1">
      <formula>$A782&lt;$A784</formula>
    </cfRule>
  </conditionalFormatting>
  <conditionalFormatting sqref="A1048575:AE1048576 AG1048575:AL1048576">
    <cfRule type="expression" dxfId="5" priority="34" stopIfTrue="1">
      <formula>#REF!&lt;$A1</formula>
    </cfRule>
    <cfRule type="expression" dxfId="4" priority="35" stopIfTrue="1">
      <formula>$A1048575&lt;$A1</formula>
    </cfRule>
  </conditionalFormatting>
  <conditionalFormatting sqref="A1:AL1 E2:AL2 A2:D6 E3:S3 U3:AK472 T3:T1193 E4:R6 S4:S1152 A7:B7 D7:R7 C7:C781 A8:A472 E8:R472 B8:B781 D8:D781 A474:A781 E474:G781 I474:R781 U474:AK781 U784:AK887 I784:R1152 V888:W889 U888:U890 W888:AK890 U891:AK1043 T1044:AK1193 AO1070 I1153:S1193 I1194:AK2160 S2161:AK2187 I2161:R2190 S2188:X2189 Z2188:AK2189 S2190:AK2190 I2191:AK2600 A4001:AE1048574 A3227:S4000 AG2601:AK2638 I2601:AE2931 AG2639:AL1048574 A784:G3226 I2932:S3226 T2932:AE4000">
    <cfRule type="expression" dxfId="3" priority="5" stopIfTrue="1">
      <formula>$A1&lt;$A2</formula>
    </cfRule>
  </conditionalFormatting>
  <conditionalFormatting sqref="V890">
    <cfRule type="expression" dxfId="2" priority="37" stopIfTrue="1">
      <formula>$A889&lt;$A890</formula>
    </cfRule>
  </conditionalFormatting>
  <conditionalFormatting sqref="Y2188:Y2189">
    <cfRule type="expression" dxfId="1" priority="39" stopIfTrue="1">
      <formula>$A2189&lt;$A2190</formula>
    </cfRule>
  </conditionalFormatting>
  <conditionalFormatting sqref="AF2601:AF4000">
    <cfRule type="expression" dxfId="0" priority="1" stopIfTrue="1">
      <formula>$A2601&lt;$A2602</formula>
    </cfRule>
  </conditionalFormatting>
  <dataValidations count="6">
    <dataValidation type="list" allowBlank="1" showInputMessage="1" showErrorMessage="1" sqref="AK2639:AL3754 W2:W889 AO1070 AO2601:AO4000 AG2601:AI4000 W891:W4000" xr:uid="{E22B4B4B-C849-1945-8510-FECEB6D7DD21}">
      <formula1>INDIRECT($V2)</formula1>
    </dataValidation>
    <dataValidation type="list" allowBlank="1" showInputMessage="1" showErrorMessage="1" sqref="Z3:Z6 Y2:Y6 Y7:Z2187 Z2188:Z2189 Y2190:Z4000" xr:uid="{5DC7E463-A589-E944-B816-CE50DBA31E8D}">
      <formula1>INDIRECT($AP2)</formula1>
    </dataValidation>
    <dataValidation type="list" allowBlank="1" showInputMessage="1" showErrorMessage="1" sqref="W890" xr:uid="{42AE01BF-C123-A34C-98C1-BD38B53DCEE7}">
      <formula1>INDIRECT(#REF!)</formula1>
    </dataValidation>
    <dataValidation type="list" allowBlank="1" showInputMessage="1" showErrorMessage="1" sqref="V2:V889 V891:V4000" xr:uid="{5587E3B7-59BA-BE46-A6B4-F4C05EF28A49}">
      <formula1>INDIRECT($U2)</formula1>
    </dataValidation>
    <dataValidation type="list" allowBlank="1" showInputMessage="1" showErrorMessage="1" sqref="V890" xr:uid="{737F200A-4A6D-9C4E-974B-C34FF3DE67C3}">
      <formula1>INDIRECT($U889)</formula1>
    </dataValidation>
    <dataValidation type="list" allowBlank="1" showInputMessage="1" showErrorMessage="1" sqref="Y2188:Y2189" xr:uid="{3E73D86E-D6C2-3242-809C-0803D08C3169}">
      <formula1>INDIRECT($AP2189)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2BBD705-EA66-124A-95D1-6BC1C4A6EAA4}">
          <x14:formula1>
            <xm:f>Lists!$CG:$CG</xm:f>
          </x14:formula1>
          <xm:sqref>Z2 Y4001:Y1048576</xm:sqref>
        </x14:dataValidation>
        <x14:dataValidation type="list" allowBlank="1" showInputMessage="1" showErrorMessage="1" xr:uid="{4A872B11-5EB0-B747-8738-8EA3713B7887}">
          <x14:formula1>
            <xm:f>Lists!$A:$A</xm:f>
          </x14:formula1>
          <xm:sqref>U2:U4000</xm:sqref>
        </x14:dataValidation>
        <x14:dataValidation type="list" allowBlank="1" showInputMessage="1" showErrorMessage="1" xr:uid="{EDDCFA42-7CE9-B144-B1CD-621FA10ABF3E}">
          <x14:formula1>
            <xm:f>Lists!$CS:$CS</xm:f>
          </x14:formula1>
          <xm:sqref>AC2:AC4000</xm:sqref>
        </x14:dataValidation>
        <x14:dataValidation type="list" allowBlank="1" showInputMessage="1" showErrorMessage="1" xr:uid="{4418E2C5-D4FA-3049-9820-DB035CA9B6B4}">
          <x14:formula1>
            <xm:f>Lists!$CU:$CU</xm:f>
          </x14:formula1>
          <xm:sqref>AD2:AD4000</xm:sqref>
        </x14:dataValidation>
        <x14:dataValidation type="list" allowBlank="1" showInputMessage="1" showErrorMessage="1" xr:uid="{2F8C96AC-665A-5546-BDE1-5ECD7CAFBC30}">
          <x14:formula1>
            <xm:f>Lists!$CW:$CW</xm:f>
          </x14:formula1>
          <xm:sqref>AB2:AB2302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dimension ref="A1:AY202"/>
  <sheetViews>
    <sheetView tabSelected="1"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A9" sqref="AA9"/>
    </sheetView>
  </sheetViews>
  <sheetFormatPr baseColWidth="10" defaultRowHeight="16" x14ac:dyDescent="0.2"/>
  <cols>
    <col min="2" max="2" width="10.83203125" style="8"/>
    <col min="4" max="4" width="10.83203125" style="5" customWidth="1"/>
    <col min="6" max="6" width="10.83203125" style="5"/>
    <col min="7" max="7" width="10.83203125" style="8"/>
    <col min="8" max="8" width="10.83203125" style="6"/>
    <col min="14" max="14" width="10.83203125" hidden="1" customWidth="1"/>
    <col min="15" max="15" width="10.83203125" style="6"/>
    <col min="16" max="16" width="10.83203125" style="8"/>
    <col min="21" max="21" width="10.83203125" customWidth="1"/>
    <col min="23" max="23" width="10.83203125" style="8"/>
    <col min="24" max="24" width="10.83203125" style="8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1" s="3" customFormat="1" ht="68" x14ac:dyDescent="0.2">
      <c r="A1" s="3" t="s">
        <v>289</v>
      </c>
      <c r="B1" s="11" t="s">
        <v>1</v>
      </c>
      <c r="C1" s="3" t="s">
        <v>292</v>
      </c>
      <c r="D1" s="10" t="s">
        <v>293</v>
      </c>
      <c r="E1" s="3" t="s">
        <v>294</v>
      </c>
      <c r="F1" s="10" t="s">
        <v>295</v>
      </c>
      <c r="G1" s="11" t="s">
        <v>290</v>
      </c>
      <c r="H1" s="14" t="s">
        <v>291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302</v>
      </c>
      <c r="O1" s="14" t="s">
        <v>301</v>
      </c>
      <c r="P1" s="11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309</v>
      </c>
      <c r="V1" s="3" t="s">
        <v>308</v>
      </c>
      <c r="W1" s="12" t="s">
        <v>310</v>
      </c>
      <c r="X1" s="15" t="s">
        <v>311</v>
      </c>
      <c r="Y1" s="13" t="s">
        <v>312</v>
      </c>
      <c r="Z1" s="19" t="s">
        <v>313</v>
      </c>
      <c r="AA1" s="13" t="s">
        <v>314</v>
      </c>
      <c r="AB1" s="19" t="s">
        <v>315</v>
      </c>
      <c r="AC1" s="13" t="s">
        <v>316</v>
      </c>
      <c r="AD1" s="3" t="s">
        <v>269</v>
      </c>
      <c r="AE1" s="3" t="s">
        <v>270</v>
      </c>
      <c r="AF1" s="3" t="s">
        <v>271</v>
      </c>
      <c r="AG1" s="3" t="s">
        <v>393</v>
      </c>
      <c r="AH1" s="3" t="s">
        <v>392</v>
      </c>
      <c r="AI1" s="3" t="s">
        <v>394</v>
      </c>
      <c r="AJ1" s="3" t="s">
        <v>378</v>
      </c>
      <c r="AK1" s="3" t="s">
        <v>379</v>
      </c>
      <c r="AL1" s="3" t="s">
        <v>380</v>
      </c>
      <c r="AM1" s="3" t="s">
        <v>381</v>
      </c>
      <c r="AN1" s="3" t="s">
        <v>383</v>
      </c>
      <c r="AO1" s="3" t="s">
        <v>382</v>
      </c>
      <c r="AP1" s="3" t="s">
        <v>384</v>
      </c>
      <c r="AQ1" s="3" t="s">
        <v>385</v>
      </c>
      <c r="AR1" s="3" t="s">
        <v>386</v>
      </c>
      <c r="AS1" s="3" t="s">
        <v>395</v>
      </c>
      <c r="AT1" s="3" t="s">
        <v>396</v>
      </c>
      <c r="AU1" s="3" t="s">
        <v>397</v>
      </c>
      <c r="AV1" s="22" t="s">
        <v>429</v>
      </c>
      <c r="AW1" s="22" t="s">
        <v>436</v>
      </c>
      <c r="AX1" s="3" t="s">
        <v>437</v>
      </c>
      <c r="AY1" s="3" t="s">
        <v>438</v>
      </c>
    </row>
    <row r="2" spans="1:51" x14ac:dyDescent="0.2">
      <c r="A2">
        <v>1</v>
      </c>
      <c r="B2" s="8">
        <v>1</v>
      </c>
      <c r="C2">
        <v>18</v>
      </c>
      <c r="D2" s="5" t="s">
        <v>446</v>
      </c>
      <c r="E2">
        <v>16</v>
      </c>
      <c r="F2" s="5" t="s">
        <v>751</v>
      </c>
      <c r="G2" s="8" t="s">
        <v>320</v>
      </c>
      <c r="I2">
        <v>70</v>
      </c>
      <c r="J2">
        <v>14</v>
      </c>
      <c r="K2">
        <v>75</v>
      </c>
      <c r="L2">
        <v>91</v>
      </c>
      <c r="M2">
        <v>9</v>
      </c>
      <c r="O2" s="6">
        <v>39</v>
      </c>
      <c r="P2" s="36">
        <v>77</v>
      </c>
      <c r="Q2" s="34">
        <v>13</v>
      </c>
      <c r="R2" s="34">
        <v>68</v>
      </c>
      <c r="S2" s="34">
        <v>4</v>
      </c>
      <c r="T2" s="34">
        <v>25</v>
      </c>
      <c r="V2">
        <v>30</v>
      </c>
      <c r="W2" s="8">
        <f>SUMIFS(events!AT:AT,events!U:U,"=DeadIce",events!AU:AU,"&lt;="&amp;shifts!AG2,events!AV:AV,"&gt;"&amp;shifts!AH2,events!H:H,"="&amp;shifts!B3)+SUMIFS(events!AT:AT,events!U:U,"=Timeout",events!AU:AU,"&lt;="&amp;shifts!AG2,events!AV:AV,"&gt;"&amp;shifts!AH2,events!H:H,"="&amp;shifts!B3)</f>
        <v>0</v>
      </c>
      <c r="AB2">
        <v>1</v>
      </c>
      <c r="AC2">
        <v>1</v>
      </c>
      <c r="AD2">
        <f>events!AQ2</f>
        <v>18987</v>
      </c>
      <c r="AE2" t="str">
        <f>events!AR2</f>
        <v>Velodrome</v>
      </c>
      <c r="AF2" t="str">
        <f>events!AS2</f>
        <v>Outcan</v>
      </c>
      <c r="AG2" s="5">
        <f>((C2*60)+D2)</f>
        <v>1080</v>
      </c>
      <c r="AH2" s="5">
        <f>((E2*60)+F2)</f>
        <v>1013</v>
      </c>
      <c r="AI2" s="16">
        <f>ROUND(AG2-AH2,0)</f>
        <v>67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IFERROR(VLOOKUP(B2,events!H:BA,24,FALSE),0)</f>
        <v>0</v>
      </c>
      <c r="AW2">
        <f>ROUND(IF(G2="Intermission",AW1,((1080)-((C2*60)+D2))+AV2),0)</f>
        <v>0</v>
      </c>
      <c r="AX2">
        <f>IF(AW2&lt;5,0,AW2-5)</f>
        <v>0</v>
      </c>
      <c r="AY2" s="5">
        <f>AX2+AI2+3</f>
        <v>70</v>
      </c>
    </row>
    <row r="3" spans="1:51" x14ac:dyDescent="0.2">
      <c r="A3">
        <v>2</v>
      </c>
      <c r="B3" s="8">
        <f>IF(G3="PeriodStart",B2+1,B2)</f>
        <v>1</v>
      </c>
      <c r="C3">
        <f>IF(G3&lt;&gt;"PeriodStart",E2,18)</f>
        <v>16</v>
      </c>
      <c r="D3" s="5" t="str">
        <f>F2</f>
        <v>53</v>
      </c>
      <c r="E3">
        <v>16</v>
      </c>
      <c r="F3" s="5" t="s">
        <v>753</v>
      </c>
      <c r="I3">
        <v>70</v>
      </c>
      <c r="J3">
        <v>14</v>
      </c>
      <c r="K3">
        <v>75</v>
      </c>
      <c r="L3">
        <v>91</v>
      </c>
      <c r="M3">
        <v>9</v>
      </c>
      <c r="O3" s="6">
        <f>O2</f>
        <v>39</v>
      </c>
      <c r="P3" s="36">
        <v>77</v>
      </c>
      <c r="Q3" s="34">
        <v>13</v>
      </c>
      <c r="R3" s="34">
        <v>68</v>
      </c>
      <c r="S3" s="34">
        <v>44</v>
      </c>
      <c r="T3" s="34">
        <v>25</v>
      </c>
      <c r="V3">
        <f>V2</f>
        <v>30</v>
      </c>
      <c r="W3" s="8">
        <f>SUMIFS(events!AT:AT,events!U:U,"=DeadIce",events!AU:AU,"&lt;="&amp;shifts!AG3,events!AV:AV,"&gt;"&amp;shifts!AH3,events!H:H,"="&amp;shifts!B4)+SUMIFS(events!AT:AT,events!U:U,"=Timeout",events!AU:AU,"&lt;="&amp;shifts!AG3,events!AV:AV,"&gt;"&amp;shifts!AH3,events!H:H,"="&amp;shifts!B4)</f>
        <v>0</v>
      </c>
      <c r="X3" s="8" t="str">
        <f>IF(OR($H2="Home Goal",$H2="Away Goal",$H2="Period End"),"",IF(Y2=1,1,""))</f>
        <v/>
      </c>
      <c r="Y3">
        <v>1</v>
      </c>
      <c r="Z3" t="str">
        <f>IF(OR($H2="Home Goal",$H2="Away Goal",$H2="Period End"),"",IF(AA2=1,1,""))</f>
        <v/>
      </c>
      <c r="AB3">
        <f>IF(OR($H2="Home Goal",$H2="Away Goal",$H2="Period End"),1,IF(AC2=1,1,""))</f>
        <v>1</v>
      </c>
      <c r="AD3">
        <f>events!AQ3</f>
        <v>18988</v>
      </c>
      <c r="AE3" t="str">
        <f>events!AR3</f>
        <v>Velodrome</v>
      </c>
      <c r="AF3" t="str">
        <f>events!AS3</f>
        <v>Outcan</v>
      </c>
      <c r="AG3" s="5">
        <f>((C3*60)+D3)</f>
        <v>1013</v>
      </c>
      <c r="AH3" s="5">
        <f>((E3*60)+F3)</f>
        <v>1009</v>
      </c>
      <c r="AI3" s="16">
        <f>ROUND(AG3-AH3,0)</f>
        <v>4</v>
      </c>
      <c r="AJ3">
        <f>COUNTIF(I3:N3,"&gt;0")</f>
        <v>5</v>
      </c>
      <c r="AK3">
        <f>COUNTIF(P3:U3,"&gt;0")</f>
        <v>5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>IF(AN3=1,1,0)</f>
        <v>0</v>
      </c>
      <c r="AQ3">
        <f>IF(AO3=1,1,0)</f>
        <v>0</v>
      </c>
      <c r="AT3">
        <f>IF($H2="Home Goal",AT2+1,AT2)</f>
        <v>0</v>
      </c>
      <c r="AU3">
        <f>IF($H2="Away Goal",AU2+1,AU2)</f>
        <v>0</v>
      </c>
      <c r="AV3">
        <f>IFERROR(VLOOKUP(B3,events!H:BA,24,FALSE),AV2)</f>
        <v>0</v>
      </c>
      <c r="AW3">
        <f>ROUND(IF(G3="Intermission",AW2,((1080)-((C3*60)+D3))+AV3),0)</f>
        <v>67</v>
      </c>
      <c r="AX3">
        <f>IF(AW3&lt;5,0,AW3-5)</f>
        <v>62</v>
      </c>
      <c r="AY3" s="5">
        <f>AX3+AI3+3</f>
        <v>69</v>
      </c>
    </row>
    <row r="4" spans="1:51" x14ac:dyDescent="0.2">
      <c r="A4">
        <v>3</v>
      </c>
      <c r="B4" s="8">
        <f t="shared" ref="B4:B67" si="0">IF(G4="PeriodStart",B3+1,B3)</f>
        <v>1</v>
      </c>
      <c r="C4">
        <f>IF(G4&lt;&gt;"PeriodStart",E3,18)</f>
        <v>16</v>
      </c>
      <c r="D4" s="5" t="str">
        <f>F3</f>
        <v>49</v>
      </c>
      <c r="E4">
        <v>16</v>
      </c>
      <c r="F4" s="5" t="s">
        <v>713</v>
      </c>
      <c r="I4">
        <v>42</v>
      </c>
      <c r="J4">
        <v>55</v>
      </c>
      <c r="K4">
        <v>75</v>
      </c>
      <c r="L4">
        <v>91</v>
      </c>
      <c r="M4">
        <v>22</v>
      </c>
      <c r="O4" s="6">
        <f t="shared" ref="O4:O67" si="1">O3</f>
        <v>39</v>
      </c>
      <c r="P4" s="36">
        <v>3</v>
      </c>
      <c r="Q4" s="34">
        <v>13</v>
      </c>
      <c r="R4" s="34">
        <v>68</v>
      </c>
      <c r="S4" s="34">
        <v>44</v>
      </c>
      <c r="T4" s="34">
        <v>18</v>
      </c>
      <c r="V4">
        <f t="shared" ref="V4:V67" si="2">V3</f>
        <v>30</v>
      </c>
      <c r="AA4">
        <v>1</v>
      </c>
      <c r="AG4" s="5"/>
      <c r="AH4" s="5"/>
      <c r="AI4" s="16"/>
      <c r="AY4" s="5"/>
    </row>
    <row r="5" spans="1:51" x14ac:dyDescent="0.2">
      <c r="A5">
        <f t="shared" ref="A5:A68" si="3">A4+1</f>
        <v>4</v>
      </c>
      <c r="B5" s="8">
        <f t="shared" si="0"/>
        <v>1</v>
      </c>
      <c r="C5">
        <f t="shared" ref="C5:C67" si="4">IF(G5&lt;&gt;"PeriodStart",E4,18)</f>
        <v>16</v>
      </c>
      <c r="D5" s="5" t="str">
        <f t="shared" ref="D5:D67" si="5">F4</f>
        <v>40</v>
      </c>
      <c r="E5">
        <v>16</v>
      </c>
      <c r="F5" s="5" t="s">
        <v>719</v>
      </c>
      <c r="I5">
        <v>42</v>
      </c>
      <c r="J5">
        <v>55</v>
      </c>
      <c r="K5">
        <v>24</v>
      </c>
      <c r="L5">
        <v>91</v>
      </c>
      <c r="M5">
        <v>22</v>
      </c>
      <c r="O5" s="6">
        <f t="shared" si="1"/>
        <v>39</v>
      </c>
      <c r="P5" s="36">
        <v>3</v>
      </c>
      <c r="Q5" s="34">
        <v>13</v>
      </c>
      <c r="R5" s="34">
        <v>68</v>
      </c>
      <c r="S5" s="34">
        <v>44</v>
      </c>
      <c r="T5" s="34">
        <v>18</v>
      </c>
      <c r="V5">
        <f t="shared" si="2"/>
        <v>30</v>
      </c>
      <c r="AA5">
        <v>1</v>
      </c>
      <c r="AG5" s="5"/>
      <c r="AH5" s="5"/>
      <c r="AI5" s="16"/>
      <c r="AY5" s="5"/>
    </row>
    <row r="6" spans="1:51" x14ac:dyDescent="0.2">
      <c r="A6">
        <f t="shared" si="3"/>
        <v>5</v>
      </c>
      <c r="B6" s="8">
        <f t="shared" si="0"/>
        <v>1</v>
      </c>
      <c r="C6">
        <f t="shared" si="4"/>
        <v>16</v>
      </c>
      <c r="D6" s="5" t="str">
        <f t="shared" si="5"/>
        <v>33</v>
      </c>
      <c r="E6">
        <v>16</v>
      </c>
      <c r="F6" s="5" t="s">
        <v>727</v>
      </c>
      <c r="I6">
        <f>IF($D6&gt;0,I5,"")</f>
        <v>42</v>
      </c>
      <c r="J6">
        <f t="shared" ref="J6:M6" si="6">IF($D6&gt;0,J5,"")</f>
        <v>55</v>
      </c>
      <c r="K6">
        <f t="shared" si="6"/>
        <v>24</v>
      </c>
      <c r="L6">
        <f t="shared" si="6"/>
        <v>91</v>
      </c>
      <c r="M6">
        <f t="shared" si="6"/>
        <v>22</v>
      </c>
      <c r="N6">
        <f>N5</f>
        <v>0</v>
      </c>
      <c r="O6" s="6">
        <f t="shared" si="1"/>
        <v>39</v>
      </c>
      <c r="P6" s="8">
        <f>IF($D6&gt;0,P5,"")</f>
        <v>3</v>
      </c>
      <c r="Q6" s="35">
        <v>56</v>
      </c>
      <c r="R6" s="35">
        <f t="shared" ref="Q6:T6" si="7">IF($D6&gt;0,R5,"")</f>
        <v>68</v>
      </c>
      <c r="S6" s="35">
        <f t="shared" si="7"/>
        <v>44</v>
      </c>
      <c r="T6" s="35">
        <f t="shared" si="7"/>
        <v>18</v>
      </c>
      <c r="V6">
        <f t="shared" si="2"/>
        <v>30</v>
      </c>
      <c r="AC6">
        <v>1</v>
      </c>
      <c r="AG6" s="5"/>
      <c r="AH6" s="5"/>
      <c r="AI6" s="16"/>
      <c r="AY6" s="5"/>
    </row>
    <row r="7" spans="1:51" x14ac:dyDescent="0.2">
      <c r="A7">
        <f t="shared" si="3"/>
        <v>6</v>
      </c>
      <c r="B7" s="8">
        <f t="shared" si="0"/>
        <v>1</v>
      </c>
      <c r="C7">
        <f t="shared" si="4"/>
        <v>16</v>
      </c>
      <c r="D7" s="5" t="str">
        <f t="shared" si="5"/>
        <v>24</v>
      </c>
      <c r="E7">
        <v>15</v>
      </c>
      <c r="F7" s="5" t="s">
        <v>711</v>
      </c>
      <c r="H7" s="6" t="s">
        <v>375</v>
      </c>
      <c r="I7">
        <f t="shared" ref="I7:I70" si="8">IF($D7&gt;0,I6,"")</f>
        <v>42</v>
      </c>
      <c r="J7">
        <f t="shared" ref="J7:J70" si="9">IF($D7&gt;0,J6,"")</f>
        <v>55</v>
      </c>
      <c r="K7">
        <f t="shared" ref="K7:K70" si="10">IF($D7&gt;0,K6,"")</f>
        <v>24</v>
      </c>
      <c r="L7">
        <v>84</v>
      </c>
      <c r="M7">
        <v>22</v>
      </c>
      <c r="O7" s="6">
        <f t="shared" si="1"/>
        <v>39</v>
      </c>
      <c r="P7" s="8">
        <f t="shared" ref="P7:Q70" si="11">IF($D7&gt;0,P6,"")</f>
        <v>3</v>
      </c>
      <c r="Q7" s="35">
        <f t="shared" si="11"/>
        <v>56</v>
      </c>
      <c r="R7" s="35">
        <v>12</v>
      </c>
      <c r="S7" s="35">
        <f t="shared" ref="S7:S70" si="12">IF($D7&gt;0,S6,"")</f>
        <v>44</v>
      </c>
      <c r="T7" s="35">
        <f t="shared" ref="T7:T70" si="13">IF($D7&gt;0,T6,"")</f>
        <v>18</v>
      </c>
      <c r="V7">
        <f t="shared" si="2"/>
        <v>30</v>
      </c>
      <c r="AA7">
        <v>1</v>
      </c>
      <c r="AG7" s="5"/>
      <c r="AH7" s="5"/>
      <c r="AI7" s="16"/>
      <c r="AY7" s="5"/>
    </row>
    <row r="8" spans="1:51" x14ac:dyDescent="0.2">
      <c r="A8">
        <f t="shared" si="3"/>
        <v>7</v>
      </c>
      <c r="B8" s="8">
        <f t="shared" si="0"/>
        <v>1</v>
      </c>
      <c r="C8">
        <f t="shared" si="4"/>
        <v>15</v>
      </c>
      <c r="D8" s="5" t="str">
        <f t="shared" si="5"/>
        <v>41</v>
      </c>
      <c r="E8">
        <v>14</v>
      </c>
      <c r="F8" s="5" t="s">
        <v>896</v>
      </c>
      <c r="G8" s="8" t="s">
        <v>322</v>
      </c>
      <c r="I8">
        <f t="shared" si="8"/>
        <v>42</v>
      </c>
      <c r="J8">
        <f t="shared" si="9"/>
        <v>55</v>
      </c>
      <c r="K8">
        <f t="shared" si="10"/>
        <v>24</v>
      </c>
      <c r="L8">
        <f t="shared" ref="L7:L70" si="14">IF($D8&gt;0,L7,"")</f>
        <v>84</v>
      </c>
      <c r="M8">
        <f t="shared" ref="M7:M70" si="15">IF($D8&gt;0,M7,"")</f>
        <v>22</v>
      </c>
      <c r="O8" s="6">
        <f t="shared" si="1"/>
        <v>39</v>
      </c>
      <c r="P8" s="8">
        <v>91</v>
      </c>
      <c r="Q8" s="35">
        <f t="shared" si="11"/>
        <v>56</v>
      </c>
      <c r="R8" s="35">
        <f t="shared" ref="R7:R70" si="16">IF($D8&gt;0,R7,"")</f>
        <v>12</v>
      </c>
      <c r="S8" s="35">
        <f t="shared" si="12"/>
        <v>44</v>
      </c>
      <c r="T8" s="35">
        <f t="shared" si="13"/>
        <v>18</v>
      </c>
      <c r="V8">
        <f t="shared" si="2"/>
        <v>30</v>
      </c>
      <c r="AC8">
        <v>1</v>
      </c>
      <c r="AG8" s="5"/>
      <c r="AH8" s="5"/>
      <c r="AI8" s="16"/>
      <c r="AY8" s="5"/>
    </row>
    <row r="9" spans="1:51" x14ac:dyDescent="0.2">
      <c r="A9">
        <f t="shared" si="3"/>
        <v>8</v>
      </c>
      <c r="B9" s="8">
        <f t="shared" si="0"/>
        <v>1</v>
      </c>
      <c r="C9">
        <f t="shared" si="4"/>
        <v>14</v>
      </c>
      <c r="D9" s="5" t="str">
        <f t="shared" si="5"/>
        <v>58</v>
      </c>
      <c r="E9">
        <v>14</v>
      </c>
      <c r="F9" s="5" t="s">
        <v>759</v>
      </c>
      <c r="I9">
        <f t="shared" si="8"/>
        <v>42</v>
      </c>
      <c r="J9">
        <v>61</v>
      </c>
      <c r="K9">
        <f t="shared" si="10"/>
        <v>24</v>
      </c>
      <c r="L9">
        <f t="shared" si="14"/>
        <v>84</v>
      </c>
      <c r="M9">
        <f t="shared" si="15"/>
        <v>22</v>
      </c>
      <c r="O9" s="6">
        <f t="shared" si="1"/>
        <v>39</v>
      </c>
      <c r="P9" s="8">
        <f t="shared" si="11"/>
        <v>91</v>
      </c>
      <c r="Q9" s="35">
        <f t="shared" si="11"/>
        <v>56</v>
      </c>
      <c r="R9" s="35">
        <v>89</v>
      </c>
      <c r="S9" s="35">
        <f t="shared" si="12"/>
        <v>44</v>
      </c>
      <c r="T9" s="35">
        <f t="shared" si="13"/>
        <v>18</v>
      </c>
      <c r="V9">
        <f t="shared" si="2"/>
        <v>30</v>
      </c>
      <c r="AA9">
        <v>1</v>
      </c>
      <c r="AG9" s="5"/>
      <c r="AH9" s="5"/>
      <c r="AI9" s="16"/>
      <c r="AY9" s="5"/>
    </row>
    <row r="10" spans="1:51" x14ac:dyDescent="0.2">
      <c r="A10">
        <f t="shared" si="3"/>
        <v>9</v>
      </c>
      <c r="B10" s="8">
        <f t="shared" si="0"/>
        <v>1</v>
      </c>
      <c r="C10">
        <f t="shared" si="4"/>
        <v>14</v>
      </c>
      <c r="D10" s="5" t="str">
        <f t="shared" si="5"/>
        <v>25</v>
      </c>
      <c r="E10">
        <v>14</v>
      </c>
      <c r="F10" s="5" t="s">
        <v>448</v>
      </c>
      <c r="I10">
        <f t="shared" si="8"/>
        <v>42</v>
      </c>
      <c r="J10">
        <f t="shared" si="9"/>
        <v>61</v>
      </c>
      <c r="K10">
        <v>14</v>
      </c>
      <c r="L10">
        <f t="shared" si="14"/>
        <v>84</v>
      </c>
      <c r="M10">
        <f t="shared" si="15"/>
        <v>22</v>
      </c>
      <c r="O10" s="6">
        <f t="shared" si="1"/>
        <v>39</v>
      </c>
      <c r="P10" s="8">
        <f t="shared" si="11"/>
        <v>91</v>
      </c>
      <c r="Q10" s="35">
        <f t="shared" si="11"/>
        <v>56</v>
      </c>
      <c r="R10" s="35">
        <f t="shared" si="16"/>
        <v>89</v>
      </c>
      <c r="S10" s="35">
        <v>4</v>
      </c>
      <c r="T10" s="35">
        <v>25</v>
      </c>
      <c r="V10">
        <f t="shared" si="2"/>
        <v>30</v>
      </c>
      <c r="AA10">
        <v>1</v>
      </c>
      <c r="AG10" s="5"/>
      <c r="AH10" s="5"/>
      <c r="AI10" s="16"/>
      <c r="AY10" s="5"/>
    </row>
    <row r="11" spans="1:51" x14ac:dyDescent="0.2">
      <c r="A11">
        <f t="shared" si="3"/>
        <v>10</v>
      </c>
      <c r="B11" s="8">
        <f t="shared" si="0"/>
        <v>1</v>
      </c>
      <c r="C11">
        <f t="shared" si="4"/>
        <v>14</v>
      </c>
      <c r="D11" s="5" t="str">
        <f t="shared" si="5"/>
        <v>14</v>
      </c>
      <c r="E11">
        <v>14</v>
      </c>
      <c r="F11" s="5" t="s">
        <v>786</v>
      </c>
      <c r="I11">
        <v>70</v>
      </c>
      <c r="J11">
        <f t="shared" si="9"/>
        <v>61</v>
      </c>
      <c r="K11">
        <f t="shared" si="10"/>
        <v>14</v>
      </c>
      <c r="L11">
        <f t="shared" si="14"/>
        <v>84</v>
      </c>
      <c r="M11">
        <f t="shared" si="15"/>
        <v>22</v>
      </c>
      <c r="O11" s="6">
        <f t="shared" si="1"/>
        <v>39</v>
      </c>
      <c r="P11" s="8">
        <f t="shared" si="11"/>
        <v>91</v>
      </c>
      <c r="Q11" s="35">
        <f t="shared" si="11"/>
        <v>56</v>
      </c>
      <c r="R11" s="35">
        <f t="shared" si="16"/>
        <v>89</v>
      </c>
      <c r="S11" s="35">
        <f t="shared" si="12"/>
        <v>4</v>
      </c>
      <c r="T11" s="35">
        <f t="shared" si="13"/>
        <v>25</v>
      </c>
      <c r="V11">
        <f t="shared" si="2"/>
        <v>30</v>
      </c>
      <c r="AC11">
        <v>1</v>
      </c>
      <c r="AG11" s="5"/>
      <c r="AH11" s="5"/>
      <c r="AI11" s="16"/>
      <c r="AY11" s="5"/>
    </row>
    <row r="12" spans="1:51" x14ac:dyDescent="0.2">
      <c r="A12">
        <f t="shared" si="3"/>
        <v>11</v>
      </c>
      <c r="B12" s="8">
        <f t="shared" si="0"/>
        <v>1</v>
      </c>
      <c r="C12">
        <f t="shared" si="4"/>
        <v>14</v>
      </c>
      <c r="D12" s="5" t="str">
        <f t="shared" si="5"/>
        <v>01</v>
      </c>
      <c r="E12">
        <v>13</v>
      </c>
      <c r="F12" s="5" t="s">
        <v>672</v>
      </c>
      <c r="I12">
        <f t="shared" si="8"/>
        <v>70</v>
      </c>
      <c r="J12">
        <f t="shared" si="9"/>
        <v>61</v>
      </c>
      <c r="K12">
        <f t="shared" si="10"/>
        <v>14</v>
      </c>
      <c r="L12">
        <f t="shared" si="14"/>
        <v>84</v>
      </c>
      <c r="M12">
        <f t="shared" si="15"/>
        <v>22</v>
      </c>
      <c r="O12" s="6">
        <f t="shared" si="1"/>
        <v>39</v>
      </c>
      <c r="P12" s="8">
        <v>77</v>
      </c>
      <c r="Q12" s="35">
        <v>80</v>
      </c>
      <c r="R12" s="35">
        <f t="shared" si="16"/>
        <v>89</v>
      </c>
      <c r="S12" s="35">
        <f t="shared" si="12"/>
        <v>4</v>
      </c>
      <c r="T12" s="35">
        <f t="shared" si="13"/>
        <v>25</v>
      </c>
      <c r="V12">
        <f t="shared" si="2"/>
        <v>30</v>
      </c>
      <c r="AC12">
        <v>1</v>
      </c>
      <c r="AG12" s="5"/>
      <c r="AH12" s="5"/>
      <c r="AI12" s="16"/>
      <c r="AY12" s="5"/>
    </row>
    <row r="13" spans="1:51" x14ac:dyDescent="0.2">
      <c r="A13">
        <f t="shared" si="3"/>
        <v>12</v>
      </c>
      <c r="B13" s="8">
        <f t="shared" si="0"/>
        <v>1</v>
      </c>
      <c r="C13">
        <f t="shared" si="4"/>
        <v>13</v>
      </c>
      <c r="D13" s="5" t="str">
        <f t="shared" si="5"/>
        <v>45</v>
      </c>
      <c r="E13">
        <v>13</v>
      </c>
      <c r="F13" s="5" t="s">
        <v>621</v>
      </c>
      <c r="I13">
        <f t="shared" si="8"/>
        <v>70</v>
      </c>
      <c r="J13">
        <f t="shared" si="9"/>
        <v>61</v>
      </c>
      <c r="K13">
        <f t="shared" si="10"/>
        <v>14</v>
      </c>
      <c r="L13">
        <v>91</v>
      </c>
      <c r="M13">
        <v>9</v>
      </c>
      <c r="O13" s="6">
        <f t="shared" si="1"/>
        <v>39</v>
      </c>
      <c r="P13" s="8">
        <f t="shared" si="11"/>
        <v>77</v>
      </c>
      <c r="Q13" s="35">
        <f t="shared" si="11"/>
        <v>80</v>
      </c>
      <c r="R13" s="35">
        <f t="shared" si="16"/>
        <v>89</v>
      </c>
      <c r="S13" s="35">
        <f t="shared" si="12"/>
        <v>4</v>
      </c>
      <c r="T13" s="35">
        <f t="shared" si="13"/>
        <v>25</v>
      </c>
      <c r="V13">
        <f t="shared" si="2"/>
        <v>30</v>
      </c>
      <c r="Y13">
        <v>1</v>
      </c>
      <c r="AG13" s="5"/>
      <c r="AH13" s="5"/>
      <c r="AI13" s="16"/>
      <c r="AY13" s="5"/>
    </row>
    <row r="14" spans="1:51" x14ac:dyDescent="0.2">
      <c r="A14">
        <f t="shared" si="3"/>
        <v>13</v>
      </c>
      <c r="B14" s="8">
        <f t="shared" si="0"/>
        <v>1</v>
      </c>
      <c r="C14">
        <f t="shared" si="4"/>
        <v>13</v>
      </c>
      <c r="D14" s="5" t="str">
        <f t="shared" si="5"/>
        <v>17</v>
      </c>
      <c r="E14">
        <v>12</v>
      </c>
      <c r="F14" s="5" t="s">
        <v>776</v>
      </c>
      <c r="I14">
        <f t="shared" si="8"/>
        <v>70</v>
      </c>
      <c r="J14">
        <v>75</v>
      </c>
      <c r="K14">
        <f t="shared" si="10"/>
        <v>14</v>
      </c>
      <c r="L14">
        <f t="shared" si="14"/>
        <v>91</v>
      </c>
      <c r="M14">
        <f t="shared" si="15"/>
        <v>9</v>
      </c>
      <c r="O14" s="6">
        <f t="shared" si="1"/>
        <v>39</v>
      </c>
      <c r="P14" s="8">
        <f t="shared" si="11"/>
        <v>77</v>
      </c>
      <c r="Q14" s="35">
        <f t="shared" si="11"/>
        <v>80</v>
      </c>
      <c r="R14" s="35">
        <v>68</v>
      </c>
      <c r="S14" s="35">
        <f t="shared" si="12"/>
        <v>4</v>
      </c>
      <c r="T14" s="35">
        <f t="shared" si="13"/>
        <v>25</v>
      </c>
      <c r="V14">
        <f t="shared" si="2"/>
        <v>30</v>
      </c>
      <c r="AC14">
        <v>1</v>
      </c>
      <c r="AG14" s="5"/>
      <c r="AH14" s="5"/>
      <c r="AI14" s="16"/>
      <c r="AY14" s="5"/>
    </row>
    <row r="15" spans="1:51" x14ac:dyDescent="0.2">
      <c r="A15">
        <f t="shared" si="3"/>
        <v>14</v>
      </c>
      <c r="B15" s="8">
        <f t="shared" si="0"/>
        <v>1</v>
      </c>
      <c r="C15">
        <f t="shared" si="4"/>
        <v>12</v>
      </c>
      <c r="D15" s="5" t="str">
        <f t="shared" si="5"/>
        <v>36</v>
      </c>
      <c r="E15">
        <v>12</v>
      </c>
      <c r="F15" s="5" t="s">
        <v>742</v>
      </c>
      <c r="I15">
        <f t="shared" si="8"/>
        <v>70</v>
      </c>
      <c r="J15">
        <f t="shared" si="9"/>
        <v>75</v>
      </c>
      <c r="K15">
        <v>55</v>
      </c>
      <c r="L15">
        <f t="shared" si="14"/>
        <v>91</v>
      </c>
      <c r="M15">
        <f t="shared" si="15"/>
        <v>9</v>
      </c>
      <c r="O15" s="6">
        <f t="shared" si="1"/>
        <v>39</v>
      </c>
      <c r="P15" s="8">
        <f t="shared" si="11"/>
        <v>77</v>
      </c>
      <c r="Q15" s="35">
        <f t="shared" si="11"/>
        <v>80</v>
      </c>
      <c r="R15" s="35">
        <f t="shared" si="16"/>
        <v>68</v>
      </c>
      <c r="S15" s="35">
        <f t="shared" si="12"/>
        <v>4</v>
      </c>
      <c r="T15" s="35">
        <f t="shared" si="13"/>
        <v>25</v>
      </c>
      <c r="V15">
        <f t="shared" si="2"/>
        <v>30</v>
      </c>
      <c r="Y15">
        <v>1</v>
      </c>
      <c r="AG15" s="5"/>
      <c r="AH15" s="5"/>
      <c r="AI15" s="16"/>
      <c r="AY15" s="5"/>
    </row>
    <row r="16" spans="1:51" x14ac:dyDescent="0.2">
      <c r="A16">
        <f t="shared" si="3"/>
        <v>15</v>
      </c>
      <c r="B16" s="8">
        <f t="shared" si="0"/>
        <v>1</v>
      </c>
      <c r="C16">
        <f t="shared" si="4"/>
        <v>12</v>
      </c>
      <c r="D16" s="5" t="str">
        <f t="shared" si="5"/>
        <v>11</v>
      </c>
      <c r="E16">
        <v>11</v>
      </c>
      <c r="F16" s="5" t="s">
        <v>622</v>
      </c>
      <c r="I16">
        <v>42</v>
      </c>
      <c r="J16">
        <f t="shared" si="9"/>
        <v>75</v>
      </c>
      <c r="K16">
        <f t="shared" si="10"/>
        <v>55</v>
      </c>
      <c r="L16">
        <f t="shared" si="14"/>
        <v>91</v>
      </c>
      <c r="M16">
        <f t="shared" si="15"/>
        <v>9</v>
      </c>
      <c r="O16" s="6">
        <f t="shared" si="1"/>
        <v>39</v>
      </c>
      <c r="P16" s="8">
        <f t="shared" si="11"/>
        <v>77</v>
      </c>
      <c r="Q16" s="35">
        <v>13</v>
      </c>
      <c r="R16" s="35">
        <f t="shared" si="16"/>
        <v>68</v>
      </c>
      <c r="S16" s="35">
        <f t="shared" si="12"/>
        <v>4</v>
      </c>
      <c r="T16" s="35">
        <f t="shared" si="13"/>
        <v>25</v>
      </c>
      <c r="V16">
        <f t="shared" si="2"/>
        <v>30</v>
      </c>
      <c r="AA16">
        <v>1</v>
      </c>
      <c r="AG16" s="5"/>
      <c r="AH16" s="5"/>
      <c r="AI16" s="16"/>
      <c r="AY16" s="5"/>
    </row>
    <row r="17" spans="1:51" x14ac:dyDescent="0.2">
      <c r="A17">
        <f t="shared" si="3"/>
        <v>16</v>
      </c>
      <c r="B17" s="8">
        <f t="shared" si="0"/>
        <v>1</v>
      </c>
      <c r="C17">
        <f t="shared" si="4"/>
        <v>11</v>
      </c>
      <c r="D17" s="5" t="str">
        <f t="shared" si="5"/>
        <v>59</v>
      </c>
      <c r="E17">
        <v>11</v>
      </c>
      <c r="F17" s="5" t="s">
        <v>713</v>
      </c>
      <c r="I17">
        <f t="shared" si="8"/>
        <v>42</v>
      </c>
      <c r="J17">
        <f t="shared" si="9"/>
        <v>75</v>
      </c>
      <c r="K17">
        <f t="shared" si="10"/>
        <v>55</v>
      </c>
      <c r="L17">
        <f t="shared" si="14"/>
        <v>91</v>
      </c>
      <c r="M17">
        <f t="shared" si="15"/>
        <v>9</v>
      </c>
      <c r="O17" s="6">
        <f t="shared" si="1"/>
        <v>39</v>
      </c>
      <c r="P17" s="8">
        <f t="shared" si="11"/>
        <v>77</v>
      </c>
      <c r="Q17" s="35">
        <f t="shared" si="11"/>
        <v>13</v>
      </c>
      <c r="R17" s="35">
        <f t="shared" si="16"/>
        <v>68</v>
      </c>
      <c r="S17" s="35">
        <v>44</v>
      </c>
      <c r="T17" s="35">
        <v>18</v>
      </c>
      <c r="V17">
        <f t="shared" si="2"/>
        <v>30</v>
      </c>
      <c r="AA17">
        <v>1</v>
      </c>
      <c r="AG17" s="5"/>
      <c r="AH17" s="5"/>
      <c r="AI17" s="16"/>
      <c r="AY17" s="5"/>
    </row>
    <row r="18" spans="1:51" x14ac:dyDescent="0.2">
      <c r="A18">
        <f t="shared" si="3"/>
        <v>17</v>
      </c>
      <c r="B18" s="8">
        <f t="shared" si="0"/>
        <v>1</v>
      </c>
      <c r="C18">
        <f t="shared" si="4"/>
        <v>11</v>
      </c>
      <c r="D18" s="5" t="str">
        <f t="shared" si="5"/>
        <v>40</v>
      </c>
      <c r="E18">
        <v>11</v>
      </c>
      <c r="F18" s="5" t="s">
        <v>721</v>
      </c>
      <c r="I18">
        <f t="shared" si="8"/>
        <v>42</v>
      </c>
      <c r="J18">
        <v>24</v>
      </c>
      <c r="K18">
        <f t="shared" si="10"/>
        <v>55</v>
      </c>
      <c r="L18">
        <f t="shared" si="14"/>
        <v>91</v>
      </c>
      <c r="M18">
        <f t="shared" si="15"/>
        <v>9</v>
      </c>
      <c r="O18" s="6">
        <f t="shared" si="1"/>
        <v>39</v>
      </c>
      <c r="P18" s="8">
        <f t="shared" si="11"/>
        <v>77</v>
      </c>
      <c r="Q18" s="35">
        <f t="shared" si="11"/>
        <v>13</v>
      </c>
      <c r="R18" s="35">
        <f t="shared" si="16"/>
        <v>68</v>
      </c>
      <c r="S18" s="35">
        <f t="shared" si="12"/>
        <v>44</v>
      </c>
      <c r="T18" s="35">
        <f t="shared" si="13"/>
        <v>18</v>
      </c>
      <c r="V18">
        <f t="shared" si="2"/>
        <v>30</v>
      </c>
      <c r="Y18">
        <v>1</v>
      </c>
      <c r="AG18" s="5"/>
      <c r="AH18" s="5"/>
      <c r="AI18" s="16"/>
      <c r="AY18" s="5"/>
    </row>
    <row r="19" spans="1:51" x14ac:dyDescent="0.2">
      <c r="A19">
        <f t="shared" si="3"/>
        <v>18</v>
      </c>
      <c r="B19" s="8">
        <f t="shared" si="0"/>
        <v>1</v>
      </c>
      <c r="C19">
        <f t="shared" si="4"/>
        <v>11</v>
      </c>
      <c r="D19" s="5" t="str">
        <f t="shared" si="5"/>
        <v>30</v>
      </c>
      <c r="E19">
        <v>11</v>
      </c>
      <c r="F19" s="5" t="s">
        <v>738</v>
      </c>
      <c r="I19">
        <f t="shared" si="8"/>
        <v>42</v>
      </c>
      <c r="J19">
        <f t="shared" si="9"/>
        <v>24</v>
      </c>
      <c r="K19">
        <f t="shared" si="10"/>
        <v>55</v>
      </c>
      <c r="L19">
        <v>84</v>
      </c>
      <c r="M19">
        <f t="shared" si="15"/>
        <v>9</v>
      </c>
      <c r="O19" s="6">
        <f t="shared" si="1"/>
        <v>39</v>
      </c>
      <c r="P19" s="8">
        <f t="shared" si="11"/>
        <v>77</v>
      </c>
      <c r="Q19" s="35">
        <f t="shared" si="11"/>
        <v>13</v>
      </c>
      <c r="R19" s="35">
        <f t="shared" si="16"/>
        <v>68</v>
      </c>
      <c r="S19" s="35">
        <f t="shared" si="12"/>
        <v>44</v>
      </c>
      <c r="T19" s="35">
        <f t="shared" si="13"/>
        <v>18</v>
      </c>
      <c r="V19">
        <f t="shared" si="2"/>
        <v>30</v>
      </c>
      <c r="AC19">
        <v>1</v>
      </c>
      <c r="AG19" s="5"/>
      <c r="AH19" s="5"/>
      <c r="AI19" s="16"/>
      <c r="AY19" s="5"/>
    </row>
    <row r="20" spans="1:51" x14ac:dyDescent="0.2">
      <c r="A20">
        <f t="shared" si="3"/>
        <v>19</v>
      </c>
      <c r="B20" s="8">
        <f t="shared" si="0"/>
        <v>1</v>
      </c>
      <c r="C20">
        <f t="shared" si="4"/>
        <v>11</v>
      </c>
      <c r="D20" s="5" t="str">
        <f t="shared" si="5"/>
        <v>05</v>
      </c>
      <c r="E20">
        <v>10</v>
      </c>
      <c r="F20" s="5" t="s">
        <v>640</v>
      </c>
      <c r="I20">
        <f t="shared" si="8"/>
        <v>42</v>
      </c>
      <c r="J20">
        <f t="shared" si="9"/>
        <v>24</v>
      </c>
      <c r="K20">
        <f t="shared" si="10"/>
        <v>55</v>
      </c>
      <c r="L20">
        <f t="shared" si="14"/>
        <v>84</v>
      </c>
      <c r="M20">
        <v>22</v>
      </c>
      <c r="O20" s="6">
        <f t="shared" si="1"/>
        <v>39</v>
      </c>
      <c r="P20" s="8">
        <f t="shared" si="11"/>
        <v>77</v>
      </c>
      <c r="Q20" s="35">
        <f t="shared" si="11"/>
        <v>13</v>
      </c>
      <c r="R20" s="35">
        <v>56</v>
      </c>
      <c r="S20" s="35">
        <f t="shared" si="12"/>
        <v>44</v>
      </c>
      <c r="T20" s="35">
        <f t="shared" si="13"/>
        <v>18</v>
      </c>
      <c r="V20">
        <f t="shared" si="2"/>
        <v>30</v>
      </c>
      <c r="AA20">
        <v>1</v>
      </c>
      <c r="AG20" s="5"/>
      <c r="AH20" s="5"/>
      <c r="AI20" s="16"/>
      <c r="AY20" s="5"/>
    </row>
    <row r="21" spans="1:51" x14ac:dyDescent="0.2">
      <c r="A21">
        <f t="shared" si="3"/>
        <v>20</v>
      </c>
      <c r="B21" s="8">
        <f t="shared" si="0"/>
        <v>1</v>
      </c>
      <c r="C21">
        <f t="shared" si="4"/>
        <v>10</v>
      </c>
      <c r="D21" s="5" t="str">
        <f t="shared" si="5"/>
        <v>48</v>
      </c>
      <c r="E21">
        <v>10</v>
      </c>
      <c r="F21" s="5" t="s">
        <v>810</v>
      </c>
      <c r="I21">
        <f t="shared" si="8"/>
        <v>42</v>
      </c>
      <c r="J21">
        <f t="shared" si="9"/>
        <v>24</v>
      </c>
      <c r="K21">
        <f t="shared" si="10"/>
        <v>55</v>
      </c>
      <c r="L21">
        <f t="shared" si="14"/>
        <v>84</v>
      </c>
      <c r="M21">
        <f t="shared" si="15"/>
        <v>22</v>
      </c>
      <c r="O21" s="6">
        <f t="shared" si="1"/>
        <v>39</v>
      </c>
      <c r="P21" s="8">
        <v>3</v>
      </c>
      <c r="Q21" s="35">
        <f t="shared" si="11"/>
        <v>13</v>
      </c>
      <c r="R21" s="35">
        <f t="shared" si="16"/>
        <v>56</v>
      </c>
      <c r="S21" s="35">
        <f t="shared" si="12"/>
        <v>44</v>
      </c>
      <c r="T21" s="35">
        <f t="shared" si="13"/>
        <v>18</v>
      </c>
      <c r="V21">
        <f t="shared" si="2"/>
        <v>30</v>
      </c>
      <c r="Y21">
        <v>1</v>
      </c>
      <c r="AG21" s="5"/>
      <c r="AH21" s="5"/>
      <c r="AI21" s="16"/>
      <c r="AY21" s="5"/>
    </row>
    <row r="22" spans="1:51" x14ac:dyDescent="0.2">
      <c r="A22">
        <f t="shared" si="3"/>
        <v>21</v>
      </c>
      <c r="B22" s="8">
        <f t="shared" si="0"/>
        <v>1</v>
      </c>
      <c r="C22">
        <f t="shared" si="4"/>
        <v>10</v>
      </c>
      <c r="D22" s="5" t="str">
        <f t="shared" si="5"/>
        <v>44</v>
      </c>
      <c r="E22">
        <v>10</v>
      </c>
      <c r="F22" s="5" t="s">
        <v>768</v>
      </c>
      <c r="I22">
        <v>70</v>
      </c>
      <c r="J22">
        <f t="shared" si="9"/>
        <v>24</v>
      </c>
      <c r="K22">
        <f t="shared" si="10"/>
        <v>55</v>
      </c>
      <c r="L22">
        <f t="shared" si="14"/>
        <v>84</v>
      </c>
      <c r="M22">
        <f t="shared" si="15"/>
        <v>22</v>
      </c>
      <c r="O22" s="6">
        <f t="shared" si="1"/>
        <v>39</v>
      </c>
      <c r="P22" s="8">
        <f t="shared" si="11"/>
        <v>3</v>
      </c>
      <c r="Q22" s="35">
        <v>12</v>
      </c>
      <c r="R22" s="35">
        <f t="shared" si="16"/>
        <v>56</v>
      </c>
      <c r="S22" s="35">
        <f t="shared" si="12"/>
        <v>44</v>
      </c>
      <c r="T22" s="35">
        <f t="shared" si="13"/>
        <v>18</v>
      </c>
      <c r="V22">
        <f t="shared" si="2"/>
        <v>30</v>
      </c>
      <c r="AA22">
        <v>1</v>
      </c>
      <c r="AG22" s="5"/>
      <c r="AH22" s="5"/>
      <c r="AI22" s="16"/>
      <c r="AY22" s="5"/>
    </row>
    <row r="23" spans="1:51" x14ac:dyDescent="0.2">
      <c r="A23">
        <f t="shared" si="3"/>
        <v>22</v>
      </c>
      <c r="B23" s="8">
        <f t="shared" si="0"/>
        <v>1</v>
      </c>
      <c r="C23">
        <f t="shared" si="4"/>
        <v>10</v>
      </c>
      <c r="D23" s="5" t="str">
        <f t="shared" si="5"/>
        <v>13</v>
      </c>
      <c r="E23">
        <v>9</v>
      </c>
      <c r="F23" s="5" t="s">
        <v>719</v>
      </c>
      <c r="I23">
        <f t="shared" si="8"/>
        <v>70</v>
      </c>
      <c r="J23">
        <f t="shared" si="9"/>
        <v>24</v>
      </c>
      <c r="K23">
        <v>61</v>
      </c>
      <c r="L23">
        <f t="shared" si="14"/>
        <v>84</v>
      </c>
      <c r="M23">
        <f t="shared" si="15"/>
        <v>22</v>
      </c>
      <c r="O23" s="6">
        <f t="shared" si="1"/>
        <v>39</v>
      </c>
      <c r="P23" s="8">
        <f t="shared" si="11"/>
        <v>3</v>
      </c>
      <c r="Q23" s="35">
        <f t="shared" si="11"/>
        <v>12</v>
      </c>
      <c r="R23" s="35">
        <f t="shared" si="16"/>
        <v>56</v>
      </c>
      <c r="S23" s="35">
        <f t="shared" si="12"/>
        <v>44</v>
      </c>
      <c r="T23" s="35">
        <f t="shared" si="13"/>
        <v>18</v>
      </c>
      <c r="V23">
        <f t="shared" si="2"/>
        <v>30</v>
      </c>
      <c r="Y23">
        <v>1</v>
      </c>
      <c r="AG23" s="5"/>
      <c r="AH23" s="5"/>
      <c r="AI23" s="16"/>
      <c r="AY23" s="5"/>
    </row>
    <row r="24" spans="1:51" x14ac:dyDescent="0.2">
      <c r="A24">
        <f t="shared" si="3"/>
        <v>23</v>
      </c>
      <c r="B24" s="8">
        <f t="shared" si="0"/>
        <v>1</v>
      </c>
      <c r="C24">
        <f t="shared" si="4"/>
        <v>9</v>
      </c>
      <c r="D24" s="5" t="str">
        <f t="shared" si="5"/>
        <v>33</v>
      </c>
      <c r="E24">
        <v>9</v>
      </c>
      <c r="F24" s="5" t="s">
        <v>735</v>
      </c>
      <c r="I24">
        <f t="shared" si="8"/>
        <v>70</v>
      </c>
      <c r="J24">
        <f t="shared" si="9"/>
        <v>24</v>
      </c>
      <c r="K24">
        <f t="shared" si="10"/>
        <v>61</v>
      </c>
      <c r="L24">
        <v>91</v>
      </c>
      <c r="M24">
        <f t="shared" si="15"/>
        <v>22</v>
      </c>
      <c r="O24" s="6">
        <f t="shared" si="1"/>
        <v>39</v>
      </c>
      <c r="P24" s="8">
        <f t="shared" si="11"/>
        <v>3</v>
      </c>
      <c r="Q24" s="35">
        <f t="shared" si="11"/>
        <v>12</v>
      </c>
      <c r="R24" s="35">
        <f t="shared" si="16"/>
        <v>56</v>
      </c>
      <c r="S24" s="35">
        <f t="shared" si="12"/>
        <v>44</v>
      </c>
      <c r="T24" s="35">
        <f t="shared" si="13"/>
        <v>18</v>
      </c>
      <c r="V24">
        <f t="shared" si="2"/>
        <v>30</v>
      </c>
      <c r="AC24">
        <v>1</v>
      </c>
      <c r="AG24" s="5"/>
      <c r="AH24" s="5"/>
      <c r="AI24" s="16"/>
      <c r="AY24" s="5"/>
    </row>
    <row r="25" spans="1:51" x14ac:dyDescent="0.2">
      <c r="A25">
        <f t="shared" si="3"/>
        <v>24</v>
      </c>
      <c r="B25" s="8">
        <f t="shared" si="0"/>
        <v>1</v>
      </c>
      <c r="C25">
        <f t="shared" si="4"/>
        <v>9</v>
      </c>
      <c r="D25" s="5" t="str">
        <f t="shared" si="5"/>
        <v>09</v>
      </c>
      <c r="E25">
        <v>9</v>
      </c>
      <c r="F25" s="5" t="s">
        <v>738</v>
      </c>
      <c r="I25">
        <f t="shared" si="8"/>
        <v>70</v>
      </c>
      <c r="J25">
        <f t="shared" si="9"/>
        <v>24</v>
      </c>
      <c r="K25">
        <f t="shared" si="10"/>
        <v>61</v>
      </c>
      <c r="L25">
        <f t="shared" si="14"/>
        <v>91</v>
      </c>
      <c r="M25">
        <f t="shared" si="15"/>
        <v>22</v>
      </c>
      <c r="O25" s="6">
        <f t="shared" si="1"/>
        <v>39</v>
      </c>
      <c r="P25" s="8">
        <f t="shared" si="11"/>
        <v>3</v>
      </c>
      <c r="Q25" s="35">
        <f t="shared" si="11"/>
        <v>12</v>
      </c>
      <c r="R25" s="35">
        <f t="shared" si="16"/>
        <v>56</v>
      </c>
      <c r="S25" s="35">
        <v>4</v>
      </c>
      <c r="T25" s="35">
        <f t="shared" si="13"/>
        <v>18</v>
      </c>
      <c r="V25">
        <f t="shared" si="2"/>
        <v>30</v>
      </c>
      <c r="Y25">
        <v>1</v>
      </c>
      <c r="AG25" s="5"/>
      <c r="AH25" s="5"/>
      <c r="AI25" s="16"/>
      <c r="AY25" s="5"/>
    </row>
    <row r="26" spans="1:51" x14ac:dyDescent="0.2">
      <c r="A26">
        <f t="shared" si="3"/>
        <v>25</v>
      </c>
      <c r="B26" s="8">
        <f t="shared" si="0"/>
        <v>1</v>
      </c>
      <c r="C26">
        <f t="shared" si="4"/>
        <v>9</v>
      </c>
      <c r="D26" s="5" t="str">
        <f t="shared" si="5"/>
        <v>05</v>
      </c>
      <c r="E26">
        <v>8</v>
      </c>
      <c r="F26" s="5" t="s">
        <v>753</v>
      </c>
      <c r="H26" s="6" t="s">
        <v>374</v>
      </c>
      <c r="I26">
        <f t="shared" si="8"/>
        <v>70</v>
      </c>
      <c r="J26">
        <f t="shared" si="9"/>
        <v>24</v>
      </c>
      <c r="K26">
        <f t="shared" si="10"/>
        <v>61</v>
      </c>
      <c r="L26">
        <f t="shared" si="14"/>
        <v>91</v>
      </c>
      <c r="M26">
        <v>9</v>
      </c>
      <c r="O26" s="6">
        <f t="shared" si="1"/>
        <v>39</v>
      </c>
      <c r="P26" s="8">
        <f t="shared" si="11"/>
        <v>3</v>
      </c>
      <c r="Q26" s="35">
        <v>80</v>
      </c>
      <c r="R26" s="35">
        <v>89</v>
      </c>
      <c r="S26" s="35">
        <f t="shared" si="12"/>
        <v>4</v>
      </c>
      <c r="T26" s="35">
        <f t="shared" si="13"/>
        <v>18</v>
      </c>
      <c r="V26">
        <f t="shared" si="2"/>
        <v>30</v>
      </c>
      <c r="Y26">
        <v>1</v>
      </c>
      <c r="AG26" s="5"/>
      <c r="AH26" s="5"/>
      <c r="AI26" s="16"/>
      <c r="AY26" s="5"/>
    </row>
    <row r="27" spans="1:51" x14ac:dyDescent="0.2">
      <c r="A27">
        <f t="shared" si="3"/>
        <v>26</v>
      </c>
      <c r="B27" s="8">
        <f t="shared" si="0"/>
        <v>1</v>
      </c>
      <c r="C27">
        <f t="shared" si="4"/>
        <v>8</v>
      </c>
      <c r="D27" s="5" t="str">
        <f t="shared" si="5"/>
        <v>49</v>
      </c>
      <c r="E27">
        <v>7</v>
      </c>
      <c r="F27" s="5" t="s">
        <v>724</v>
      </c>
      <c r="G27" s="8" t="s">
        <v>322</v>
      </c>
      <c r="I27">
        <f t="shared" si="8"/>
        <v>70</v>
      </c>
      <c r="J27">
        <v>14</v>
      </c>
      <c r="K27">
        <f t="shared" si="10"/>
        <v>61</v>
      </c>
      <c r="L27">
        <f t="shared" si="14"/>
        <v>91</v>
      </c>
      <c r="M27">
        <f t="shared" si="15"/>
        <v>9</v>
      </c>
      <c r="O27" s="6">
        <f t="shared" si="1"/>
        <v>39</v>
      </c>
      <c r="P27" s="8">
        <v>91</v>
      </c>
      <c r="Q27" s="35">
        <f t="shared" si="11"/>
        <v>80</v>
      </c>
      <c r="R27" s="35">
        <f t="shared" si="16"/>
        <v>89</v>
      </c>
      <c r="S27" s="35">
        <f t="shared" si="12"/>
        <v>4</v>
      </c>
      <c r="T27" s="35">
        <v>25</v>
      </c>
      <c r="V27">
        <f t="shared" si="2"/>
        <v>30</v>
      </c>
      <c r="Y27">
        <v>1</v>
      </c>
      <c r="AG27" s="5"/>
      <c r="AH27" s="5"/>
      <c r="AI27" s="16"/>
      <c r="AY27" s="5"/>
    </row>
    <row r="28" spans="1:51" x14ac:dyDescent="0.2">
      <c r="A28">
        <f t="shared" si="3"/>
        <v>27</v>
      </c>
      <c r="B28" s="8">
        <f t="shared" si="0"/>
        <v>1</v>
      </c>
      <c r="C28">
        <f t="shared" si="4"/>
        <v>7</v>
      </c>
      <c r="D28" s="5" t="str">
        <f t="shared" si="5"/>
        <v>29</v>
      </c>
      <c r="E28">
        <v>7</v>
      </c>
      <c r="F28" s="5" t="s">
        <v>732</v>
      </c>
      <c r="I28">
        <v>42</v>
      </c>
      <c r="J28">
        <f t="shared" si="9"/>
        <v>14</v>
      </c>
      <c r="K28">
        <f t="shared" si="10"/>
        <v>61</v>
      </c>
      <c r="L28">
        <f t="shared" si="14"/>
        <v>91</v>
      </c>
      <c r="M28">
        <f t="shared" si="15"/>
        <v>9</v>
      </c>
      <c r="O28" s="6">
        <f t="shared" si="1"/>
        <v>39</v>
      </c>
      <c r="P28" s="8">
        <f t="shared" si="11"/>
        <v>91</v>
      </c>
      <c r="Q28" s="35">
        <f t="shared" si="11"/>
        <v>80</v>
      </c>
      <c r="R28" s="35">
        <f t="shared" si="16"/>
        <v>89</v>
      </c>
      <c r="S28" s="35">
        <f t="shared" si="12"/>
        <v>4</v>
      </c>
      <c r="T28" s="35">
        <f t="shared" si="13"/>
        <v>25</v>
      </c>
      <c r="V28">
        <f t="shared" si="2"/>
        <v>30</v>
      </c>
      <c r="Y28">
        <v>1</v>
      </c>
      <c r="AG28" s="5"/>
      <c r="AH28" s="5"/>
      <c r="AI28" s="16"/>
      <c r="AY28" s="5"/>
    </row>
    <row r="29" spans="1:51" x14ac:dyDescent="0.2">
      <c r="A29">
        <f t="shared" si="3"/>
        <v>28</v>
      </c>
      <c r="B29" s="8">
        <f t="shared" si="0"/>
        <v>1</v>
      </c>
      <c r="C29">
        <f t="shared" si="4"/>
        <v>7</v>
      </c>
      <c r="D29" s="5" t="str">
        <f t="shared" si="5"/>
        <v>15</v>
      </c>
      <c r="E29">
        <v>7</v>
      </c>
      <c r="F29" s="5" t="s">
        <v>801</v>
      </c>
      <c r="I29">
        <f t="shared" si="8"/>
        <v>42</v>
      </c>
      <c r="J29">
        <f t="shared" si="9"/>
        <v>14</v>
      </c>
      <c r="K29">
        <f t="shared" si="10"/>
        <v>61</v>
      </c>
      <c r="L29">
        <f t="shared" si="14"/>
        <v>91</v>
      </c>
      <c r="M29">
        <v>22</v>
      </c>
      <c r="O29" s="6">
        <f t="shared" si="1"/>
        <v>39</v>
      </c>
      <c r="P29" s="8">
        <f t="shared" si="11"/>
        <v>91</v>
      </c>
      <c r="Q29" s="35">
        <f t="shared" si="11"/>
        <v>80</v>
      </c>
      <c r="R29" s="35">
        <f t="shared" si="16"/>
        <v>89</v>
      </c>
      <c r="S29" s="35">
        <f t="shared" si="12"/>
        <v>4</v>
      </c>
      <c r="T29" s="35">
        <f t="shared" si="13"/>
        <v>25</v>
      </c>
      <c r="V29">
        <f t="shared" si="2"/>
        <v>30</v>
      </c>
      <c r="AC29">
        <v>1</v>
      </c>
      <c r="AG29" s="5"/>
      <c r="AH29" s="5"/>
      <c r="AI29" s="16"/>
      <c r="AY29" s="5"/>
    </row>
    <row r="30" spans="1:51" x14ac:dyDescent="0.2">
      <c r="A30">
        <f t="shared" si="3"/>
        <v>29</v>
      </c>
      <c r="B30" s="8">
        <f t="shared" si="0"/>
        <v>1</v>
      </c>
      <c r="C30">
        <f t="shared" si="4"/>
        <v>7</v>
      </c>
      <c r="D30" s="5" t="str">
        <f t="shared" si="5"/>
        <v>06</v>
      </c>
      <c r="E30">
        <v>6</v>
      </c>
      <c r="F30" s="5" t="s">
        <v>637</v>
      </c>
      <c r="I30">
        <f t="shared" si="8"/>
        <v>42</v>
      </c>
      <c r="J30">
        <f t="shared" si="9"/>
        <v>14</v>
      </c>
      <c r="K30">
        <v>75</v>
      </c>
      <c r="L30">
        <f t="shared" si="14"/>
        <v>91</v>
      </c>
      <c r="M30">
        <f t="shared" si="15"/>
        <v>22</v>
      </c>
      <c r="O30" s="6">
        <f t="shared" si="1"/>
        <v>39</v>
      </c>
      <c r="P30" s="8">
        <f t="shared" si="11"/>
        <v>91</v>
      </c>
      <c r="Q30" s="35">
        <v>13</v>
      </c>
      <c r="R30" s="35">
        <f t="shared" si="16"/>
        <v>89</v>
      </c>
      <c r="S30" s="35">
        <f t="shared" si="12"/>
        <v>4</v>
      </c>
      <c r="T30" s="35">
        <f t="shared" si="13"/>
        <v>25</v>
      </c>
      <c r="V30">
        <f t="shared" si="2"/>
        <v>30</v>
      </c>
      <c r="Y30">
        <v>1</v>
      </c>
      <c r="AG30" s="5"/>
      <c r="AH30" s="5"/>
      <c r="AI30" s="16"/>
      <c r="AY30" s="5"/>
    </row>
    <row r="31" spans="1:51" x14ac:dyDescent="0.2">
      <c r="A31">
        <f t="shared" si="3"/>
        <v>30</v>
      </c>
      <c r="B31" s="8">
        <f t="shared" si="0"/>
        <v>1</v>
      </c>
      <c r="C31">
        <f t="shared" si="4"/>
        <v>6</v>
      </c>
      <c r="D31" s="5" t="str">
        <f t="shared" si="5"/>
        <v>55</v>
      </c>
      <c r="E31">
        <v>6</v>
      </c>
      <c r="F31" s="5" t="s">
        <v>672</v>
      </c>
      <c r="I31">
        <f t="shared" si="8"/>
        <v>42</v>
      </c>
      <c r="J31">
        <v>55</v>
      </c>
      <c r="K31">
        <f t="shared" si="10"/>
        <v>75</v>
      </c>
      <c r="L31">
        <f t="shared" si="14"/>
        <v>91</v>
      </c>
      <c r="M31">
        <f t="shared" si="15"/>
        <v>22</v>
      </c>
      <c r="O31" s="6">
        <f t="shared" si="1"/>
        <v>39</v>
      </c>
      <c r="P31" s="8">
        <v>77</v>
      </c>
      <c r="Q31" s="35">
        <f t="shared" si="11"/>
        <v>13</v>
      </c>
      <c r="R31" s="35">
        <f t="shared" si="16"/>
        <v>89</v>
      </c>
      <c r="S31" s="35">
        <f t="shared" si="12"/>
        <v>4</v>
      </c>
      <c r="T31" s="35">
        <f t="shared" si="13"/>
        <v>25</v>
      </c>
      <c r="V31">
        <f t="shared" si="2"/>
        <v>30</v>
      </c>
      <c r="AA31">
        <v>1</v>
      </c>
      <c r="AG31" s="5"/>
      <c r="AH31" s="5"/>
      <c r="AI31" s="16"/>
      <c r="AY31" s="5"/>
    </row>
    <row r="32" spans="1:51" x14ac:dyDescent="0.2">
      <c r="A32">
        <f t="shared" si="3"/>
        <v>31</v>
      </c>
      <c r="B32" s="8">
        <f t="shared" si="0"/>
        <v>1</v>
      </c>
      <c r="C32">
        <f t="shared" si="4"/>
        <v>6</v>
      </c>
      <c r="D32" s="5" t="str">
        <f t="shared" si="5"/>
        <v>45</v>
      </c>
      <c r="E32">
        <v>6</v>
      </c>
      <c r="F32" s="5" t="s">
        <v>734</v>
      </c>
      <c r="H32" s="6" t="s">
        <v>328</v>
      </c>
      <c r="I32">
        <f t="shared" si="8"/>
        <v>42</v>
      </c>
      <c r="J32">
        <f t="shared" si="9"/>
        <v>55</v>
      </c>
      <c r="K32">
        <f t="shared" si="10"/>
        <v>75</v>
      </c>
      <c r="L32">
        <f t="shared" si="14"/>
        <v>91</v>
      </c>
      <c r="M32">
        <f t="shared" si="15"/>
        <v>22</v>
      </c>
      <c r="O32" s="6">
        <f t="shared" si="1"/>
        <v>39</v>
      </c>
      <c r="P32" s="8">
        <f t="shared" si="11"/>
        <v>77</v>
      </c>
      <c r="Q32" s="35">
        <f t="shared" si="11"/>
        <v>13</v>
      </c>
      <c r="R32" s="35">
        <v>68</v>
      </c>
      <c r="S32" s="35">
        <v>44</v>
      </c>
      <c r="T32" s="35">
        <v>18</v>
      </c>
      <c r="V32">
        <f t="shared" si="2"/>
        <v>30</v>
      </c>
      <c r="AA32">
        <v>1</v>
      </c>
      <c r="AG32" s="5"/>
      <c r="AH32" s="5"/>
      <c r="AI32" s="16"/>
      <c r="AY32" s="5"/>
    </row>
    <row r="33" spans="1:51" x14ac:dyDescent="0.2">
      <c r="A33">
        <f t="shared" si="3"/>
        <v>32</v>
      </c>
      <c r="B33" s="8">
        <f t="shared" si="0"/>
        <v>1</v>
      </c>
      <c r="C33">
        <f t="shared" si="4"/>
        <v>6</v>
      </c>
      <c r="D33" s="5" t="str">
        <f t="shared" si="5"/>
        <v>10</v>
      </c>
      <c r="E33">
        <v>4</v>
      </c>
      <c r="F33" s="5" t="s">
        <v>638</v>
      </c>
      <c r="G33" s="8" t="s">
        <v>321</v>
      </c>
      <c r="H33" s="6" t="s">
        <v>326</v>
      </c>
      <c r="I33">
        <f t="shared" si="8"/>
        <v>42</v>
      </c>
      <c r="J33">
        <f t="shared" si="9"/>
        <v>55</v>
      </c>
      <c r="L33">
        <f t="shared" si="14"/>
        <v>91</v>
      </c>
      <c r="M33">
        <f t="shared" si="15"/>
        <v>22</v>
      </c>
      <c r="O33" s="6">
        <f t="shared" si="1"/>
        <v>39</v>
      </c>
      <c r="P33" s="8">
        <f t="shared" si="11"/>
        <v>77</v>
      </c>
      <c r="Q33" s="35">
        <f t="shared" si="11"/>
        <v>13</v>
      </c>
      <c r="R33" s="35">
        <f t="shared" si="16"/>
        <v>68</v>
      </c>
      <c r="S33" s="35">
        <f t="shared" si="12"/>
        <v>44</v>
      </c>
      <c r="T33" s="35">
        <f t="shared" si="13"/>
        <v>18</v>
      </c>
      <c r="V33">
        <f t="shared" si="2"/>
        <v>30</v>
      </c>
      <c r="AC33">
        <v>1</v>
      </c>
      <c r="AG33" s="5"/>
      <c r="AH33" s="5"/>
      <c r="AI33" s="16"/>
      <c r="AY33" s="5"/>
    </row>
    <row r="34" spans="1:51" x14ac:dyDescent="0.2">
      <c r="A34">
        <f t="shared" si="3"/>
        <v>33</v>
      </c>
      <c r="B34" s="8">
        <f t="shared" si="0"/>
        <v>1</v>
      </c>
      <c r="C34">
        <f t="shared" si="4"/>
        <v>4</v>
      </c>
      <c r="D34" s="5" t="str">
        <f t="shared" si="5"/>
        <v>57</v>
      </c>
      <c r="E34">
        <v>3</v>
      </c>
      <c r="F34" s="5" t="s">
        <v>637</v>
      </c>
      <c r="G34" s="8" t="s">
        <v>322</v>
      </c>
      <c r="I34">
        <v>42</v>
      </c>
      <c r="J34">
        <v>24</v>
      </c>
      <c r="L34">
        <v>84</v>
      </c>
      <c r="M34">
        <v>22</v>
      </c>
      <c r="O34" s="6">
        <f t="shared" si="1"/>
        <v>39</v>
      </c>
      <c r="P34" s="8">
        <f t="shared" si="11"/>
        <v>77</v>
      </c>
      <c r="Q34" s="35">
        <f t="shared" si="11"/>
        <v>13</v>
      </c>
      <c r="R34" s="35">
        <f t="shared" si="16"/>
        <v>68</v>
      </c>
      <c r="S34" s="35">
        <f t="shared" si="12"/>
        <v>44</v>
      </c>
      <c r="T34" s="35">
        <f t="shared" si="13"/>
        <v>18</v>
      </c>
      <c r="V34">
        <f t="shared" si="2"/>
        <v>30</v>
      </c>
      <c r="Y34">
        <v>1</v>
      </c>
      <c r="AG34" s="5"/>
      <c r="AH34" s="5"/>
      <c r="AI34" s="16"/>
      <c r="AY34" s="5"/>
    </row>
    <row r="35" spans="1:51" x14ac:dyDescent="0.2">
      <c r="A35">
        <f t="shared" si="3"/>
        <v>34</v>
      </c>
      <c r="B35" s="8">
        <f t="shared" si="0"/>
        <v>1</v>
      </c>
      <c r="C35">
        <f t="shared" si="4"/>
        <v>3</v>
      </c>
      <c r="D35" s="5" t="str">
        <f t="shared" si="5"/>
        <v>55</v>
      </c>
      <c r="E35">
        <v>3</v>
      </c>
      <c r="F35" s="5" t="s">
        <v>713</v>
      </c>
      <c r="I35">
        <f t="shared" si="8"/>
        <v>42</v>
      </c>
      <c r="J35">
        <f t="shared" si="9"/>
        <v>24</v>
      </c>
      <c r="L35">
        <f t="shared" si="14"/>
        <v>84</v>
      </c>
      <c r="M35">
        <v>9</v>
      </c>
      <c r="O35" s="6">
        <f t="shared" si="1"/>
        <v>39</v>
      </c>
      <c r="P35" s="8">
        <f t="shared" si="11"/>
        <v>77</v>
      </c>
      <c r="Q35" s="35">
        <f t="shared" si="11"/>
        <v>13</v>
      </c>
      <c r="R35" s="35">
        <f t="shared" si="16"/>
        <v>68</v>
      </c>
      <c r="S35" s="35">
        <f t="shared" si="12"/>
        <v>44</v>
      </c>
      <c r="T35" s="35">
        <f t="shared" si="13"/>
        <v>18</v>
      </c>
      <c r="V35">
        <f t="shared" si="2"/>
        <v>30</v>
      </c>
      <c r="AC35">
        <v>1</v>
      </c>
      <c r="AG35" s="5"/>
      <c r="AH35" s="5"/>
      <c r="AI35" s="16"/>
      <c r="AY35" s="5"/>
    </row>
    <row r="36" spans="1:51" x14ac:dyDescent="0.2">
      <c r="A36">
        <f t="shared" si="3"/>
        <v>35</v>
      </c>
      <c r="B36" s="8">
        <f t="shared" si="0"/>
        <v>1</v>
      </c>
      <c r="C36">
        <f t="shared" si="4"/>
        <v>3</v>
      </c>
      <c r="D36" s="5" t="str">
        <f t="shared" si="5"/>
        <v>40</v>
      </c>
      <c r="E36">
        <v>3</v>
      </c>
      <c r="F36" s="5" t="s">
        <v>776</v>
      </c>
      <c r="I36">
        <f t="shared" si="8"/>
        <v>42</v>
      </c>
      <c r="J36">
        <f t="shared" si="9"/>
        <v>24</v>
      </c>
      <c r="L36">
        <f t="shared" si="14"/>
        <v>84</v>
      </c>
      <c r="M36">
        <f t="shared" si="15"/>
        <v>9</v>
      </c>
      <c r="O36" s="6">
        <f t="shared" si="1"/>
        <v>39</v>
      </c>
      <c r="P36" s="8">
        <v>3</v>
      </c>
      <c r="Q36" s="35">
        <v>12</v>
      </c>
      <c r="R36" s="35">
        <f t="shared" si="16"/>
        <v>68</v>
      </c>
      <c r="S36" s="35">
        <f t="shared" si="12"/>
        <v>44</v>
      </c>
      <c r="T36" s="35">
        <f t="shared" si="13"/>
        <v>18</v>
      </c>
      <c r="V36">
        <f t="shared" si="2"/>
        <v>30</v>
      </c>
      <c r="Y36">
        <v>1</v>
      </c>
      <c r="AG36" s="5"/>
      <c r="AH36" s="5"/>
      <c r="AI36" s="16"/>
      <c r="AY36" s="5"/>
    </row>
    <row r="37" spans="1:51" x14ac:dyDescent="0.2">
      <c r="A37">
        <f t="shared" si="3"/>
        <v>36</v>
      </c>
      <c r="B37" s="8">
        <f t="shared" si="0"/>
        <v>1</v>
      </c>
      <c r="C37">
        <f t="shared" si="4"/>
        <v>3</v>
      </c>
      <c r="D37" s="5" t="str">
        <f t="shared" si="5"/>
        <v>36</v>
      </c>
      <c r="E37">
        <v>3</v>
      </c>
      <c r="F37" s="5" t="s">
        <v>779</v>
      </c>
      <c r="I37">
        <v>70</v>
      </c>
      <c r="J37">
        <f t="shared" si="9"/>
        <v>24</v>
      </c>
      <c r="L37">
        <f t="shared" si="14"/>
        <v>84</v>
      </c>
      <c r="M37">
        <f t="shared" si="15"/>
        <v>9</v>
      </c>
      <c r="O37" s="6">
        <f t="shared" si="1"/>
        <v>39</v>
      </c>
      <c r="P37" s="8">
        <f t="shared" si="11"/>
        <v>3</v>
      </c>
      <c r="Q37" s="35">
        <f t="shared" si="11"/>
        <v>12</v>
      </c>
      <c r="R37" s="35">
        <v>56</v>
      </c>
      <c r="S37" s="35">
        <v>44</v>
      </c>
      <c r="T37" s="35">
        <f t="shared" si="13"/>
        <v>18</v>
      </c>
      <c r="V37">
        <f t="shared" si="2"/>
        <v>30</v>
      </c>
      <c r="Y37">
        <v>1</v>
      </c>
      <c r="AG37" s="5"/>
      <c r="AH37" s="5"/>
      <c r="AI37" s="16"/>
      <c r="AY37" s="5"/>
    </row>
    <row r="38" spans="1:51" x14ac:dyDescent="0.2">
      <c r="A38">
        <f t="shared" si="3"/>
        <v>37</v>
      </c>
      <c r="B38" s="8">
        <f t="shared" si="0"/>
        <v>1</v>
      </c>
      <c r="C38">
        <f t="shared" si="4"/>
        <v>3</v>
      </c>
      <c r="D38" s="5" t="str">
        <f t="shared" si="5"/>
        <v>32</v>
      </c>
      <c r="E38">
        <v>3</v>
      </c>
      <c r="F38" s="5" t="s">
        <v>759</v>
      </c>
      <c r="I38">
        <f t="shared" si="8"/>
        <v>70</v>
      </c>
      <c r="J38">
        <f t="shared" si="9"/>
        <v>24</v>
      </c>
      <c r="L38">
        <f t="shared" si="14"/>
        <v>84</v>
      </c>
      <c r="M38">
        <f t="shared" si="15"/>
        <v>9</v>
      </c>
      <c r="O38" s="6">
        <f t="shared" si="1"/>
        <v>39</v>
      </c>
      <c r="P38" s="8">
        <f t="shared" si="11"/>
        <v>3</v>
      </c>
      <c r="Q38" s="35">
        <f t="shared" si="11"/>
        <v>12</v>
      </c>
      <c r="R38" s="35">
        <f t="shared" si="16"/>
        <v>56</v>
      </c>
      <c r="S38" s="35">
        <v>4</v>
      </c>
      <c r="T38" s="35">
        <f t="shared" si="13"/>
        <v>18</v>
      </c>
      <c r="V38">
        <f t="shared" si="2"/>
        <v>30</v>
      </c>
      <c r="AA38">
        <v>1</v>
      </c>
      <c r="AG38" s="5"/>
      <c r="AH38" s="5"/>
      <c r="AI38" s="16"/>
      <c r="AY38" s="5"/>
    </row>
    <row r="39" spans="1:51" x14ac:dyDescent="0.2">
      <c r="A39">
        <f t="shared" si="3"/>
        <v>38</v>
      </c>
      <c r="B39" s="8">
        <f t="shared" si="0"/>
        <v>1</v>
      </c>
      <c r="C39">
        <f t="shared" si="4"/>
        <v>3</v>
      </c>
      <c r="D39" s="5" t="str">
        <f t="shared" si="5"/>
        <v>25</v>
      </c>
      <c r="E39">
        <v>2</v>
      </c>
      <c r="F39" s="5" t="s">
        <v>753</v>
      </c>
      <c r="I39">
        <f t="shared" si="8"/>
        <v>70</v>
      </c>
      <c r="J39">
        <f t="shared" si="9"/>
        <v>24</v>
      </c>
      <c r="L39">
        <f t="shared" si="14"/>
        <v>84</v>
      </c>
      <c r="M39">
        <f t="shared" si="15"/>
        <v>9</v>
      </c>
      <c r="O39" s="6">
        <f t="shared" si="1"/>
        <v>39</v>
      </c>
      <c r="P39" s="8">
        <f t="shared" si="11"/>
        <v>3</v>
      </c>
      <c r="Q39" s="35">
        <f t="shared" si="11"/>
        <v>12</v>
      </c>
      <c r="R39" s="35">
        <f t="shared" si="16"/>
        <v>56</v>
      </c>
      <c r="S39" s="35">
        <f t="shared" si="12"/>
        <v>4</v>
      </c>
      <c r="T39" s="35">
        <v>25</v>
      </c>
      <c r="V39">
        <f t="shared" si="2"/>
        <v>30</v>
      </c>
      <c r="Y39">
        <v>1</v>
      </c>
      <c r="AG39" s="5"/>
      <c r="AH39" s="5"/>
      <c r="AI39" s="16"/>
      <c r="AY39" s="5"/>
    </row>
    <row r="40" spans="1:51" x14ac:dyDescent="0.2">
      <c r="A40">
        <f t="shared" si="3"/>
        <v>39</v>
      </c>
      <c r="B40" s="8">
        <f t="shared" si="0"/>
        <v>1</v>
      </c>
      <c r="C40">
        <f t="shared" si="4"/>
        <v>2</v>
      </c>
      <c r="D40" s="5" t="str">
        <f t="shared" si="5"/>
        <v>49</v>
      </c>
      <c r="E40">
        <v>2</v>
      </c>
      <c r="F40" s="5" t="s">
        <v>447</v>
      </c>
      <c r="H40" s="6" t="s">
        <v>326</v>
      </c>
      <c r="I40">
        <f t="shared" si="8"/>
        <v>70</v>
      </c>
      <c r="J40">
        <f t="shared" si="9"/>
        <v>24</v>
      </c>
      <c r="K40">
        <v>91</v>
      </c>
      <c r="L40">
        <f t="shared" si="14"/>
        <v>84</v>
      </c>
      <c r="M40">
        <f t="shared" si="15"/>
        <v>9</v>
      </c>
      <c r="O40" s="6">
        <f t="shared" si="1"/>
        <v>39</v>
      </c>
      <c r="P40" s="8">
        <f t="shared" si="11"/>
        <v>3</v>
      </c>
      <c r="Q40" s="35">
        <f t="shared" si="11"/>
        <v>12</v>
      </c>
      <c r="R40" s="35">
        <f t="shared" si="16"/>
        <v>56</v>
      </c>
      <c r="S40" s="35">
        <f t="shared" si="12"/>
        <v>4</v>
      </c>
      <c r="T40" s="35">
        <f t="shared" si="13"/>
        <v>25</v>
      </c>
      <c r="V40">
        <f t="shared" si="2"/>
        <v>30</v>
      </c>
      <c r="Y40">
        <v>1</v>
      </c>
      <c r="AG40" s="5"/>
      <c r="AH40" s="5"/>
      <c r="AI40" s="16"/>
      <c r="AY40" s="5"/>
    </row>
    <row r="41" spans="1:51" x14ac:dyDescent="0.2">
      <c r="A41">
        <f t="shared" si="3"/>
        <v>40</v>
      </c>
      <c r="B41" s="8">
        <f t="shared" si="0"/>
        <v>1</v>
      </c>
      <c r="C41">
        <f t="shared" si="4"/>
        <v>2</v>
      </c>
      <c r="D41" s="5" t="str">
        <f t="shared" si="5"/>
        <v>07</v>
      </c>
      <c r="E41">
        <v>0</v>
      </c>
      <c r="F41" s="5" t="s">
        <v>717</v>
      </c>
      <c r="G41" s="8" t="s">
        <v>322</v>
      </c>
      <c r="H41" s="6" t="s">
        <v>374</v>
      </c>
      <c r="I41">
        <v>42</v>
      </c>
      <c r="J41">
        <v>14</v>
      </c>
      <c r="K41">
        <v>61</v>
      </c>
      <c r="L41">
        <v>22</v>
      </c>
      <c r="M41">
        <f t="shared" si="15"/>
        <v>9</v>
      </c>
      <c r="O41" s="6">
        <f t="shared" si="1"/>
        <v>39</v>
      </c>
      <c r="P41" s="8">
        <v>91</v>
      </c>
      <c r="Q41" s="35">
        <v>80</v>
      </c>
      <c r="R41" s="35">
        <v>89</v>
      </c>
      <c r="S41" s="35">
        <f t="shared" si="12"/>
        <v>4</v>
      </c>
      <c r="T41" s="35">
        <f t="shared" si="13"/>
        <v>25</v>
      </c>
      <c r="V41">
        <f t="shared" si="2"/>
        <v>30</v>
      </c>
      <c r="Y41">
        <v>1</v>
      </c>
      <c r="AG41" s="5"/>
      <c r="AH41" s="5"/>
      <c r="AI41" s="16"/>
      <c r="AY41" s="5"/>
    </row>
    <row r="42" spans="1:51" x14ac:dyDescent="0.2">
      <c r="A42">
        <f t="shared" si="3"/>
        <v>41</v>
      </c>
      <c r="B42" s="8">
        <f t="shared" si="0"/>
        <v>1</v>
      </c>
      <c r="C42">
        <f t="shared" si="4"/>
        <v>0</v>
      </c>
      <c r="D42" s="5" t="str">
        <f t="shared" si="5"/>
        <v>35</v>
      </c>
      <c r="E42">
        <v>0</v>
      </c>
      <c r="F42" s="5" t="s">
        <v>918</v>
      </c>
      <c r="G42" s="8" t="s">
        <v>322</v>
      </c>
      <c r="H42" s="6" t="s">
        <v>325</v>
      </c>
      <c r="I42">
        <f t="shared" si="8"/>
        <v>42</v>
      </c>
      <c r="J42">
        <f t="shared" si="9"/>
        <v>14</v>
      </c>
      <c r="K42">
        <f t="shared" si="10"/>
        <v>61</v>
      </c>
      <c r="L42">
        <f t="shared" si="14"/>
        <v>22</v>
      </c>
      <c r="M42">
        <f t="shared" si="15"/>
        <v>9</v>
      </c>
      <c r="O42" s="6">
        <f t="shared" si="1"/>
        <v>39</v>
      </c>
      <c r="P42" s="8">
        <v>77</v>
      </c>
      <c r="Q42" s="35">
        <v>13</v>
      </c>
      <c r="R42" s="35">
        <v>68</v>
      </c>
      <c r="S42" s="35">
        <f t="shared" si="12"/>
        <v>4</v>
      </c>
      <c r="T42" s="35">
        <f t="shared" si="13"/>
        <v>25</v>
      </c>
      <c r="V42">
        <f t="shared" si="2"/>
        <v>30</v>
      </c>
      <c r="Y42">
        <v>1</v>
      </c>
      <c r="AG42" s="5"/>
      <c r="AH42" s="5"/>
      <c r="AI42" s="16"/>
      <c r="AY42" s="5"/>
    </row>
    <row r="43" spans="1:51" x14ac:dyDescent="0.2">
      <c r="A43">
        <f t="shared" si="3"/>
        <v>42</v>
      </c>
      <c r="B43" s="8">
        <v>1</v>
      </c>
      <c r="G43" s="8" t="s">
        <v>426</v>
      </c>
      <c r="Q43" s="35"/>
      <c r="R43" s="35"/>
      <c r="S43" s="35"/>
      <c r="T43" s="35"/>
      <c r="AG43" s="5"/>
      <c r="AH43" s="5"/>
      <c r="AI43" s="16"/>
      <c r="AY43" s="5"/>
    </row>
    <row r="44" spans="1:51" x14ac:dyDescent="0.2">
      <c r="A44">
        <f t="shared" si="3"/>
        <v>43</v>
      </c>
      <c r="B44" s="8">
        <f t="shared" si="0"/>
        <v>2</v>
      </c>
      <c r="C44">
        <f t="shared" si="4"/>
        <v>18</v>
      </c>
      <c r="D44" s="5">
        <f t="shared" si="5"/>
        <v>0</v>
      </c>
      <c r="E44">
        <v>17</v>
      </c>
      <c r="F44" s="5" t="s">
        <v>782</v>
      </c>
      <c r="G44" s="8" t="s">
        <v>317</v>
      </c>
      <c r="H44" s="6" t="s">
        <v>374</v>
      </c>
      <c r="I44">
        <v>70</v>
      </c>
      <c r="J44">
        <v>14</v>
      </c>
      <c r="K44">
        <v>55</v>
      </c>
      <c r="L44">
        <v>91</v>
      </c>
      <c r="M44">
        <v>84</v>
      </c>
      <c r="O44" s="6">
        <v>39</v>
      </c>
      <c r="P44" s="8">
        <v>77</v>
      </c>
      <c r="Q44" s="35">
        <v>13</v>
      </c>
      <c r="R44" s="35">
        <v>68</v>
      </c>
      <c r="S44" s="35">
        <v>44</v>
      </c>
      <c r="T44" s="35">
        <v>18</v>
      </c>
      <c r="V44">
        <v>30</v>
      </c>
      <c r="Y44">
        <v>1</v>
      </c>
      <c r="AG44" s="5"/>
      <c r="AH44" s="5"/>
      <c r="AI44" s="16"/>
      <c r="AY44" s="5"/>
    </row>
    <row r="45" spans="1:51" x14ac:dyDescent="0.2">
      <c r="A45">
        <f t="shared" si="3"/>
        <v>44</v>
      </c>
      <c r="B45" s="8">
        <f t="shared" si="0"/>
        <v>2</v>
      </c>
      <c r="C45">
        <f t="shared" si="4"/>
        <v>17</v>
      </c>
      <c r="D45" s="5" t="str">
        <f t="shared" si="5"/>
        <v>18</v>
      </c>
      <c r="E45">
        <v>16</v>
      </c>
      <c r="F45" s="5" t="s">
        <v>791</v>
      </c>
      <c r="G45" s="8" t="s">
        <v>322</v>
      </c>
      <c r="H45" s="6" t="s">
        <v>326</v>
      </c>
      <c r="I45">
        <f t="shared" si="8"/>
        <v>70</v>
      </c>
      <c r="J45">
        <v>75</v>
      </c>
      <c r="K45">
        <f t="shared" si="10"/>
        <v>55</v>
      </c>
      <c r="L45">
        <f t="shared" si="14"/>
        <v>91</v>
      </c>
      <c r="M45">
        <f t="shared" si="15"/>
        <v>84</v>
      </c>
      <c r="O45" s="6">
        <f t="shared" si="1"/>
        <v>39</v>
      </c>
      <c r="P45" s="8">
        <f t="shared" si="11"/>
        <v>77</v>
      </c>
      <c r="Q45" s="35">
        <f t="shared" si="11"/>
        <v>13</v>
      </c>
      <c r="R45" s="35">
        <f t="shared" si="16"/>
        <v>68</v>
      </c>
      <c r="S45" s="35">
        <f t="shared" si="12"/>
        <v>44</v>
      </c>
      <c r="T45" s="35">
        <f t="shared" si="13"/>
        <v>18</v>
      </c>
      <c r="V45">
        <f t="shared" si="2"/>
        <v>30</v>
      </c>
      <c r="Y45">
        <v>1</v>
      </c>
      <c r="AG45" s="5"/>
      <c r="AH45" s="5"/>
      <c r="AI45" s="16"/>
      <c r="AY45" s="5"/>
    </row>
    <row r="46" spans="1:51" x14ac:dyDescent="0.2">
      <c r="A46">
        <f t="shared" si="3"/>
        <v>45</v>
      </c>
      <c r="B46" s="8">
        <f t="shared" si="0"/>
        <v>2</v>
      </c>
      <c r="C46">
        <f t="shared" si="4"/>
        <v>16</v>
      </c>
      <c r="D46" s="5" t="str">
        <f t="shared" si="5"/>
        <v>31</v>
      </c>
      <c r="E46">
        <v>15</v>
      </c>
      <c r="F46" s="5" t="s">
        <v>719</v>
      </c>
      <c r="G46" s="8" t="s">
        <v>322</v>
      </c>
      <c r="H46" s="6" t="s">
        <v>375</v>
      </c>
      <c r="I46">
        <f t="shared" si="8"/>
        <v>70</v>
      </c>
      <c r="J46">
        <f t="shared" si="9"/>
        <v>75</v>
      </c>
      <c r="K46">
        <f t="shared" si="10"/>
        <v>55</v>
      </c>
      <c r="L46">
        <f t="shared" si="14"/>
        <v>91</v>
      </c>
      <c r="M46">
        <f t="shared" si="15"/>
        <v>84</v>
      </c>
      <c r="O46" s="6">
        <f t="shared" si="1"/>
        <v>39</v>
      </c>
      <c r="P46" s="8">
        <v>3</v>
      </c>
      <c r="Q46" s="35">
        <v>12</v>
      </c>
      <c r="R46" s="35">
        <v>56</v>
      </c>
      <c r="S46" s="35">
        <f t="shared" si="12"/>
        <v>44</v>
      </c>
      <c r="T46" s="35">
        <f t="shared" si="13"/>
        <v>18</v>
      </c>
      <c r="V46">
        <f t="shared" si="2"/>
        <v>30</v>
      </c>
      <c r="AA46">
        <v>1</v>
      </c>
      <c r="AG46" s="5"/>
      <c r="AH46" s="5"/>
      <c r="AI46" s="16"/>
      <c r="AY46" s="5"/>
    </row>
    <row r="47" spans="1:51" x14ac:dyDescent="0.2">
      <c r="A47">
        <f t="shared" si="3"/>
        <v>46</v>
      </c>
      <c r="B47" s="8">
        <f t="shared" si="0"/>
        <v>2</v>
      </c>
      <c r="C47">
        <f t="shared" si="4"/>
        <v>15</v>
      </c>
      <c r="D47" s="5" t="str">
        <f t="shared" si="5"/>
        <v>33</v>
      </c>
      <c r="E47">
        <v>14</v>
      </c>
      <c r="F47" s="5" t="s">
        <v>776</v>
      </c>
      <c r="G47" s="8" t="s">
        <v>322</v>
      </c>
      <c r="H47" s="6" t="s">
        <v>334</v>
      </c>
      <c r="I47">
        <v>42</v>
      </c>
      <c r="J47">
        <v>24</v>
      </c>
      <c r="K47">
        <v>61</v>
      </c>
      <c r="L47">
        <v>22</v>
      </c>
      <c r="M47">
        <v>9</v>
      </c>
      <c r="O47" s="6">
        <f t="shared" si="1"/>
        <v>39</v>
      </c>
      <c r="P47" s="8">
        <f t="shared" si="11"/>
        <v>3</v>
      </c>
      <c r="Q47" s="35">
        <f t="shared" si="11"/>
        <v>12</v>
      </c>
      <c r="R47" s="35">
        <f t="shared" si="16"/>
        <v>56</v>
      </c>
      <c r="S47" s="35">
        <v>4</v>
      </c>
      <c r="T47" s="35">
        <v>25</v>
      </c>
      <c r="V47">
        <f t="shared" si="2"/>
        <v>30</v>
      </c>
      <c r="Y47">
        <v>1</v>
      </c>
      <c r="AG47" s="5"/>
      <c r="AH47" s="5"/>
      <c r="AI47" s="16"/>
      <c r="AY47" s="5"/>
    </row>
    <row r="48" spans="1:51" x14ac:dyDescent="0.2">
      <c r="A48">
        <f t="shared" si="3"/>
        <v>47</v>
      </c>
      <c r="B48" s="8">
        <f t="shared" si="0"/>
        <v>2</v>
      </c>
      <c r="C48">
        <f t="shared" si="4"/>
        <v>14</v>
      </c>
      <c r="D48" s="5" t="str">
        <f t="shared" si="5"/>
        <v>36</v>
      </c>
      <c r="E48">
        <v>12</v>
      </c>
      <c r="F48" s="5" t="s">
        <v>789</v>
      </c>
      <c r="I48">
        <f t="shared" si="8"/>
        <v>42</v>
      </c>
      <c r="J48">
        <f t="shared" si="9"/>
        <v>24</v>
      </c>
      <c r="K48">
        <f t="shared" si="10"/>
        <v>61</v>
      </c>
      <c r="L48">
        <f t="shared" si="14"/>
        <v>22</v>
      </c>
      <c r="M48">
        <f t="shared" si="15"/>
        <v>9</v>
      </c>
      <c r="O48" s="6">
        <f t="shared" si="1"/>
        <v>39</v>
      </c>
      <c r="P48" s="8">
        <v>91</v>
      </c>
      <c r="Q48" s="35">
        <v>80</v>
      </c>
      <c r="R48" s="35">
        <v>89</v>
      </c>
      <c r="S48" s="35">
        <f t="shared" si="12"/>
        <v>4</v>
      </c>
      <c r="T48" s="35">
        <f t="shared" si="13"/>
        <v>25</v>
      </c>
      <c r="V48">
        <f t="shared" si="2"/>
        <v>30</v>
      </c>
      <c r="Y48">
        <v>1</v>
      </c>
      <c r="AG48" s="5"/>
      <c r="AH48" s="5"/>
      <c r="AI48" s="16"/>
      <c r="AY48" s="5"/>
    </row>
    <row r="49" spans="1:51" x14ac:dyDescent="0.2">
      <c r="A49">
        <f t="shared" si="3"/>
        <v>48</v>
      </c>
      <c r="B49" s="8">
        <f t="shared" si="0"/>
        <v>2</v>
      </c>
      <c r="C49">
        <f t="shared" si="4"/>
        <v>12</v>
      </c>
      <c r="D49" s="5" t="str">
        <f t="shared" si="5"/>
        <v>47</v>
      </c>
      <c r="E49">
        <v>12</v>
      </c>
      <c r="F49" s="5" t="s">
        <v>790</v>
      </c>
      <c r="I49">
        <v>70</v>
      </c>
      <c r="J49">
        <f t="shared" si="9"/>
        <v>24</v>
      </c>
      <c r="K49">
        <f t="shared" si="10"/>
        <v>61</v>
      </c>
      <c r="L49">
        <f t="shared" si="14"/>
        <v>22</v>
      </c>
      <c r="M49">
        <f t="shared" si="15"/>
        <v>9</v>
      </c>
      <c r="O49" s="6">
        <f t="shared" si="1"/>
        <v>39</v>
      </c>
      <c r="P49" s="8">
        <f t="shared" si="11"/>
        <v>91</v>
      </c>
      <c r="Q49" s="35">
        <f t="shared" si="11"/>
        <v>80</v>
      </c>
      <c r="R49" s="35">
        <f t="shared" si="16"/>
        <v>89</v>
      </c>
      <c r="S49" s="35">
        <f t="shared" si="12"/>
        <v>4</v>
      </c>
      <c r="T49" s="35">
        <f t="shared" si="13"/>
        <v>25</v>
      </c>
      <c r="V49">
        <f t="shared" si="2"/>
        <v>30</v>
      </c>
      <c r="Y49">
        <v>1</v>
      </c>
      <c r="AG49" s="5"/>
      <c r="AH49" s="5"/>
      <c r="AI49" s="16"/>
      <c r="AY49" s="5"/>
    </row>
    <row r="50" spans="1:51" x14ac:dyDescent="0.2">
      <c r="A50">
        <f t="shared" si="3"/>
        <v>49</v>
      </c>
      <c r="B50" s="8">
        <f t="shared" si="0"/>
        <v>2</v>
      </c>
      <c r="C50">
        <f t="shared" si="4"/>
        <v>12</v>
      </c>
      <c r="D50" s="5" t="str">
        <f t="shared" si="5"/>
        <v>38</v>
      </c>
      <c r="E50">
        <v>12</v>
      </c>
      <c r="F50" s="5" t="s">
        <v>779</v>
      </c>
      <c r="I50">
        <f t="shared" si="8"/>
        <v>70</v>
      </c>
      <c r="J50">
        <f t="shared" si="9"/>
        <v>24</v>
      </c>
      <c r="K50">
        <f t="shared" si="10"/>
        <v>61</v>
      </c>
      <c r="L50">
        <f t="shared" si="14"/>
        <v>22</v>
      </c>
      <c r="M50">
        <f t="shared" si="15"/>
        <v>9</v>
      </c>
      <c r="O50" s="6">
        <f t="shared" si="1"/>
        <v>39</v>
      </c>
      <c r="P50" s="8">
        <f t="shared" si="11"/>
        <v>91</v>
      </c>
      <c r="Q50" s="35">
        <f t="shared" si="11"/>
        <v>80</v>
      </c>
      <c r="R50" s="35">
        <v>68</v>
      </c>
      <c r="S50" s="35">
        <f t="shared" si="12"/>
        <v>4</v>
      </c>
      <c r="T50" s="35">
        <f t="shared" si="13"/>
        <v>25</v>
      </c>
      <c r="V50">
        <f t="shared" si="2"/>
        <v>30</v>
      </c>
      <c r="AA50">
        <v>1</v>
      </c>
      <c r="AG50" s="5"/>
      <c r="AH50" s="5"/>
      <c r="AI50" s="16"/>
      <c r="AY50" s="5"/>
    </row>
    <row r="51" spans="1:51" x14ac:dyDescent="0.2">
      <c r="A51">
        <f t="shared" si="3"/>
        <v>50</v>
      </c>
      <c r="B51" s="8">
        <f t="shared" si="0"/>
        <v>2</v>
      </c>
      <c r="C51">
        <f t="shared" si="4"/>
        <v>12</v>
      </c>
      <c r="D51" s="5" t="str">
        <f t="shared" si="5"/>
        <v>32</v>
      </c>
      <c r="E51">
        <v>12</v>
      </c>
      <c r="F51" s="5" t="s">
        <v>730</v>
      </c>
      <c r="I51">
        <f t="shared" si="8"/>
        <v>70</v>
      </c>
      <c r="J51">
        <v>14</v>
      </c>
      <c r="K51">
        <v>55</v>
      </c>
      <c r="L51">
        <f t="shared" si="14"/>
        <v>22</v>
      </c>
      <c r="M51">
        <f t="shared" si="15"/>
        <v>9</v>
      </c>
      <c r="O51" s="6">
        <f t="shared" si="1"/>
        <v>39</v>
      </c>
      <c r="P51" s="8">
        <v>77</v>
      </c>
      <c r="Q51" s="35">
        <f t="shared" si="11"/>
        <v>80</v>
      </c>
      <c r="R51" s="35">
        <f t="shared" si="16"/>
        <v>68</v>
      </c>
      <c r="S51" s="35">
        <f t="shared" si="12"/>
        <v>4</v>
      </c>
      <c r="T51" s="35">
        <v>18</v>
      </c>
      <c r="U51" s="8"/>
      <c r="V51">
        <f t="shared" si="2"/>
        <v>30</v>
      </c>
      <c r="AA51">
        <v>1</v>
      </c>
      <c r="AG51" s="5"/>
      <c r="AH51" s="5"/>
      <c r="AI51" s="16"/>
      <c r="AY51" s="5"/>
    </row>
    <row r="52" spans="1:51" x14ac:dyDescent="0.2">
      <c r="A52">
        <f t="shared" si="3"/>
        <v>51</v>
      </c>
      <c r="B52" s="8">
        <f t="shared" si="0"/>
        <v>2</v>
      </c>
      <c r="C52">
        <f t="shared" si="4"/>
        <v>12</v>
      </c>
      <c r="D52" s="5" t="str">
        <f t="shared" si="5"/>
        <v>22</v>
      </c>
      <c r="E52">
        <v>12</v>
      </c>
      <c r="F52" s="5" t="s">
        <v>734</v>
      </c>
      <c r="I52">
        <f t="shared" si="8"/>
        <v>70</v>
      </c>
      <c r="J52">
        <f t="shared" si="9"/>
        <v>14</v>
      </c>
      <c r="K52">
        <f t="shared" si="10"/>
        <v>55</v>
      </c>
      <c r="L52">
        <f t="shared" si="14"/>
        <v>22</v>
      </c>
      <c r="M52">
        <f t="shared" si="15"/>
        <v>9</v>
      </c>
      <c r="O52" s="6">
        <f t="shared" si="1"/>
        <v>39</v>
      </c>
      <c r="P52" s="8">
        <f t="shared" si="11"/>
        <v>77</v>
      </c>
      <c r="Q52" s="35">
        <v>13</v>
      </c>
      <c r="R52" s="35">
        <f t="shared" si="16"/>
        <v>68</v>
      </c>
      <c r="S52" s="35">
        <v>44</v>
      </c>
      <c r="T52" s="35">
        <f t="shared" si="13"/>
        <v>18</v>
      </c>
      <c r="V52">
        <f t="shared" si="2"/>
        <v>30</v>
      </c>
      <c r="Y52">
        <v>1</v>
      </c>
      <c r="AG52" s="5"/>
      <c r="AH52" s="5"/>
      <c r="AI52" s="16"/>
      <c r="AY52" s="5"/>
    </row>
    <row r="53" spans="1:51" x14ac:dyDescent="0.2">
      <c r="A53">
        <f t="shared" si="3"/>
        <v>52</v>
      </c>
      <c r="B53" s="8">
        <f t="shared" si="0"/>
        <v>2</v>
      </c>
      <c r="C53">
        <f t="shared" si="4"/>
        <v>12</v>
      </c>
      <c r="D53" s="5" t="str">
        <f t="shared" si="5"/>
        <v>10</v>
      </c>
      <c r="E53">
        <v>12</v>
      </c>
      <c r="F53" s="5" t="s">
        <v>738</v>
      </c>
      <c r="H53" s="6" t="s">
        <v>374</v>
      </c>
      <c r="I53">
        <f t="shared" si="8"/>
        <v>70</v>
      </c>
      <c r="J53">
        <f t="shared" si="9"/>
        <v>14</v>
      </c>
      <c r="K53">
        <f t="shared" si="10"/>
        <v>55</v>
      </c>
      <c r="L53">
        <f t="shared" si="14"/>
        <v>22</v>
      </c>
      <c r="M53">
        <v>91</v>
      </c>
      <c r="O53" s="6">
        <f t="shared" si="1"/>
        <v>39</v>
      </c>
      <c r="P53" s="8">
        <f t="shared" si="11"/>
        <v>77</v>
      </c>
      <c r="Q53" s="35">
        <f t="shared" si="11"/>
        <v>13</v>
      </c>
      <c r="R53" s="35">
        <f t="shared" si="16"/>
        <v>68</v>
      </c>
      <c r="S53" s="35">
        <f t="shared" si="12"/>
        <v>44</v>
      </c>
      <c r="T53" s="35">
        <f t="shared" si="13"/>
        <v>18</v>
      </c>
      <c r="V53">
        <f t="shared" si="2"/>
        <v>30</v>
      </c>
      <c r="Y53">
        <v>1</v>
      </c>
      <c r="AG53" s="5"/>
      <c r="AH53" s="5"/>
      <c r="AI53" s="16"/>
      <c r="AY53" s="5"/>
    </row>
    <row r="54" spans="1:51" x14ac:dyDescent="0.2">
      <c r="A54">
        <f t="shared" si="3"/>
        <v>53</v>
      </c>
      <c r="B54" s="8">
        <f t="shared" si="0"/>
        <v>2</v>
      </c>
      <c r="C54">
        <f t="shared" si="4"/>
        <v>12</v>
      </c>
      <c r="D54" s="5" t="str">
        <f t="shared" si="5"/>
        <v>05</v>
      </c>
      <c r="E54">
        <v>10</v>
      </c>
      <c r="F54" s="5" t="s">
        <v>760</v>
      </c>
      <c r="G54" s="8" t="s">
        <v>322</v>
      </c>
      <c r="H54" s="6" t="s">
        <v>375</v>
      </c>
      <c r="I54">
        <f t="shared" si="8"/>
        <v>70</v>
      </c>
      <c r="J54">
        <f t="shared" si="9"/>
        <v>14</v>
      </c>
      <c r="K54">
        <f t="shared" si="10"/>
        <v>55</v>
      </c>
      <c r="L54">
        <v>84</v>
      </c>
      <c r="M54">
        <f t="shared" si="15"/>
        <v>91</v>
      </c>
      <c r="O54" s="6">
        <f t="shared" si="1"/>
        <v>39</v>
      </c>
      <c r="P54" s="8">
        <f t="shared" si="11"/>
        <v>77</v>
      </c>
      <c r="Q54" s="35">
        <f t="shared" si="11"/>
        <v>13</v>
      </c>
      <c r="R54" s="35">
        <f t="shared" si="16"/>
        <v>68</v>
      </c>
      <c r="S54" s="35">
        <f t="shared" si="12"/>
        <v>44</v>
      </c>
      <c r="T54" s="35">
        <f t="shared" si="13"/>
        <v>18</v>
      </c>
      <c r="V54">
        <f t="shared" si="2"/>
        <v>30</v>
      </c>
      <c r="AA54">
        <v>1</v>
      </c>
      <c r="AG54" s="5"/>
      <c r="AH54" s="5"/>
      <c r="AI54" s="16"/>
      <c r="AY54" s="5"/>
    </row>
    <row r="55" spans="1:51" x14ac:dyDescent="0.2">
      <c r="A55">
        <f t="shared" si="3"/>
        <v>54</v>
      </c>
      <c r="B55" s="8">
        <f t="shared" si="0"/>
        <v>2</v>
      </c>
      <c r="C55">
        <f t="shared" si="4"/>
        <v>10</v>
      </c>
      <c r="D55" s="5" t="str">
        <f t="shared" si="5"/>
        <v>20</v>
      </c>
      <c r="E55">
        <v>9</v>
      </c>
      <c r="F55" s="5" t="s">
        <v>735</v>
      </c>
      <c r="G55" s="8" t="s">
        <v>322</v>
      </c>
      <c r="I55">
        <f t="shared" si="8"/>
        <v>70</v>
      </c>
      <c r="J55">
        <v>75</v>
      </c>
      <c r="K55">
        <v>24</v>
      </c>
      <c r="L55">
        <f t="shared" si="14"/>
        <v>84</v>
      </c>
      <c r="M55">
        <f t="shared" si="15"/>
        <v>91</v>
      </c>
      <c r="O55" s="6">
        <f t="shared" si="1"/>
        <v>39</v>
      </c>
      <c r="P55" s="8">
        <v>3</v>
      </c>
      <c r="Q55" s="35">
        <v>12</v>
      </c>
      <c r="R55" s="35">
        <v>56</v>
      </c>
      <c r="S55" s="35">
        <v>4</v>
      </c>
      <c r="T55" s="35">
        <v>25</v>
      </c>
      <c r="V55">
        <f t="shared" si="2"/>
        <v>30</v>
      </c>
      <c r="AC55">
        <v>1</v>
      </c>
      <c r="AG55" s="5"/>
      <c r="AH55" s="5"/>
      <c r="AI55" s="16"/>
      <c r="AY55" s="5"/>
    </row>
    <row r="56" spans="1:51" x14ac:dyDescent="0.2">
      <c r="A56">
        <f t="shared" si="3"/>
        <v>55</v>
      </c>
      <c r="B56" s="8">
        <f t="shared" si="0"/>
        <v>2</v>
      </c>
      <c r="C56">
        <f t="shared" si="4"/>
        <v>9</v>
      </c>
      <c r="D56" s="5" t="str">
        <f t="shared" si="5"/>
        <v>09</v>
      </c>
      <c r="E56">
        <v>8</v>
      </c>
      <c r="F56" s="5" t="s">
        <v>713</v>
      </c>
      <c r="I56">
        <f t="shared" si="8"/>
        <v>70</v>
      </c>
      <c r="J56">
        <f t="shared" si="9"/>
        <v>75</v>
      </c>
      <c r="K56">
        <f t="shared" si="10"/>
        <v>24</v>
      </c>
      <c r="L56">
        <f t="shared" si="14"/>
        <v>84</v>
      </c>
      <c r="M56">
        <v>22</v>
      </c>
      <c r="O56" s="6">
        <f t="shared" si="1"/>
        <v>39</v>
      </c>
      <c r="P56" s="8">
        <f t="shared" si="11"/>
        <v>3</v>
      </c>
      <c r="Q56" s="35">
        <f t="shared" si="11"/>
        <v>12</v>
      </c>
      <c r="R56" s="35">
        <f t="shared" si="16"/>
        <v>56</v>
      </c>
      <c r="S56" s="35">
        <f t="shared" si="12"/>
        <v>4</v>
      </c>
      <c r="T56" s="35">
        <f t="shared" si="13"/>
        <v>25</v>
      </c>
      <c r="V56">
        <f t="shared" si="2"/>
        <v>30</v>
      </c>
      <c r="AA56">
        <v>1</v>
      </c>
      <c r="AG56" s="5"/>
      <c r="AH56" s="5"/>
      <c r="AI56" s="16"/>
      <c r="AY56" s="5"/>
    </row>
    <row r="57" spans="1:51" x14ac:dyDescent="0.2">
      <c r="A57">
        <f t="shared" si="3"/>
        <v>56</v>
      </c>
      <c r="B57" s="8">
        <f t="shared" si="0"/>
        <v>2</v>
      </c>
      <c r="C57">
        <f t="shared" si="4"/>
        <v>8</v>
      </c>
      <c r="D57" s="5" t="str">
        <f t="shared" si="5"/>
        <v>40</v>
      </c>
      <c r="E57">
        <v>8</v>
      </c>
      <c r="F57" s="5" t="s">
        <v>813</v>
      </c>
      <c r="I57">
        <f t="shared" si="8"/>
        <v>70</v>
      </c>
      <c r="J57">
        <f t="shared" si="9"/>
        <v>75</v>
      </c>
      <c r="K57">
        <f t="shared" si="10"/>
        <v>24</v>
      </c>
      <c r="L57">
        <f t="shared" si="14"/>
        <v>84</v>
      </c>
      <c r="M57">
        <f t="shared" si="15"/>
        <v>22</v>
      </c>
      <c r="O57" s="6">
        <f t="shared" si="1"/>
        <v>39</v>
      </c>
      <c r="P57" s="8">
        <v>90</v>
      </c>
      <c r="Q57" s="35">
        <f t="shared" si="11"/>
        <v>12</v>
      </c>
      <c r="R57" s="35">
        <f t="shared" si="16"/>
        <v>56</v>
      </c>
      <c r="S57" s="35">
        <f t="shared" si="12"/>
        <v>4</v>
      </c>
      <c r="T57" s="35">
        <f t="shared" si="13"/>
        <v>25</v>
      </c>
      <c r="V57">
        <f t="shared" si="2"/>
        <v>30</v>
      </c>
      <c r="AC57">
        <v>1</v>
      </c>
      <c r="AG57" s="5"/>
      <c r="AH57" s="5"/>
      <c r="AI57" s="16"/>
      <c r="AY57" s="5"/>
    </row>
    <row r="58" spans="1:51" x14ac:dyDescent="0.2">
      <c r="A58">
        <f t="shared" si="3"/>
        <v>57</v>
      </c>
      <c r="B58" s="8">
        <f t="shared" si="0"/>
        <v>2</v>
      </c>
      <c r="C58">
        <f t="shared" si="4"/>
        <v>8</v>
      </c>
      <c r="D58" s="5" t="str">
        <f t="shared" si="5"/>
        <v>21</v>
      </c>
      <c r="E58">
        <v>8</v>
      </c>
      <c r="F58" s="5" t="s">
        <v>738</v>
      </c>
      <c r="H58" s="6" t="s">
        <v>333</v>
      </c>
      <c r="I58">
        <v>42</v>
      </c>
      <c r="J58">
        <f t="shared" si="9"/>
        <v>75</v>
      </c>
      <c r="K58">
        <f t="shared" si="10"/>
        <v>24</v>
      </c>
      <c r="L58">
        <f t="shared" si="14"/>
        <v>84</v>
      </c>
      <c r="M58">
        <f t="shared" si="15"/>
        <v>22</v>
      </c>
      <c r="O58" s="6">
        <f t="shared" si="1"/>
        <v>39</v>
      </c>
      <c r="P58" s="8">
        <f t="shared" si="11"/>
        <v>90</v>
      </c>
      <c r="Q58" s="35">
        <v>80</v>
      </c>
      <c r="R58" s="35">
        <v>89</v>
      </c>
      <c r="S58" s="35">
        <f t="shared" si="12"/>
        <v>4</v>
      </c>
      <c r="T58" s="35">
        <f t="shared" si="13"/>
        <v>25</v>
      </c>
      <c r="V58">
        <f t="shared" si="2"/>
        <v>30</v>
      </c>
      <c r="AC58">
        <v>1</v>
      </c>
      <c r="AG58" s="5"/>
      <c r="AH58" s="5"/>
      <c r="AI58" s="16"/>
      <c r="AY58" s="5"/>
    </row>
    <row r="59" spans="1:51" x14ac:dyDescent="0.2">
      <c r="A59">
        <f t="shared" si="3"/>
        <v>58</v>
      </c>
      <c r="B59" s="8">
        <f t="shared" si="0"/>
        <v>2</v>
      </c>
      <c r="C59">
        <f t="shared" si="4"/>
        <v>8</v>
      </c>
      <c r="D59" s="5" t="str">
        <f t="shared" si="5"/>
        <v>05</v>
      </c>
      <c r="E59">
        <v>6</v>
      </c>
      <c r="F59" s="5" t="s">
        <v>810</v>
      </c>
      <c r="G59" s="8" t="s">
        <v>322</v>
      </c>
      <c r="I59">
        <f t="shared" si="8"/>
        <v>42</v>
      </c>
      <c r="J59">
        <v>61</v>
      </c>
      <c r="K59">
        <v>14</v>
      </c>
      <c r="L59">
        <v>9</v>
      </c>
      <c r="M59">
        <f t="shared" si="15"/>
        <v>22</v>
      </c>
      <c r="O59" s="6">
        <f t="shared" si="1"/>
        <v>39</v>
      </c>
      <c r="P59" s="8">
        <f t="shared" si="11"/>
        <v>90</v>
      </c>
      <c r="Q59" s="35">
        <f t="shared" si="11"/>
        <v>80</v>
      </c>
      <c r="R59" s="35">
        <f t="shared" si="16"/>
        <v>89</v>
      </c>
      <c r="S59" s="35">
        <f t="shared" si="12"/>
        <v>4</v>
      </c>
      <c r="T59" s="35">
        <f t="shared" si="13"/>
        <v>25</v>
      </c>
      <c r="V59">
        <f t="shared" si="2"/>
        <v>30</v>
      </c>
      <c r="Y59">
        <v>1</v>
      </c>
      <c r="AG59" s="5"/>
      <c r="AH59" s="5"/>
      <c r="AI59" s="16"/>
      <c r="AY59" s="5"/>
    </row>
    <row r="60" spans="1:51" x14ac:dyDescent="0.2">
      <c r="A60">
        <f t="shared" si="3"/>
        <v>59</v>
      </c>
      <c r="B60" s="8">
        <f t="shared" si="0"/>
        <v>2</v>
      </c>
      <c r="C60">
        <f t="shared" si="4"/>
        <v>6</v>
      </c>
      <c r="D60" s="5" t="str">
        <f t="shared" si="5"/>
        <v>44</v>
      </c>
      <c r="E60">
        <v>6</v>
      </c>
      <c r="F60" s="5" t="s">
        <v>726</v>
      </c>
      <c r="I60">
        <f t="shared" si="8"/>
        <v>42</v>
      </c>
      <c r="J60">
        <f t="shared" si="9"/>
        <v>61</v>
      </c>
      <c r="K60">
        <f t="shared" si="10"/>
        <v>14</v>
      </c>
      <c r="L60">
        <f t="shared" si="14"/>
        <v>9</v>
      </c>
      <c r="M60">
        <f t="shared" si="15"/>
        <v>22</v>
      </c>
      <c r="O60" s="6">
        <f t="shared" si="1"/>
        <v>39</v>
      </c>
      <c r="P60" s="8">
        <f t="shared" si="11"/>
        <v>90</v>
      </c>
      <c r="Q60" s="35">
        <f t="shared" si="11"/>
        <v>80</v>
      </c>
      <c r="R60" s="35">
        <f t="shared" si="16"/>
        <v>89</v>
      </c>
      <c r="S60" s="35">
        <f t="shared" si="12"/>
        <v>4</v>
      </c>
      <c r="T60" s="35">
        <v>44</v>
      </c>
      <c r="V60">
        <f t="shared" si="2"/>
        <v>30</v>
      </c>
      <c r="Y60">
        <v>1</v>
      </c>
      <c r="AG60" s="5"/>
      <c r="AH60" s="5"/>
      <c r="AI60" s="16"/>
      <c r="AY60" s="5"/>
    </row>
    <row r="61" spans="1:51" x14ac:dyDescent="0.2">
      <c r="A61">
        <f t="shared" si="3"/>
        <v>60</v>
      </c>
      <c r="B61" s="8">
        <f t="shared" si="0"/>
        <v>2</v>
      </c>
      <c r="C61">
        <f t="shared" si="4"/>
        <v>6</v>
      </c>
      <c r="D61" s="5" t="str">
        <f t="shared" si="5"/>
        <v>27</v>
      </c>
      <c r="E61">
        <v>6</v>
      </c>
      <c r="F61" s="5" t="s">
        <v>743</v>
      </c>
      <c r="I61">
        <f t="shared" si="8"/>
        <v>42</v>
      </c>
      <c r="J61">
        <f t="shared" si="9"/>
        <v>61</v>
      </c>
      <c r="K61">
        <f t="shared" si="10"/>
        <v>14</v>
      </c>
      <c r="L61">
        <f t="shared" si="14"/>
        <v>9</v>
      </c>
      <c r="M61">
        <f t="shared" si="15"/>
        <v>22</v>
      </c>
      <c r="O61" s="6">
        <f t="shared" si="1"/>
        <v>39</v>
      </c>
      <c r="P61" s="8">
        <v>77</v>
      </c>
      <c r="Q61" s="35">
        <f t="shared" si="11"/>
        <v>80</v>
      </c>
      <c r="R61" s="35">
        <f t="shared" si="16"/>
        <v>89</v>
      </c>
      <c r="S61" s="35">
        <f t="shared" si="12"/>
        <v>4</v>
      </c>
      <c r="T61" s="35">
        <f t="shared" si="13"/>
        <v>44</v>
      </c>
      <c r="V61">
        <f t="shared" si="2"/>
        <v>30</v>
      </c>
      <c r="AA61">
        <v>1</v>
      </c>
      <c r="AG61" s="5"/>
      <c r="AH61" s="5"/>
      <c r="AI61" s="16"/>
      <c r="AY61" s="5"/>
    </row>
    <row r="62" spans="1:51" x14ac:dyDescent="0.2">
      <c r="A62">
        <f t="shared" si="3"/>
        <v>61</v>
      </c>
      <c r="B62" s="8">
        <f t="shared" si="0"/>
        <v>2</v>
      </c>
      <c r="C62">
        <f t="shared" si="4"/>
        <v>6</v>
      </c>
      <c r="D62" s="5" t="str">
        <f t="shared" si="5"/>
        <v>16</v>
      </c>
      <c r="E62">
        <v>6</v>
      </c>
      <c r="F62" s="5" t="s">
        <v>768</v>
      </c>
      <c r="I62">
        <f t="shared" si="8"/>
        <v>42</v>
      </c>
      <c r="J62">
        <f t="shared" si="9"/>
        <v>61</v>
      </c>
      <c r="K62">
        <f t="shared" si="10"/>
        <v>14</v>
      </c>
      <c r="L62">
        <f t="shared" si="14"/>
        <v>9</v>
      </c>
      <c r="M62">
        <f t="shared" si="15"/>
        <v>22</v>
      </c>
      <c r="O62" s="6">
        <f t="shared" si="1"/>
        <v>39</v>
      </c>
      <c r="P62" s="8">
        <f t="shared" si="11"/>
        <v>77</v>
      </c>
      <c r="Q62" s="35">
        <f t="shared" si="11"/>
        <v>80</v>
      </c>
      <c r="R62" s="35">
        <v>68</v>
      </c>
      <c r="S62" s="35">
        <f t="shared" si="12"/>
        <v>4</v>
      </c>
      <c r="T62" s="35">
        <f t="shared" si="13"/>
        <v>44</v>
      </c>
      <c r="V62">
        <f t="shared" si="2"/>
        <v>30</v>
      </c>
      <c r="AA62">
        <v>1</v>
      </c>
      <c r="AG62" s="5"/>
      <c r="AH62" s="5"/>
      <c r="AI62" s="16"/>
      <c r="AY62" s="5"/>
    </row>
    <row r="63" spans="1:51" x14ac:dyDescent="0.2">
      <c r="A63">
        <f t="shared" si="3"/>
        <v>62</v>
      </c>
      <c r="B63" s="8">
        <f t="shared" si="0"/>
        <v>2</v>
      </c>
      <c r="C63">
        <f t="shared" si="4"/>
        <v>6</v>
      </c>
      <c r="D63" s="5" t="str">
        <f t="shared" si="5"/>
        <v>13</v>
      </c>
      <c r="E63">
        <v>6</v>
      </c>
      <c r="F63" s="5" t="s">
        <v>447</v>
      </c>
      <c r="I63">
        <f t="shared" si="8"/>
        <v>42</v>
      </c>
      <c r="J63">
        <f t="shared" si="9"/>
        <v>61</v>
      </c>
      <c r="K63">
        <f t="shared" si="10"/>
        <v>14</v>
      </c>
      <c r="L63">
        <f t="shared" si="14"/>
        <v>9</v>
      </c>
      <c r="M63">
        <f t="shared" si="15"/>
        <v>22</v>
      </c>
      <c r="O63" s="6">
        <f t="shared" si="1"/>
        <v>39</v>
      </c>
      <c r="P63" s="8">
        <f t="shared" si="11"/>
        <v>77</v>
      </c>
      <c r="Q63" s="35">
        <f t="shared" si="11"/>
        <v>80</v>
      </c>
      <c r="R63" s="35">
        <f t="shared" si="16"/>
        <v>68</v>
      </c>
      <c r="S63" s="35">
        <v>18</v>
      </c>
      <c r="T63" s="35">
        <f t="shared" si="13"/>
        <v>44</v>
      </c>
      <c r="V63">
        <f t="shared" si="2"/>
        <v>30</v>
      </c>
      <c r="AC63">
        <v>1</v>
      </c>
      <c r="AG63" s="5"/>
      <c r="AH63" s="5"/>
      <c r="AI63" s="16"/>
      <c r="AY63" s="5"/>
    </row>
    <row r="64" spans="1:51" x14ac:dyDescent="0.2">
      <c r="A64">
        <f t="shared" si="3"/>
        <v>63</v>
      </c>
      <c r="B64" s="8">
        <f t="shared" si="0"/>
        <v>2</v>
      </c>
      <c r="C64">
        <f t="shared" si="4"/>
        <v>6</v>
      </c>
      <c r="D64" s="5" t="str">
        <f t="shared" si="5"/>
        <v>07</v>
      </c>
      <c r="E64">
        <v>6</v>
      </c>
      <c r="F64" s="5" t="s">
        <v>786</v>
      </c>
      <c r="I64">
        <f t="shared" si="8"/>
        <v>42</v>
      </c>
      <c r="J64">
        <f t="shared" si="9"/>
        <v>61</v>
      </c>
      <c r="K64">
        <f t="shared" si="10"/>
        <v>14</v>
      </c>
      <c r="L64">
        <f t="shared" si="14"/>
        <v>9</v>
      </c>
      <c r="M64">
        <v>22</v>
      </c>
      <c r="O64" s="6">
        <f t="shared" si="1"/>
        <v>39</v>
      </c>
      <c r="P64" s="8">
        <f t="shared" si="11"/>
        <v>77</v>
      </c>
      <c r="Q64" s="35">
        <v>13</v>
      </c>
      <c r="R64" s="35">
        <f t="shared" si="16"/>
        <v>68</v>
      </c>
      <c r="S64" s="35">
        <f t="shared" si="12"/>
        <v>18</v>
      </c>
      <c r="T64" s="35">
        <f t="shared" si="13"/>
        <v>44</v>
      </c>
      <c r="V64">
        <f t="shared" si="2"/>
        <v>30</v>
      </c>
      <c r="Y64">
        <v>1</v>
      </c>
      <c r="AG64" s="5"/>
      <c r="AH64" s="5"/>
      <c r="AI64" s="16"/>
      <c r="AY64" s="5"/>
    </row>
    <row r="65" spans="1:51" x14ac:dyDescent="0.2">
      <c r="A65">
        <f t="shared" si="3"/>
        <v>64</v>
      </c>
      <c r="B65" s="8">
        <f t="shared" si="0"/>
        <v>2</v>
      </c>
      <c r="C65">
        <f t="shared" si="4"/>
        <v>6</v>
      </c>
      <c r="D65" s="5" t="str">
        <f t="shared" si="5"/>
        <v>01</v>
      </c>
      <c r="E65">
        <v>5</v>
      </c>
      <c r="F65" s="5" t="s">
        <v>638</v>
      </c>
      <c r="I65">
        <f t="shared" si="8"/>
        <v>42</v>
      </c>
      <c r="J65">
        <f t="shared" si="9"/>
        <v>61</v>
      </c>
      <c r="K65">
        <v>55</v>
      </c>
      <c r="L65">
        <v>84</v>
      </c>
      <c r="M65">
        <v>91</v>
      </c>
      <c r="O65" s="6">
        <f t="shared" si="1"/>
        <v>39</v>
      </c>
      <c r="P65" s="8">
        <f t="shared" si="11"/>
        <v>77</v>
      </c>
      <c r="Q65" s="35">
        <f t="shared" si="11"/>
        <v>13</v>
      </c>
      <c r="R65" s="35">
        <f t="shared" si="16"/>
        <v>68</v>
      </c>
      <c r="S65" s="35">
        <f t="shared" si="12"/>
        <v>18</v>
      </c>
      <c r="T65" s="35">
        <f t="shared" si="13"/>
        <v>44</v>
      </c>
      <c r="V65">
        <f t="shared" si="2"/>
        <v>30</v>
      </c>
      <c r="AC65">
        <v>1</v>
      </c>
      <c r="AG65" s="5"/>
      <c r="AH65" s="5"/>
      <c r="AI65" s="16"/>
      <c r="AY65" s="5"/>
    </row>
    <row r="66" spans="1:51" x14ac:dyDescent="0.2">
      <c r="A66">
        <f t="shared" si="3"/>
        <v>65</v>
      </c>
      <c r="B66" s="8">
        <f t="shared" si="0"/>
        <v>2</v>
      </c>
      <c r="C66">
        <f t="shared" si="4"/>
        <v>5</v>
      </c>
      <c r="D66" s="5" t="str">
        <f t="shared" si="5"/>
        <v>57</v>
      </c>
      <c r="E66">
        <v>4</v>
      </c>
      <c r="F66" s="5" t="s">
        <v>762</v>
      </c>
      <c r="I66">
        <v>70</v>
      </c>
      <c r="J66">
        <v>75</v>
      </c>
      <c r="K66">
        <f t="shared" si="10"/>
        <v>55</v>
      </c>
      <c r="L66">
        <f t="shared" si="14"/>
        <v>84</v>
      </c>
      <c r="M66">
        <f t="shared" si="15"/>
        <v>91</v>
      </c>
      <c r="O66" s="6">
        <f t="shared" si="1"/>
        <v>39</v>
      </c>
      <c r="P66" s="8">
        <f t="shared" si="11"/>
        <v>77</v>
      </c>
      <c r="Q66" s="35">
        <f t="shared" si="11"/>
        <v>13</v>
      </c>
      <c r="R66" s="35">
        <f t="shared" si="16"/>
        <v>68</v>
      </c>
      <c r="S66" s="35">
        <f t="shared" si="12"/>
        <v>18</v>
      </c>
      <c r="T66" s="35">
        <f t="shared" si="13"/>
        <v>44</v>
      </c>
      <c r="V66">
        <f t="shared" si="2"/>
        <v>30</v>
      </c>
      <c r="AA66">
        <v>1</v>
      </c>
      <c r="AG66" s="5"/>
      <c r="AH66" s="5"/>
      <c r="AI66" s="16"/>
      <c r="AY66" s="5"/>
    </row>
    <row r="67" spans="1:51" x14ac:dyDescent="0.2">
      <c r="A67">
        <f t="shared" si="3"/>
        <v>66</v>
      </c>
      <c r="B67" s="8">
        <f t="shared" si="0"/>
        <v>2</v>
      </c>
      <c r="C67">
        <f t="shared" si="4"/>
        <v>4</v>
      </c>
      <c r="D67" s="5" t="str">
        <f t="shared" si="5"/>
        <v>54</v>
      </c>
      <c r="E67">
        <v>4</v>
      </c>
      <c r="F67" s="5" t="s">
        <v>713</v>
      </c>
      <c r="I67">
        <f t="shared" si="8"/>
        <v>70</v>
      </c>
      <c r="J67">
        <f t="shared" si="9"/>
        <v>75</v>
      </c>
      <c r="K67">
        <f t="shared" si="10"/>
        <v>55</v>
      </c>
      <c r="L67">
        <f t="shared" si="14"/>
        <v>84</v>
      </c>
      <c r="M67">
        <f t="shared" si="15"/>
        <v>91</v>
      </c>
      <c r="O67" s="6">
        <f t="shared" si="1"/>
        <v>39</v>
      </c>
      <c r="P67" s="8">
        <v>3</v>
      </c>
      <c r="Q67" s="35">
        <f t="shared" si="11"/>
        <v>13</v>
      </c>
      <c r="R67" s="35">
        <f t="shared" si="16"/>
        <v>68</v>
      </c>
      <c r="S67" s="35">
        <f t="shared" si="12"/>
        <v>18</v>
      </c>
      <c r="T67" s="35">
        <f t="shared" si="13"/>
        <v>44</v>
      </c>
      <c r="V67">
        <f t="shared" si="2"/>
        <v>30</v>
      </c>
      <c r="AC67">
        <v>1</v>
      </c>
      <c r="AG67" s="5"/>
      <c r="AH67" s="5"/>
      <c r="AI67" s="16"/>
      <c r="AY67" s="5"/>
    </row>
    <row r="68" spans="1:51" x14ac:dyDescent="0.2">
      <c r="A68">
        <f t="shared" si="3"/>
        <v>67</v>
      </c>
      <c r="B68" s="8">
        <f t="shared" ref="B68:B131" si="17">IF(G68="PeriodStart",B67+1,B67)</f>
        <v>2</v>
      </c>
      <c r="C68">
        <f t="shared" ref="C68:C131" si="18">IF(G68&lt;&gt;"PeriodStart",E67,18)</f>
        <v>4</v>
      </c>
      <c r="D68" s="5" t="str">
        <f t="shared" ref="D68:D131" si="19">F67</f>
        <v>40</v>
      </c>
      <c r="E68">
        <v>4</v>
      </c>
      <c r="F68" s="5" t="s">
        <v>779</v>
      </c>
      <c r="H68" s="6" t="s">
        <v>374</v>
      </c>
      <c r="I68">
        <f t="shared" si="8"/>
        <v>70</v>
      </c>
      <c r="J68">
        <f t="shared" si="9"/>
        <v>75</v>
      </c>
      <c r="K68">
        <f t="shared" si="10"/>
        <v>55</v>
      </c>
      <c r="L68">
        <f t="shared" si="14"/>
        <v>84</v>
      </c>
      <c r="M68">
        <f t="shared" si="15"/>
        <v>91</v>
      </c>
      <c r="O68" s="6">
        <f t="shared" ref="O68:O131" si="20">O67</f>
        <v>39</v>
      </c>
      <c r="P68" s="8">
        <f t="shared" si="11"/>
        <v>3</v>
      </c>
      <c r="Q68" s="35">
        <f t="shared" si="11"/>
        <v>13</v>
      </c>
      <c r="R68" s="35">
        <v>56</v>
      </c>
      <c r="S68" s="35">
        <f t="shared" si="12"/>
        <v>18</v>
      </c>
      <c r="T68" s="35">
        <v>4</v>
      </c>
      <c r="V68">
        <f t="shared" ref="V68:V131" si="21">V67</f>
        <v>30</v>
      </c>
      <c r="Y68">
        <v>1</v>
      </c>
      <c r="AG68" s="5"/>
      <c r="AH68" s="5"/>
      <c r="AI68" s="16"/>
      <c r="AY68" s="5"/>
    </row>
    <row r="69" spans="1:51" x14ac:dyDescent="0.2">
      <c r="A69">
        <f t="shared" ref="A69:A132" si="22">A68+1</f>
        <v>68</v>
      </c>
      <c r="B69" s="8">
        <f t="shared" si="17"/>
        <v>2</v>
      </c>
      <c r="C69">
        <f t="shared" si="18"/>
        <v>4</v>
      </c>
      <c r="D69" s="5" t="str">
        <f t="shared" si="19"/>
        <v>32</v>
      </c>
      <c r="E69">
        <v>3</v>
      </c>
      <c r="F69" s="5" t="s">
        <v>672</v>
      </c>
      <c r="G69" s="8" t="s">
        <v>322</v>
      </c>
      <c r="H69" s="6" t="s">
        <v>334</v>
      </c>
      <c r="I69">
        <f t="shared" si="8"/>
        <v>70</v>
      </c>
      <c r="J69">
        <f t="shared" si="9"/>
        <v>75</v>
      </c>
      <c r="K69">
        <v>24</v>
      </c>
      <c r="L69">
        <v>9</v>
      </c>
      <c r="M69">
        <v>22</v>
      </c>
      <c r="O69" s="6">
        <f t="shared" si="20"/>
        <v>39</v>
      </c>
      <c r="P69" s="8">
        <f t="shared" si="11"/>
        <v>3</v>
      </c>
      <c r="Q69" s="35">
        <v>12</v>
      </c>
      <c r="R69" s="35">
        <f t="shared" si="16"/>
        <v>56</v>
      </c>
      <c r="S69" s="35">
        <v>25</v>
      </c>
      <c r="T69" s="35">
        <f t="shared" si="13"/>
        <v>4</v>
      </c>
      <c r="V69">
        <f t="shared" si="21"/>
        <v>30</v>
      </c>
      <c r="Y69">
        <v>1</v>
      </c>
      <c r="AG69" s="5"/>
      <c r="AH69" s="5"/>
      <c r="AI69" s="16"/>
      <c r="AY69" s="5"/>
    </row>
    <row r="70" spans="1:51" x14ac:dyDescent="0.2">
      <c r="A70">
        <f t="shared" si="22"/>
        <v>69</v>
      </c>
      <c r="B70" s="8">
        <f t="shared" si="17"/>
        <v>2</v>
      </c>
      <c r="C70">
        <f t="shared" si="18"/>
        <v>3</v>
      </c>
      <c r="D70" s="5" t="str">
        <f t="shared" si="19"/>
        <v>45</v>
      </c>
      <c r="E70">
        <v>2</v>
      </c>
      <c r="F70" s="5" t="s">
        <v>730</v>
      </c>
      <c r="G70" s="8" t="s">
        <v>322</v>
      </c>
      <c r="I70">
        <f t="shared" si="8"/>
        <v>70</v>
      </c>
      <c r="J70">
        <v>14</v>
      </c>
      <c r="K70">
        <f t="shared" si="10"/>
        <v>24</v>
      </c>
      <c r="L70">
        <f t="shared" si="14"/>
        <v>9</v>
      </c>
      <c r="M70">
        <f t="shared" si="15"/>
        <v>22</v>
      </c>
      <c r="O70" s="6">
        <f t="shared" si="20"/>
        <v>39</v>
      </c>
      <c r="P70" s="8">
        <f t="shared" si="11"/>
        <v>3</v>
      </c>
      <c r="Q70" s="35">
        <f t="shared" si="11"/>
        <v>12</v>
      </c>
      <c r="R70" s="35">
        <f t="shared" si="16"/>
        <v>56</v>
      </c>
      <c r="S70" s="35">
        <f t="shared" si="12"/>
        <v>25</v>
      </c>
      <c r="T70" s="35">
        <f t="shared" si="13"/>
        <v>4</v>
      </c>
      <c r="V70">
        <f t="shared" si="21"/>
        <v>30</v>
      </c>
      <c r="Y70">
        <v>1</v>
      </c>
      <c r="AG70" s="5"/>
      <c r="AH70" s="5"/>
      <c r="AI70" s="16"/>
      <c r="AY70" s="5"/>
    </row>
    <row r="71" spans="1:51" x14ac:dyDescent="0.2">
      <c r="A71">
        <f t="shared" si="22"/>
        <v>70</v>
      </c>
      <c r="B71" s="8">
        <f t="shared" si="17"/>
        <v>2</v>
      </c>
      <c r="C71">
        <f t="shared" si="18"/>
        <v>2</v>
      </c>
      <c r="D71" s="5" t="str">
        <f t="shared" si="19"/>
        <v>22</v>
      </c>
      <c r="E71">
        <v>2</v>
      </c>
      <c r="F71" s="5" t="s">
        <v>782</v>
      </c>
      <c r="I71">
        <f t="shared" ref="I71:I134" si="23">IF($D71&gt;0,I70,"")</f>
        <v>70</v>
      </c>
      <c r="J71">
        <f t="shared" ref="J71:J134" si="24">IF($D71&gt;0,J70,"")</f>
        <v>14</v>
      </c>
      <c r="K71">
        <f t="shared" ref="K71:K134" si="25">IF($D71&gt;0,K70,"")</f>
        <v>24</v>
      </c>
      <c r="L71">
        <f t="shared" ref="L71:L134" si="26">IF($D71&gt;0,L70,"")</f>
        <v>9</v>
      </c>
      <c r="M71">
        <f t="shared" ref="M71:M134" si="27">IF($D71&gt;0,M70,"")</f>
        <v>22</v>
      </c>
      <c r="O71" s="6">
        <f t="shared" si="20"/>
        <v>39</v>
      </c>
      <c r="P71" s="8">
        <f t="shared" ref="P71:Q134" si="28">IF($D71&gt;0,P70,"")</f>
        <v>3</v>
      </c>
      <c r="Q71" s="35">
        <f t="shared" si="28"/>
        <v>12</v>
      </c>
      <c r="R71" s="35">
        <v>89</v>
      </c>
      <c r="S71" s="35">
        <f t="shared" ref="S71:S134" si="29">IF($D71&gt;0,S70,"")</f>
        <v>25</v>
      </c>
      <c r="T71" s="35">
        <f t="shared" ref="T71:T134" si="30">IF($D71&gt;0,T70,"")</f>
        <v>4</v>
      </c>
      <c r="V71">
        <f t="shared" si="21"/>
        <v>30</v>
      </c>
      <c r="AA71">
        <v>1</v>
      </c>
      <c r="AG71" s="5"/>
      <c r="AH71" s="5"/>
      <c r="AI71" s="16"/>
      <c r="AY71" s="5"/>
    </row>
    <row r="72" spans="1:51" x14ac:dyDescent="0.2">
      <c r="A72">
        <f t="shared" si="22"/>
        <v>71</v>
      </c>
      <c r="B72" s="8">
        <f t="shared" si="17"/>
        <v>2</v>
      </c>
      <c r="C72">
        <f t="shared" si="18"/>
        <v>2</v>
      </c>
      <c r="D72" s="5" t="str">
        <f t="shared" si="19"/>
        <v>18</v>
      </c>
      <c r="E72">
        <v>1</v>
      </c>
      <c r="F72" s="5" t="s">
        <v>788</v>
      </c>
      <c r="I72">
        <f t="shared" si="23"/>
        <v>70</v>
      </c>
      <c r="J72">
        <v>61</v>
      </c>
      <c r="K72">
        <f t="shared" si="25"/>
        <v>24</v>
      </c>
      <c r="L72">
        <f t="shared" si="26"/>
        <v>9</v>
      </c>
      <c r="M72">
        <f t="shared" si="27"/>
        <v>22</v>
      </c>
      <c r="O72" s="6">
        <f t="shared" si="20"/>
        <v>39</v>
      </c>
      <c r="P72" s="8">
        <v>91</v>
      </c>
      <c r="Q72" s="35">
        <f t="shared" si="28"/>
        <v>12</v>
      </c>
      <c r="R72" s="35">
        <f t="shared" ref="R71:R134" si="31">IF($D72&gt;0,R71,"")</f>
        <v>89</v>
      </c>
      <c r="S72" s="35">
        <f t="shared" si="29"/>
        <v>25</v>
      </c>
      <c r="T72" s="35">
        <f t="shared" si="30"/>
        <v>4</v>
      </c>
      <c r="V72">
        <f t="shared" si="21"/>
        <v>30</v>
      </c>
      <c r="AC72">
        <v>1</v>
      </c>
      <c r="AG72" s="5"/>
      <c r="AH72" s="5"/>
      <c r="AI72" s="16"/>
      <c r="AY72" s="5"/>
    </row>
    <row r="73" spans="1:51" x14ac:dyDescent="0.2">
      <c r="A73">
        <f t="shared" si="22"/>
        <v>72</v>
      </c>
      <c r="B73" s="8">
        <f t="shared" si="17"/>
        <v>2</v>
      </c>
      <c r="C73">
        <f t="shared" si="18"/>
        <v>1</v>
      </c>
      <c r="D73" s="5" t="str">
        <f t="shared" si="19"/>
        <v>52</v>
      </c>
      <c r="E73">
        <v>1</v>
      </c>
      <c r="F73" s="5" t="s">
        <v>716</v>
      </c>
      <c r="I73">
        <f t="shared" si="23"/>
        <v>70</v>
      </c>
      <c r="J73">
        <f t="shared" si="24"/>
        <v>61</v>
      </c>
      <c r="K73">
        <f t="shared" si="25"/>
        <v>24</v>
      </c>
      <c r="L73">
        <f t="shared" si="26"/>
        <v>9</v>
      </c>
      <c r="M73">
        <f t="shared" si="27"/>
        <v>22</v>
      </c>
      <c r="O73" s="6">
        <f t="shared" si="20"/>
        <v>39</v>
      </c>
      <c r="P73" s="8">
        <f t="shared" si="28"/>
        <v>91</v>
      </c>
      <c r="Q73" s="35">
        <v>80</v>
      </c>
      <c r="R73" s="35">
        <f t="shared" si="31"/>
        <v>89</v>
      </c>
      <c r="S73" s="35">
        <f t="shared" si="29"/>
        <v>25</v>
      </c>
      <c r="T73" s="35">
        <f t="shared" si="30"/>
        <v>4</v>
      </c>
      <c r="V73">
        <f t="shared" si="21"/>
        <v>30</v>
      </c>
      <c r="Y73">
        <v>1</v>
      </c>
      <c r="AG73" s="5"/>
      <c r="AH73" s="5"/>
      <c r="AI73" s="16"/>
      <c r="AY73" s="5"/>
    </row>
    <row r="74" spans="1:51" x14ac:dyDescent="0.2">
      <c r="A74">
        <f t="shared" si="22"/>
        <v>73</v>
      </c>
      <c r="B74" s="8">
        <f t="shared" si="17"/>
        <v>2</v>
      </c>
      <c r="C74">
        <f t="shared" si="18"/>
        <v>1</v>
      </c>
      <c r="D74" s="5" t="str">
        <f t="shared" si="19"/>
        <v>39</v>
      </c>
      <c r="E74">
        <v>1</v>
      </c>
      <c r="F74" s="5" t="s">
        <v>730</v>
      </c>
      <c r="I74">
        <f t="shared" si="23"/>
        <v>70</v>
      </c>
      <c r="J74">
        <f t="shared" si="24"/>
        <v>61</v>
      </c>
      <c r="K74">
        <f t="shared" si="25"/>
        <v>24</v>
      </c>
      <c r="L74">
        <v>91</v>
      </c>
      <c r="M74">
        <f t="shared" si="27"/>
        <v>22</v>
      </c>
      <c r="O74" s="6">
        <f t="shared" si="20"/>
        <v>39</v>
      </c>
      <c r="P74" s="8">
        <f t="shared" si="28"/>
        <v>91</v>
      </c>
      <c r="Q74" s="35">
        <f t="shared" si="28"/>
        <v>80</v>
      </c>
      <c r="R74" s="35">
        <f t="shared" si="31"/>
        <v>89</v>
      </c>
      <c r="S74" s="35">
        <f t="shared" si="29"/>
        <v>25</v>
      </c>
      <c r="T74" s="35">
        <f t="shared" si="30"/>
        <v>4</v>
      </c>
      <c r="V74">
        <f t="shared" si="21"/>
        <v>30</v>
      </c>
      <c r="Y74">
        <v>1</v>
      </c>
      <c r="AG74" s="5"/>
      <c r="AH74" s="5"/>
      <c r="AI74" s="16"/>
      <c r="AY74" s="5"/>
    </row>
    <row r="75" spans="1:51" x14ac:dyDescent="0.2">
      <c r="A75">
        <f t="shared" si="22"/>
        <v>74</v>
      </c>
      <c r="B75" s="8">
        <f t="shared" si="17"/>
        <v>2</v>
      </c>
      <c r="C75">
        <f t="shared" si="18"/>
        <v>1</v>
      </c>
      <c r="D75" s="5" t="str">
        <f t="shared" si="19"/>
        <v>22</v>
      </c>
      <c r="E75">
        <v>1</v>
      </c>
      <c r="F75" s="5" t="s">
        <v>735</v>
      </c>
      <c r="I75">
        <v>42</v>
      </c>
      <c r="J75">
        <f t="shared" si="24"/>
        <v>61</v>
      </c>
      <c r="K75">
        <v>55</v>
      </c>
      <c r="L75">
        <f t="shared" si="26"/>
        <v>91</v>
      </c>
      <c r="M75">
        <f t="shared" si="27"/>
        <v>22</v>
      </c>
      <c r="O75" s="6">
        <f t="shared" si="20"/>
        <v>39</v>
      </c>
      <c r="P75" s="8">
        <f t="shared" si="28"/>
        <v>91</v>
      </c>
      <c r="Q75" s="35">
        <f t="shared" si="28"/>
        <v>80</v>
      </c>
      <c r="R75" s="35">
        <f t="shared" si="31"/>
        <v>89</v>
      </c>
      <c r="S75" s="35">
        <f t="shared" si="29"/>
        <v>25</v>
      </c>
      <c r="T75" s="35">
        <f t="shared" si="30"/>
        <v>4</v>
      </c>
      <c r="V75">
        <f t="shared" si="21"/>
        <v>30</v>
      </c>
      <c r="AA75">
        <v>1</v>
      </c>
      <c r="AG75" s="5"/>
      <c r="AH75" s="5"/>
      <c r="AI75" s="16"/>
      <c r="AY75" s="5"/>
    </row>
    <row r="76" spans="1:51" x14ac:dyDescent="0.2">
      <c r="A76">
        <f t="shared" si="22"/>
        <v>75</v>
      </c>
      <c r="B76" s="8">
        <f t="shared" si="17"/>
        <v>2</v>
      </c>
      <c r="C76">
        <f t="shared" si="18"/>
        <v>1</v>
      </c>
      <c r="D76" s="5" t="str">
        <f t="shared" si="19"/>
        <v>09</v>
      </c>
      <c r="E76">
        <v>0</v>
      </c>
      <c r="F76" s="5" t="s">
        <v>673</v>
      </c>
      <c r="I76">
        <f t="shared" si="23"/>
        <v>42</v>
      </c>
      <c r="J76">
        <f t="shared" si="24"/>
        <v>61</v>
      </c>
      <c r="K76">
        <f t="shared" si="25"/>
        <v>55</v>
      </c>
      <c r="L76">
        <f t="shared" si="26"/>
        <v>91</v>
      </c>
      <c r="M76">
        <f t="shared" si="27"/>
        <v>22</v>
      </c>
      <c r="O76" s="6">
        <f t="shared" si="20"/>
        <v>39</v>
      </c>
      <c r="P76" s="8">
        <f t="shared" si="28"/>
        <v>91</v>
      </c>
      <c r="Q76" s="35">
        <f t="shared" si="28"/>
        <v>80</v>
      </c>
      <c r="R76" s="35">
        <f t="shared" si="31"/>
        <v>89</v>
      </c>
      <c r="S76" s="35">
        <v>18</v>
      </c>
      <c r="T76" s="35">
        <f t="shared" si="30"/>
        <v>4</v>
      </c>
      <c r="V76">
        <f t="shared" si="21"/>
        <v>30</v>
      </c>
      <c r="AA76">
        <v>1</v>
      </c>
      <c r="AG76" s="5"/>
      <c r="AH76" s="5"/>
      <c r="AI76" s="16"/>
      <c r="AY76" s="5"/>
    </row>
    <row r="77" spans="1:51" x14ac:dyDescent="0.2">
      <c r="A77">
        <f t="shared" si="22"/>
        <v>76</v>
      </c>
      <c r="B77" s="8">
        <f t="shared" si="17"/>
        <v>2</v>
      </c>
      <c r="C77">
        <f t="shared" si="18"/>
        <v>0</v>
      </c>
      <c r="D77" s="5" t="str">
        <f t="shared" si="19"/>
        <v>46</v>
      </c>
      <c r="E77">
        <v>0</v>
      </c>
      <c r="F77" s="5" t="s">
        <v>716</v>
      </c>
      <c r="I77">
        <f t="shared" si="23"/>
        <v>42</v>
      </c>
      <c r="J77">
        <f t="shared" si="24"/>
        <v>61</v>
      </c>
      <c r="K77">
        <f t="shared" si="25"/>
        <v>55</v>
      </c>
      <c r="L77">
        <f t="shared" si="26"/>
        <v>91</v>
      </c>
      <c r="M77">
        <f t="shared" si="27"/>
        <v>22</v>
      </c>
      <c r="O77" s="6">
        <f t="shared" si="20"/>
        <v>39</v>
      </c>
      <c r="P77" s="8">
        <v>77</v>
      </c>
      <c r="Q77" s="35">
        <f t="shared" si="28"/>
        <v>80</v>
      </c>
      <c r="R77" s="35">
        <f t="shared" si="31"/>
        <v>89</v>
      </c>
      <c r="S77" s="35">
        <f t="shared" si="29"/>
        <v>18</v>
      </c>
      <c r="T77" s="35">
        <v>44</v>
      </c>
      <c r="V77">
        <f t="shared" si="21"/>
        <v>30</v>
      </c>
      <c r="AC77">
        <v>1</v>
      </c>
      <c r="AG77" s="5"/>
      <c r="AH77" s="5"/>
      <c r="AI77" s="16"/>
      <c r="AY77" s="5"/>
    </row>
    <row r="78" spans="1:51" x14ac:dyDescent="0.2">
      <c r="A78">
        <f t="shared" si="22"/>
        <v>77</v>
      </c>
      <c r="B78" s="8">
        <f t="shared" si="17"/>
        <v>2</v>
      </c>
      <c r="C78">
        <f t="shared" si="18"/>
        <v>0</v>
      </c>
      <c r="D78" s="5" t="str">
        <f t="shared" si="19"/>
        <v>39</v>
      </c>
      <c r="E78">
        <v>0</v>
      </c>
      <c r="F78" s="5" t="s">
        <v>918</v>
      </c>
      <c r="H78" s="6" t="s">
        <v>325</v>
      </c>
      <c r="I78">
        <f t="shared" si="23"/>
        <v>42</v>
      </c>
      <c r="J78">
        <f t="shared" si="24"/>
        <v>61</v>
      </c>
      <c r="K78">
        <f t="shared" si="25"/>
        <v>55</v>
      </c>
      <c r="L78">
        <f t="shared" si="26"/>
        <v>91</v>
      </c>
      <c r="M78">
        <f t="shared" si="27"/>
        <v>22</v>
      </c>
      <c r="O78" s="6">
        <f t="shared" si="20"/>
        <v>39</v>
      </c>
      <c r="P78" s="8">
        <f t="shared" si="28"/>
        <v>77</v>
      </c>
      <c r="Q78" s="35">
        <f t="shared" si="28"/>
        <v>80</v>
      </c>
      <c r="R78" s="35">
        <v>68</v>
      </c>
      <c r="S78" s="35">
        <f t="shared" si="29"/>
        <v>18</v>
      </c>
      <c r="T78" s="35">
        <f t="shared" si="30"/>
        <v>44</v>
      </c>
      <c r="V78">
        <f t="shared" si="21"/>
        <v>30</v>
      </c>
      <c r="AA78">
        <v>1</v>
      </c>
      <c r="AG78" s="5"/>
      <c r="AH78" s="5"/>
      <c r="AI78" s="16"/>
      <c r="AY78" s="5"/>
    </row>
    <row r="79" spans="1:51" x14ac:dyDescent="0.2">
      <c r="A79">
        <f t="shared" si="22"/>
        <v>78</v>
      </c>
      <c r="B79" s="8">
        <v>2</v>
      </c>
      <c r="G79" s="8" t="s">
        <v>426</v>
      </c>
      <c r="I79" t="str">
        <f t="shared" si="23"/>
        <v/>
      </c>
      <c r="J79" t="str">
        <f t="shared" si="24"/>
        <v/>
      </c>
      <c r="K79" t="str">
        <f t="shared" si="25"/>
        <v/>
      </c>
      <c r="L79" t="str">
        <f t="shared" si="26"/>
        <v/>
      </c>
      <c r="M79" t="str">
        <f t="shared" si="27"/>
        <v/>
      </c>
      <c r="P79" s="8" t="str">
        <f t="shared" si="28"/>
        <v/>
      </c>
      <c r="Q79" s="35" t="str">
        <f t="shared" si="28"/>
        <v/>
      </c>
      <c r="R79" s="35" t="str">
        <f t="shared" si="31"/>
        <v/>
      </c>
      <c r="S79" s="35" t="str">
        <f t="shared" si="29"/>
        <v/>
      </c>
      <c r="T79" s="35" t="str">
        <f t="shared" si="30"/>
        <v/>
      </c>
      <c r="AG79" s="5"/>
      <c r="AH79" s="5"/>
      <c r="AI79" s="16"/>
      <c r="AY79" s="5"/>
    </row>
    <row r="80" spans="1:51" x14ac:dyDescent="0.2">
      <c r="A80">
        <f t="shared" si="22"/>
        <v>79</v>
      </c>
      <c r="B80" s="8">
        <f t="shared" si="17"/>
        <v>3</v>
      </c>
      <c r="C80">
        <f t="shared" si="18"/>
        <v>18</v>
      </c>
      <c r="D80" s="5">
        <f t="shared" si="19"/>
        <v>0</v>
      </c>
      <c r="E80">
        <v>16</v>
      </c>
      <c r="F80" s="5" t="s">
        <v>713</v>
      </c>
      <c r="G80" s="8" t="s">
        <v>317</v>
      </c>
      <c r="I80">
        <v>42</v>
      </c>
      <c r="J80">
        <v>75</v>
      </c>
      <c r="K80">
        <v>14</v>
      </c>
      <c r="L80">
        <v>84</v>
      </c>
      <c r="M80">
        <v>91</v>
      </c>
      <c r="O80" s="6">
        <v>39</v>
      </c>
      <c r="P80" s="8">
        <v>77</v>
      </c>
      <c r="Q80" s="35">
        <v>13</v>
      </c>
      <c r="R80" s="35">
        <v>68</v>
      </c>
      <c r="S80" s="35">
        <v>44</v>
      </c>
      <c r="T80" s="35">
        <v>18</v>
      </c>
      <c r="V80">
        <v>30</v>
      </c>
      <c r="Y80">
        <v>1</v>
      </c>
      <c r="AG80" s="5"/>
      <c r="AH80" s="5"/>
      <c r="AI80" s="16"/>
      <c r="AY80" s="5"/>
    </row>
    <row r="81" spans="1:51" x14ac:dyDescent="0.2">
      <c r="A81">
        <f t="shared" si="22"/>
        <v>80</v>
      </c>
      <c r="B81" s="8">
        <f t="shared" si="17"/>
        <v>3</v>
      </c>
      <c r="C81">
        <f t="shared" si="18"/>
        <v>16</v>
      </c>
      <c r="D81" s="5" t="str">
        <f t="shared" si="19"/>
        <v>40</v>
      </c>
      <c r="E81">
        <v>16</v>
      </c>
      <c r="F81" s="5" t="s">
        <v>724</v>
      </c>
      <c r="I81">
        <f t="shared" si="23"/>
        <v>42</v>
      </c>
      <c r="J81">
        <f t="shared" si="24"/>
        <v>75</v>
      </c>
      <c r="K81">
        <f t="shared" si="25"/>
        <v>14</v>
      </c>
      <c r="L81">
        <f t="shared" si="26"/>
        <v>84</v>
      </c>
      <c r="M81">
        <f t="shared" si="27"/>
        <v>91</v>
      </c>
      <c r="O81" s="6">
        <f t="shared" si="20"/>
        <v>39</v>
      </c>
      <c r="P81" s="8">
        <f t="shared" si="28"/>
        <v>77</v>
      </c>
      <c r="Q81" s="35">
        <v>12</v>
      </c>
      <c r="R81" s="35">
        <v>56</v>
      </c>
      <c r="S81" s="35">
        <v>4</v>
      </c>
      <c r="T81" s="35">
        <f t="shared" si="30"/>
        <v>18</v>
      </c>
      <c r="V81">
        <f t="shared" si="21"/>
        <v>30</v>
      </c>
      <c r="AA81">
        <v>1</v>
      </c>
      <c r="AG81" s="5"/>
      <c r="AH81" s="5"/>
      <c r="AI81" s="16"/>
      <c r="AY81" s="5"/>
    </row>
    <row r="82" spans="1:51" x14ac:dyDescent="0.2">
      <c r="A82">
        <f t="shared" si="22"/>
        <v>81</v>
      </c>
      <c r="B82" s="8">
        <f t="shared" si="17"/>
        <v>3</v>
      </c>
      <c r="C82">
        <f t="shared" si="18"/>
        <v>16</v>
      </c>
      <c r="D82" s="5" t="str">
        <f t="shared" si="19"/>
        <v>29</v>
      </c>
      <c r="E82">
        <v>16</v>
      </c>
      <c r="F82" s="5" t="s">
        <v>780</v>
      </c>
      <c r="H82" s="6" t="s">
        <v>326</v>
      </c>
      <c r="I82">
        <f t="shared" si="23"/>
        <v>42</v>
      </c>
      <c r="J82">
        <f t="shared" si="24"/>
        <v>75</v>
      </c>
      <c r="K82">
        <f t="shared" si="25"/>
        <v>14</v>
      </c>
      <c r="L82">
        <f t="shared" si="26"/>
        <v>84</v>
      </c>
      <c r="M82">
        <f t="shared" si="27"/>
        <v>91</v>
      </c>
      <c r="O82" s="6">
        <f t="shared" si="20"/>
        <v>39</v>
      </c>
      <c r="P82" s="8">
        <f t="shared" si="28"/>
        <v>77</v>
      </c>
      <c r="Q82" s="35">
        <f t="shared" si="28"/>
        <v>12</v>
      </c>
      <c r="R82" s="35">
        <f t="shared" si="31"/>
        <v>56</v>
      </c>
      <c r="S82" s="35">
        <f t="shared" si="29"/>
        <v>4</v>
      </c>
      <c r="T82" s="35">
        <v>25</v>
      </c>
      <c r="V82">
        <f t="shared" si="21"/>
        <v>30</v>
      </c>
      <c r="AA82">
        <v>1</v>
      </c>
      <c r="AG82" s="5"/>
      <c r="AH82" s="5"/>
      <c r="AI82" s="16"/>
      <c r="AY82" s="5"/>
    </row>
    <row r="83" spans="1:51" x14ac:dyDescent="0.2">
      <c r="A83">
        <f t="shared" si="22"/>
        <v>82</v>
      </c>
      <c r="B83" s="8">
        <f t="shared" si="17"/>
        <v>3</v>
      </c>
      <c r="C83">
        <f t="shared" si="18"/>
        <v>16</v>
      </c>
      <c r="D83" s="5" t="str">
        <f t="shared" si="19"/>
        <v>26</v>
      </c>
      <c r="E83">
        <v>14</v>
      </c>
      <c r="F83" s="5" t="s">
        <v>789</v>
      </c>
      <c r="G83" s="8" t="s">
        <v>322</v>
      </c>
      <c r="I83">
        <v>70</v>
      </c>
      <c r="J83">
        <v>24</v>
      </c>
      <c r="K83">
        <v>61</v>
      </c>
      <c r="L83">
        <v>9</v>
      </c>
      <c r="M83">
        <v>22</v>
      </c>
      <c r="O83" s="6">
        <f t="shared" si="20"/>
        <v>39</v>
      </c>
      <c r="P83" s="8">
        <v>3</v>
      </c>
      <c r="Q83" s="35">
        <f t="shared" si="28"/>
        <v>12</v>
      </c>
      <c r="R83" s="35">
        <f t="shared" si="31"/>
        <v>56</v>
      </c>
      <c r="S83" s="35">
        <f t="shared" si="29"/>
        <v>4</v>
      </c>
      <c r="T83" s="35">
        <f t="shared" si="30"/>
        <v>25</v>
      </c>
      <c r="V83">
        <f t="shared" si="21"/>
        <v>30</v>
      </c>
      <c r="Y83">
        <v>1</v>
      </c>
      <c r="AG83" s="5"/>
      <c r="AH83" s="5"/>
      <c r="AI83" s="16"/>
      <c r="AY83" s="5"/>
    </row>
    <row r="84" spans="1:51" x14ac:dyDescent="0.2">
      <c r="A84">
        <f t="shared" si="22"/>
        <v>83</v>
      </c>
      <c r="B84" s="8">
        <f t="shared" si="17"/>
        <v>3</v>
      </c>
      <c r="C84">
        <f t="shared" si="18"/>
        <v>14</v>
      </c>
      <c r="D84" s="5" t="str">
        <f t="shared" si="19"/>
        <v>47</v>
      </c>
      <c r="E84">
        <v>14</v>
      </c>
      <c r="F84" s="5" t="s">
        <v>733</v>
      </c>
      <c r="I84">
        <v>70</v>
      </c>
      <c r="J84">
        <f t="shared" si="24"/>
        <v>24</v>
      </c>
      <c r="K84">
        <f t="shared" si="25"/>
        <v>61</v>
      </c>
      <c r="L84">
        <v>84</v>
      </c>
      <c r="M84">
        <f t="shared" si="27"/>
        <v>22</v>
      </c>
      <c r="O84" s="6">
        <f t="shared" si="20"/>
        <v>39</v>
      </c>
      <c r="P84" s="8">
        <f t="shared" si="28"/>
        <v>3</v>
      </c>
      <c r="Q84" s="35">
        <f t="shared" si="28"/>
        <v>12</v>
      </c>
      <c r="R84" s="35">
        <f t="shared" si="31"/>
        <v>56</v>
      </c>
      <c r="S84" s="35">
        <f t="shared" si="29"/>
        <v>4</v>
      </c>
      <c r="T84" s="35">
        <f t="shared" si="30"/>
        <v>25</v>
      </c>
      <c r="V84">
        <f t="shared" si="21"/>
        <v>30</v>
      </c>
      <c r="AC84">
        <v>1</v>
      </c>
      <c r="AG84" s="5"/>
      <c r="AH84" s="5"/>
      <c r="AI84" s="16"/>
      <c r="AY84" s="5"/>
    </row>
    <row r="85" spans="1:51" x14ac:dyDescent="0.2">
      <c r="A85">
        <f t="shared" si="22"/>
        <v>84</v>
      </c>
      <c r="B85" s="8">
        <f t="shared" si="17"/>
        <v>3</v>
      </c>
      <c r="C85">
        <f t="shared" si="18"/>
        <v>14</v>
      </c>
      <c r="D85" s="5" t="str">
        <f t="shared" si="19"/>
        <v>12</v>
      </c>
      <c r="E85">
        <v>14</v>
      </c>
      <c r="F85" s="5" t="s">
        <v>738</v>
      </c>
      <c r="I85">
        <f t="shared" si="23"/>
        <v>70</v>
      </c>
      <c r="J85">
        <f t="shared" si="24"/>
        <v>24</v>
      </c>
      <c r="K85">
        <f t="shared" si="25"/>
        <v>61</v>
      </c>
      <c r="L85">
        <f t="shared" si="26"/>
        <v>84</v>
      </c>
      <c r="M85">
        <f t="shared" si="27"/>
        <v>22</v>
      </c>
      <c r="O85" s="6">
        <f t="shared" si="20"/>
        <v>39</v>
      </c>
      <c r="P85" s="8">
        <f t="shared" si="28"/>
        <v>3</v>
      </c>
      <c r="Q85" s="35">
        <f t="shared" si="28"/>
        <v>12</v>
      </c>
      <c r="R85" s="35">
        <v>89</v>
      </c>
      <c r="S85" s="35">
        <f t="shared" si="29"/>
        <v>4</v>
      </c>
      <c r="T85" s="35">
        <f t="shared" si="30"/>
        <v>25</v>
      </c>
      <c r="V85">
        <f t="shared" si="21"/>
        <v>30</v>
      </c>
      <c r="Y85">
        <v>1</v>
      </c>
      <c r="AG85" s="5"/>
      <c r="AH85" s="5"/>
      <c r="AI85" s="16"/>
      <c r="AY85" s="5"/>
    </row>
    <row r="86" spans="1:51" x14ac:dyDescent="0.2">
      <c r="A86">
        <f t="shared" si="22"/>
        <v>85</v>
      </c>
      <c r="B86" s="8">
        <f t="shared" si="17"/>
        <v>3</v>
      </c>
      <c r="C86">
        <f t="shared" si="18"/>
        <v>14</v>
      </c>
      <c r="D86" s="5" t="str">
        <f t="shared" si="19"/>
        <v>05</v>
      </c>
      <c r="E86">
        <v>13</v>
      </c>
      <c r="F86" s="5" t="s">
        <v>790</v>
      </c>
      <c r="I86">
        <v>42</v>
      </c>
      <c r="J86">
        <f t="shared" si="24"/>
        <v>24</v>
      </c>
      <c r="K86">
        <f t="shared" si="25"/>
        <v>61</v>
      </c>
      <c r="L86">
        <f t="shared" si="26"/>
        <v>84</v>
      </c>
      <c r="M86">
        <v>91</v>
      </c>
      <c r="O86" s="6">
        <f t="shared" si="20"/>
        <v>39</v>
      </c>
      <c r="P86" s="8">
        <v>91</v>
      </c>
      <c r="Q86" s="35">
        <f t="shared" si="28"/>
        <v>12</v>
      </c>
      <c r="R86" s="35">
        <f t="shared" si="31"/>
        <v>89</v>
      </c>
      <c r="S86" s="35">
        <f t="shared" si="29"/>
        <v>4</v>
      </c>
      <c r="T86" s="35">
        <f t="shared" si="30"/>
        <v>25</v>
      </c>
      <c r="V86">
        <f t="shared" si="21"/>
        <v>30</v>
      </c>
      <c r="AA86">
        <v>1</v>
      </c>
      <c r="AG86" s="5"/>
      <c r="AH86" s="5"/>
      <c r="AI86" s="16"/>
      <c r="AY86" s="5"/>
    </row>
    <row r="87" spans="1:51" x14ac:dyDescent="0.2">
      <c r="A87">
        <f t="shared" si="22"/>
        <v>86</v>
      </c>
      <c r="B87" s="8">
        <f t="shared" si="17"/>
        <v>3</v>
      </c>
      <c r="C87">
        <f t="shared" si="18"/>
        <v>13</v>
      </c>
      <c r="D87" s="5" t="str">
        <f t="shared" si="19"/>
        <v>38</v>
      </c>
      <c r="E87">
        <v>13</v>
      </c>
      <c r="F87" s="5" t="s">
        <v>766</v>
      </c>
      <c r="H87" s="6" t="s">
        <v>375</v>
      </c>
      <c r="I87">
        <f t="shared" si="23"/>
        <v>42</v>
      </c>
      <c r="J87">
        <f t="shared" si="24"/>
        <v>24</v>
      </c>
      <c r="K87">
        <f t="shared" si="25"/>
        <v>61</v>
      </c>
      <c r="L87">
        <f t="shared" si="26"/>
        <v>84</v>
      </c>
      <c r="M87">
        <f t="shared" si="27"/>
        <v>91</v>
      </c>
      <c r="O87" s="6">
        <f t="shared" si="20"/>
        <v>39</v>
      </c>
      <c r="P87" s="8">
        <f t="shared" si="28"/>
        <v>91</v>
      </c>
      <c r="Q87" s="35">
        <v>80</v>
      </c>
      <c r="R87" s="35">
        <f t="shared" si="31"/>
        <v>89</v>
      </c>
      <c r="S87" s="35">
        <f t="shared" si="29"/>
        <v>4</v>
      </c>
      <c r="T87" s="35">
        <v>44</v>
      </c>
      <c r="V87">
        <f t="shared" si="21"/>
        <v>30</v>
      </c>
      <c r="AA87">
        <v>1</v>
      </c>
      <c r="AG87" s="5"/>
      <c r="AH87" s="5"/>
      <c r="AI87" s="16"/>
      <c r="AY87" s="5"/>
    </row>
    <row r="88" spans="1:51" x14ac:dyDescent="0.2">
      <c r="A88">
        <f t="shared" si="22"/>
        <v>87</v>
      </c>
      <c r="B88" s="8">
        <f t="shared" si="17"/>
        <v>3</v>
      </c>
      <c r="C88">
        <f t="shared" si="18"/>
        <v>13</v>
      </c>
      <c r="D88" s="5" t="str">
        <f t="shared" si="19"/>
        <v>23</v>
      </c>
      <c r="E88">
        <v>12</v>
      </c>
      <c r="F88" s="5" t="s">
        <v>730</v>
      </c>
      <c r="G88" s="8" t="s">
        <v>322</v>
      </c>
      <c r="H88" s="6" t="s">
        <v>375</v>
      </c>
      <c r="I88">
        <f t="shared" si="23"/>
        <v>42</v>
      </c>
      <c r="J88">
        <v>55</v>
      </c>
      <c r="K88">
        <v>14</v>
      </c>
      <c r="L88">
        <f t="shared" si="26"/>
        <v>84</v>
      </c>
      <c r="M88">
        <f t="shared" si="27"/>
        <v>91</v>
      </c>
      <c r="O88" s="6">
        <f t="shared" si="20"/>
        <v>39</v>
      </c>
      <c r="P88" s="8">
        <v>77</v>
      </c>
      <c r="Q88" s="35">
        <f t="shared" si="28"/>
        <v>80</v>
      </c>
      <c r="R88" s="35">
        <f t="shared" si="31"/>
        <v>89</v>
      </c>
      <c r="S88" s="35">
        <v>18</v>
      </c>
      <c r="T88" s="35">
        <f t="shared" si="30"/>
        <v>44</v>
      </c>
      <c r="V88">
        <f t="shared" si="21"/>
        <v>30</v>
      </c>
      <c r="AA88">
        <v>1</v>
      </c>
      <c r="AG88" s="5"/>
      <c r="AH88" s="5"/>
      <c r="AI88" s="16"/>
      <c r="AY88" s="5"/>
    </row>
    <row r="89" spans="1:51" x14ac:dyDescent="0.2">
      <c r="A89">
        <f t="shared" si="22"/>
        <v>88</v>
      </c>
      <c r="B89" s="8">
        <f t="shared" si="17"/>
        <v>3</v>
      </c>
      <c r="C89">
        <f t="shared" si="18"/>
        <v>12</v>
      </c>
      <c r="D89" s="5" t="str">
        <f t="shared" si="19"/>
        <v>22</v>
      </c>
      <c r="E89">
        <v>11</v>
      </c>
      <c r="F89" s="5" t="s">
        <v>780</v>
      </c>
      <c r="G89" s="8" t="s">
        <v>322</v>
      </c>
      <c r="I89">
        <f t="shared" si="23"/>
        <v>42</v>
      </c>
      <c r="J89">
        <f t="shared" si="24"/>
        <v>55</v>
      </c>
      <c r="K89">
        <f t="shared" si="25"/>
        <v>14</v>
      </c>
      <c r="L89">
        <f t="shared" si="26"/>
        <v>84</v>
      </c>
      <c r="M89">
        <f t="shared" si="27"/>
        <v>91</v>
      </c>
      <c r="O89" s="6">
        <f t="shared" si="20"/>
        <v>39</v>
      </c>
      <c r="P89" s="8">
        <f t="shared" si="28"/>
        <v>77</v>
      </c>
      <c r="Q89" s="35">
        <v>13</v>
      </c>
      <c r="R89" s="35">
        <v>68</v>
      </c>
      <c r="S89" s="35">
        <f t="shared" si="29"/>
        <v>18</v>
      </c>
      <c r="T89" s="35">
        <f t="shared" si="30"/>
        <v>44</v>
      </c>
      <c r="V89">
        <f t="shared" si="21"/>
        <v>30</v>
      </c>
      <c r="Y89">
        <v>1</v>
      </c>
      <c r="AG89" s="5"/>
      <c r="AH89" s="5"/>
      <c r="AI89" s="16"/>
      <c r="AY89" s="5"/>
    </row>
    <row r="90" spans="1:51" x14ac:dyDescent="0.2">
      <c r="A90">
        <f t="shared" si="22"/>
        <v>89</v>
      </c>
      <c r="B90" s="8">
        <f t="shared" si="17"/>
        <v>3</v>
      </c>
      <c r="C90">
        <f t="shared" si="18"/>
        <v>11</v>
      </c>
      <c r="D90" s="5" t="str">
        <f t="shared" si="19"/>
        <v>26</v>
      </c>
      <c r="E90">
        <v>10</v>
      </c>
      <c r="F90" s="5" t="s">
        <v>755</v>
      </c>
      <c r="H90" s="6" t="s">
        <v>328</v>
      </c>
      <c r="I90">
        <f t="shared" si="23"/>
        <v>42</v>
      </c>
      <c r="J90">
        <f t="shared" si="24"/>
        <v>55</v>
      </c>
      <c r="K90">
        <f t="shared" si="25"/>
        <v>14</v>
      </c>
      <c r="L90">
        <v>9</v>
      </c>
      <c r="M90">
        <f t="shared" si="27"/>
        <v>91</v>
      </c>
      <c r="O90" s="6">
        <f t="shared" si="20"/>
        <v>39</v>
      </c>
      <c r="P90" s="8">
        <f t="shared" si="28"/>
        <v>77</v>
      </c>
      <c r="Q90" s="35">
        <f t="shared" si="28"/>
        <v>13</v>
      </c>
      <c r="R90" s="35">
        <f t="shared" si="31"/>
        <v>68</v>
      </c>
      <c r="S90" s="35">
        <f t="shared" si="29"/>
        <v>18</v>
      </c>
      <c r="T90" s="35">
        <f t="shared" si="30"/>
        <v>44</v>
      </c>
      <c r="V90">
        <f t="shared" si="21"/>
        <v>30</v>
      </c>
      <c r="Y90">
        <v>1</v>
      </c>
      <c r="AG90" s="5"/>
      <c r="AH90" s="5"/>
      <c r="AI90" s="16"/>
      <c r="AY90" s="5"/>
    </row>
    <row r="91" spans="1:51" x14ac:dyDescent="0.2">
      <c r="A91">
        <f t="shared" si="22"/>
        <v>90</v>
      </c>
      <c r="B91" s="8">
        <f t="shared" si="17"/>
        <v>3</v>
      </c>
      <c r="C91">
        <f t="shared" si="18"/>
        <v>10</v>
      </c>
      <c r="D91" s="5" t="str">
        <f t="shared" si="19"/>
        <v>43</v>
      </c>
      <c r="E91">
        <v>8</v>
      </c>
      <c r="F91" s="5" t="s">
        <v>719</v>
      </c>
      <c r="G91" s="8" t="s">
        <v>321</v>
      </c>
      <c r="H91" s="6" t="s">
        <v>375</v>
      </c>
      <c r="I91">
        <v>70</v>
      </c>
      <c r="J91">
        <v>75</v>
      </c>
      <c r="L91">
        <f t="shared" si="26"/>
        <v>9</v>
      </c>
      <c r="M91">
        <v>22</v>
      </c>
      <c r="O91" s="6">
        <f t="shared" si="20"/>
        <v>39</v>
      </c>
      <c r="P91" s="8">
        <v>3</v>
      </c>
      <c r="Q91" s="35">
        <v>12</v>
      </c>
      <c r="R91" s="35">
        <v>56</v>
      </c>
      <c r="S91" s="35">
        <v>4</v>
      </c>
      <c r="T91" s="35">
        <v>25</v>
      </c>
      <c r="V91">
        <f t="shared" si="21"/>
        <v>30</v>
      </c>
      <c r="AA91">
        <v>1</v>
      </c>
      <c r="AG91" s="5"/>
      <c r="AH91" s="5"/>
      <c r="AI91" s="16"/>
      <c r="AY91" s="5"/>
    </row>
    <row r="92" spans="1:51" x14ac:dyDescent="0.2">
      <c r="A92">
        <f t="shared" si="22"/>
        <v>91</v>
      </c>
      <c r="B92" s="8">
        <f t="shared" si="17"/>
        <v>3</v>
      </c>
      <c r="C92">
        <f t="shared" si="18"/>
        <v>8</v>
      </c>
      <c r="D92" s="5" t="str">
        <f t="shared" si="19"/>
        <v>33</v>
      </c>
      <c r="E92">
        <v>7</v>
      </c>
      <c r="F92" s="5" t="s">
        <v>751</v>
      </c>
      <c r="G92" s="8" t="s">
        <v>322</v>
      </c>
      <c r="I92">
        <f t="shared" si="23"/>
        <v>70</v>
      </c>
      <c r="J92">
        <v>61</v>
      </c>
      <c r="L92">
        <v>84</v>
      </c>
      <c r="M92">
        <f t="shared" si="27"/>
        <v>22</v>
      </c>
      <c r="O92" s="6">
        <f t="shared" si="20"/>
        <v>39</v>
      </c>
      <c r="P92" s="8">
        <v>77</v>
      </c>
      <c r="Q92" s="35">
        <v>13</v>
      </c>
      <c r="R92" s="35">
        <v>68</v>
      </c>
      <c r="S92" s="35">
        <f t="shared" si="29"/>
        <v>4</v>
      </c>
      <c r="T92" s="35">
        <f t="shared" si="30"/>
        <v>25</v>
      </c>
      <c r="V92">
        <f t="shared" si="21"/>
        <v>30</v>
      </c>
      <c r="Y92">
        <v>1</v>
      </c>
      <c r="AG92" s="5"/>
      <c r="AH92" s="5"/>
      <c r="AI92" s="16"/>
      <c r="AY92" s="5"/>
    </row>
    <row r="93" spans="1:51" x14ac:dyDescent="0.2">
      <c r="A93">
        <f t="shared" si="22"/>
        <v>92</v>
      </c>
      <c r="B93" s="8">
        <f t="shared" si="17"/>
        <v>3</v>
      </c>
      <c r="C93">
        <f t="shared" si="18"/>
        <v>7</v>
      </c>
      <c r="D93" s="5" t="str">
        <f t="shared" si="19"/>
        <v>53</v>
      </c>
      <c r="E93">
        <v>7</v>
      </c>
      <c r="F93" s="5" t="s">
        <v>780</v>
      </c>
      <c r="I93">
        <f t="shared" si="23"/>
        <v>70</v>
      </c>
      <c r="J93">
        <f t="shared" si="24"/>
        <v>61</v>
      </c>
      <c r="L93">
        <f t="shared" si="26"/>
        <v>84</v>
      </c>
      <c r="M93">
        <v>91</v>
      </c>
      <c r="O93" s="6">
        <f t="shared" si="20"/>
        <v>39</v>
      </c>
      <c r="P93" s="8">
        <f t="shared" si="28"/>
        <v>77</v>
      </c>
      <c r="Q93" s="35">
        <f t="shared" si="28"/>
        <v>13</v>
      </c>
      <c r="R93" s="35">
        <f t="shared" si="31"/>
        <v>68</v>
      </c>
      <c r="S93" s="35">
        <f t="shared" si="29"/>
        <v>4</v>
      </c>
      <c r="T93" s="35">
        <f t="shared" si="30"/>
        <v>25</v>
      </c>
      <c r="V93">
        <f t="shared" si="21"/>
        <v>30</v>
      </c>
      <c r="AC93">
        <v>1</v>
      </c>
      <c r="AG93" s="5"/>
      <c r="AH93" s="5"/>
      <c r="AI93" s="16"/>
      <c r="AY93" s="5"/>
    </row>
    <row r="94" spans="1:51" x14ac:dyDescent="0.2">
      <c r="A94">
        <f t="shared" si="22"/>
        <v>93</v>
      </c>
      <c r="B94" s="8">
        <f t="shared" si="17"/>
        <v>3</v>
      </c>
      <c r="C94">
        <f t="shared" si="18"/>
        <v>7</v>
      </c>
      <c r="D94" s="5" t="str">
        <f t="shared" si="19"/>
        <v>26</v>
      </c>
      <c r="E94">
        <v>7</v>
      </c>
      <c r="F94" s="5" t="s">
        <v>448</v>
      </c>
      <c r="H94" s="6" t="s">
        <v>375</v>
      </c>
      <c r="I94">
        <f t="shared" si="23"/>
        <v>70</v>
      </c>
      <c r="J94">
        <f t="shared" si="24"/>
        <v>61</v>
      </c>
      <c r="L94">
        <f t="shared" si="26"/>
        <v>84</v>
      </c>
      <c r="M94">
        <f t="shared" si="27"/>
        <v>91</v>
      </c>
      <c r="O94" s="6">
        <f t="shared" si="20"/>
        <v>39</v>
      </c>
      <c r="P94" s="8">
        <f t="shared" si="28"/>
        <v>77</v>
      </c>
      <c r="Q94" s="35">
        <f t="shared" si="28"/>
        <v>13</v>
      </c>
      <c r="R94" s="35">
        <f t="shared" si="31"/>
        <v>68</v>
      </c>
      <c r="S94" s="35">
        <f t="shared" si="29"/>
        <v>4</v>
      </c>
      <c r="T94" s="35">
        <v>18</v>
      </c>
      <c r="V94">
        <f t="shared" si="21"/>
        <v>30</v>
      </c>
      <c r="AA94">
        <v>1</v>
      </c>
      <c r="AG94" s="5"/>
      <c r="AH94" s="5"/>
      <c r="AI94" s="16"/>
      <c r="AY94" s="5"/>
    </row>
    <row r="95" spans="1:51" x14ac:dyDescent="0.2">
      <c r="A95">
        <f t="shared" si="22"/>
        <v>94</v>
      </c>
      <c r="B95" s="8">
        <f t="shared" si="17"/>
        <v>3</v>
      </c>
      <c r="C95">
        <f t="shared" si="18"/>
        <v>7</v>
      </c>
      <c r="D95" s="5" t="str">
        <f t="shared" si="19"/>
        <v>14</v>
      </c>
      <c r="E95">
        <v>6</v>
      </c>
      <c r="F95" s="5" t="s">
        <v>896</v>
      </c>
      <c r="G95" s="8" t="s">
        <v>322</v>
      </c>
      <c r="I95">
        <v>42</v>
      </c>
      <c r="J95">
        <f t="shared" si="24"/>
        <v>61</v>
      </c>
      <c r="L95">
        <f t="shared" si="26"/>
        <v>84</v>
      </c>
      <c r="M95">
        <f t="shared" si="27"/>
        <v>91</v>
      </c>
      <c r="O95" s="6">
        <f t="shared" si="20"/>
        <v>39</v>
      </c>
      <c r="P95" s="8">
        <f t="shared" si="28"/>
        <v>77</v>
      </c>
      <c r="Q95" s="35">
        <f t="shared" si="28"/>
        <v>13</v>
      </c>
      <c r="R95" s="35">
        <f t="shared" si="31"/>
        <v>68</v>
      </c>
      <c r="S95" s="35">
        <v>44</v>
      </c>
      <c r="T95" s="35">
        <f t="shared" si="30"/>
        <v>18</v>
      </c>
      <c r="V95">
        <f t="shared" si="21"/>
        <v>30</v>
      </c>
      <c r="AA95">
        <v>1</v>
      </c>
      <c r="AG95" s="5"/>
      <c r="AH95" s="5"/>
      <c r="AI95" s="16"/>
      <c r="AY95" s="5"/>
    </row>
    <row r="96" spans="1:51" x14ac:dyDescent="0.2">
      <c r="A96">
        <f t="shared" si="22"/>
        <v>95</v>
      </c>
      <c r="B96" s="8">
        <f t="shared" si="17"/>
        <v>3</v>
      </c>
      <c r="C96">
        <f t="shared" si="18"/>
        <v>6</v>
      </c>
      <c r="D96" s="5" t="str">
        <f t="shared" si="19"/>
        <v>58</v>
      </c>
      <c r="E96">
        <v>6</v>
      </c>
      <c r="F96" s="5" t="s">
        <v>811</v>
      </c>
      <c r="H96" s="6" t="s">
        <v>374</v>
      </c>
      <c r="I96">
        <f t="shared" si="23"/>
        <v>42</v>
      </c>
      <c r="J96">
        <f t="shared" si="24"/>
        <v>61</v>
      </c>
      <c r="K96">
        <v>55</v>
      </c>
      <c r="L96">
        <f t="shared" si="26"/>
        <v>84</v>
      </c>
      <c r="M96">
        <f t="shared" si="27"/>
        <v>91</v>
      </c>
      <c r="O96" s="6">
        <f t="shared" si="20"/>
        <v>39</v>
      </c>
      <c r="P96" s="8">
        <f t="shared" si="28"/>
        <v>77</v>
      </c>
      <c r="Q96" s="35">
        <f t="shared" si="28"/>
        <v>13</v>
      </c>
      <c r="R96" s="35">
        <f t="shared" si="31"/>
        <v>68</v>
      </c>
      <c r="S96" s="35">
        <f t="shared" si="29"/>
        <v>44</v>
      </c>
      <c r="T96" s="35">
        <f t="shared" si="30"/>
        <v>18</v>
      </c>
      <c r="V96">
        <f t="shared" si="21"/>
        <v>30</v>
      </c>
      <c r="Y96">
        <v>1</v>
      </c>
      <c r="AG96" s="5"/>
      <c r="AH96" s="5"/>
      <c r="AI96" s="16"/>
      <c r="AY96" s="5"/>
    </row>
    <row r="97" spans="1:51" x14ac:dyDescent="0.2">
      <c r="A97">
        <f t="shared" si="22"/>
        <v>96</v>
      </c>
      <c r="B97" s="8">
        <f t="shared" si="17"/>
        <v>3</v>
      </c>
      <c r="C97">
        <f t="shared" si="18"/>
        <v>6</v>
      </c>
      <c r="D97" s="5" t="str">
        <f t="shared" si="19"/>
        <v>37</v>
      </c>
      <c r="E97">
        <v>5</v>
      </c>
      <c r="F97" s="5" t="s">
        <v>637</v>
      </c>
      <c r="G97" s="8" t="s">
        <v>322</v>
      </c>
      <c r="H97" s="6" t="s">
        <v>372</v>
      </c>
      <c r="I97">
        <f t="shared" si="23"/>
        <v>42</v>
      </c>
      <c r="J97">
        <f t="shared" si="24"/>
        <v>61</v>
      </c>
      <c r="K97">
        <v>24</v>
      </c>
      <c r="L97">
        <f t="shared" si="26"/>
        <v>84</v>
      </c>
      <c r="M97">
        <f t="shared" si="27"/>
        <v>91</v>
      </c>
      <c r="O97" s="6">
        <f t="shared" si="20"/>
        <v>39</v>
      </c>
      <c r="P97" s="8">
        <v>91</v>
      </c>
      <c r="Q97" s="35">
        <v>80</v>
      </c>
      <c r="R97" s="35">
        <v>89</v>
      </c>
      <c r="S97" s="35">
        <f t="shared" si="29"/>
        <v>44</v>
      </c>
      <c r="T97" s="35">
        <f t="shared" si="30"/>
        <v>18</v>
      </c>
      <c r="V97">
        <f t="shared" si="21"/>
        <v>30</v>
      </c>
      <c r="Y97">
        <v>1</v>
      </c>
      <c r="AG97" s="5"/>
      <c r="AH97" s="5"/>
      <c r="AI97" s="16"/>
      <c r="AY97" s="5"/>
    </row>
    <row r="98" spans="1:51" x14ac:dyDescent="0.2">
      <c r="A98">
        <f t="shared" si="22"/>
        <v>97</v>
      </c>
      <c r="B98" s="8">
        <f t="shared" si="17"/>
        <v>3</v>
      </c>
      <c r="C98">
        <f t="shared" si="18"/>
        <v>5</v>
      </c>
      <c r="D98" s="5" t="str">
        <f t="shared" si="19"/>
        <v>55</v>
      </c>
      <c r="E98">
        <v>5</v>
      </c>
      <c r="F98" s="5" t="s">
        <v>735</v>
      </c>
      <c r="G98" s="8" t="s">
        <v>319</v>
      </c>
      <c r="I98">
        <f t="shared" si="23"/>
        <v>42</v>
      </c>
      <c r="J98">
        <v>14</v>
      </c>
      <c r="K98">
        <f t="shared" si="25"/>
        <v>24</v>
      </c>
      <c r="L98">
        <f t="shared" si="26"/>
        <v>84</v>
      </c>
      <c r="M98">
        <f t="shared" si="27"/>
        <v>91</v>
      </c>
      <c r="O98" s="6">
        <f t="shared" si="20"/>
        <v>39</v>
      </c>
      <c r="P98" s="8">
        <f t="shared" si="28"/>
        <v>91</v>
      </c>
      <c r="Q98" s="35">
        <f t="shared" si="28"/>
        <v>80</v>
      </c>
      <c r="R98" s="35">
        <f t="shared" si="31"/>
        <v>89</v>
      </c>
      <c r="S98" s="35">
        <f t="shared" si="29"/>
        <v>44</v>
      </c>
      <c r="T98" s="35">
        <f t="shared" si="30"/>
        <v>18</v>
      </c>
      <c r="V98">
        <f t="shared" si="21"/>
        <v>30</v>
      </c>
      <c r="Y98">
        <v>1</v>
      </c>
      <c r="AG98" s="5"/>
      <c r="AH98" s="5"/>
      <c r="AI98" s="16"/>
      <c r="AY98" s="5"/>
    </row>
    <row r="99" spans="1:51" x14ac:dyDescent="0.2">
      <c r="A99">
        <f t="shared" si="22"/>
        <v>98</v>
      </c>
      <c r="B99" s="8">
        <f t="shared" si="17"/>
        <v>3</v>
      </c>
      <c r="C99">
        <f t="shared" si="18"/>
        <v>5</v>
      </c>
      <c r="D99" s="5" t="str">
        <f t="shared" si="19"/>
        <v>09</v>
      </c>
      <c r="E99">
        <v>4</v>
      </c>
      <c r="F99" s="5" t="s">
        <v>638</v>
      </c>
      <c r="H99" s="6" t="s">
        <v>374</v>
      </c>
      <c r="I99">
        <f t="shared" si="23"/>
        <v>42</v>
      </c>
      <c r="J99">
        <f t="shared" si="24"/>
        <v>14</v>
      </c>
      <c r="K99">
        <f t="shared" si="25"/>
        <v>24</v>
      </c>
      <c r="L99">
        <v>9</v>
      </c>
      <c r="M99">
        <f t="shared" si="27"/>
        <v>91</v>
      </c>
      <c r="O99" s="6">
        <f t="shared" si="20"/>
        <v>39</v>
      </c>
      <c r="P99" s="8">
        <f t="shared" si="28"/>
        <v>91</v>
      </c>
      <c r="Q99" s="35">
        <f t="shared" si="28"/>
        <v>80</v>
      </c>
      <c r="R99" s="35">
        <f t="shared" si="31"/>
        <v>89</v>
      </c>
      <c r="S99" s="35">
        <f t="shared" si="29"/>
        <v>44</v>
      </c>
      <c r="T99" s="35">
        <f t="shared" si="30"/>
        <v>18</v>
      </c>
      <c r="V99">
        <f t="shared" si="21"/>
        <v>30</v>
      </c>
      <c r="Y99">
        <v>1</v>
      </c>
      <c r="AG99" s="5"/>
      <c r="AH99" s="5"/>
      <c r="AI99" s="16"/>
      <c r="AY99" s="5"/>
    </row>
    <row r="100" spans="1:51" x14ac:dyDescent="0.2">
      <c r="A100">
        <f t="shared" si="22"/>
        <v>99</v>
      </c>
      <c r="B100" s="8">
        <f t="shared" si="17"/>
        <v>3</v>
      </c>
      <c r="C100">
        <f t="shared" si="18"/>
        <v>4</v>
      </c>
      <c r="D100" s="5" t="str">
        <f t="shared" si="19"/>
        <v>57</v>
      </c>
      <c r="E100">
        <v>3</v>
      </c>
      <c r="F100" s="5" t="s">
        <v>716</v>
      </c>
      <c r="G100" s="8" t="s">
        <v>322</v>
      </c>
      <c r="H100" s="6" t="s">
        <v>374</v>
      </c>
      <c r="I100">
        <v>70</v>
      </c>
      <c r="J100">
        <f t="shared" si="24"/>
        <v>14</v>
      </c>
      <c r="K100">
        <v>75</v>
      </c>
      <c r="L100">
        <f t="shared" si="26"/>
        <v>9</v>
      </c>
      <c r="M100">
        <v>22</v>
      </c>
      <c r="O100" s="6">
        <f t="shared" si="20"/>
        <v>39</v>
      </c>
      <c r="P100" s="8">
        <v>3</v>
      </c>
      <c r="Q100" s="35">
        <v>12</v>
      </c>
      <c r="R100" s="35">
        <v>56</v>
      </c>
      <c r="S100" s="35">
        <v>4</v>
      </c>
      <c r="T100" s="35">
        <v>25</v>
      </c>
      <c r="V100">
        <f t="shared" si="21"/>
        <v>30</v>
      </c>
      <c r="Y100">
        <v>1</v>
      </c>
      <c r="AG100" s="5"/>
      <c r="AH100" s="5"/>
      <c r="AI100" s="16"/>
      <c r="AY100" s="5"/>
    </row>
    <row r="101" spans="1:51" x14ac:dyDescent="0.2">
      <c r="A101">
        <f t="shared" si="22"/>
        <v>100</v>
      </c>
      <c r="B101" s="8">
        <f t="shared" si="17"/>
        <v>3</v>
      </c>
      <c r="C101">
        <f t="shared" si="18"/>
        <v>3</v>
      </c>
      <c r="D101" s="5" t="str">
        <f t="shared" si="19"/>
        <v>39</v>
      </c>
      <c r="E101">
        <v>2</v>
      </c>
      <c r="F101" s="5" t="s">
        <v>717</v>
      </c>
      <c r="G101" s="8" t="s">
        <v>322</v>
      </c>
      <c r="I101">
        <f t="shared" si="23"/>
        <v>70</v>
      </c>
      <c r="J101">
        <v>55</v>
      </c>
      <c r="K101">
        <f t="shared" si="25"/>
        <v>75</v>
      </c>
      <c r="L101">
        <f t="shared" si="26"/>
        <v>9</v>
      </c>
      <c r="M101">
        <f t="shared" si="27"/>
        <v>22</v>
      </c>
      <c r="O101" s="6">
        <f t="shared" si="20"/>
        <v>39</v>
      </c>
      <c r="P101" s="8">
        <v>77</v>
      </c>
      <c r="Q101" s="35">
        <f t="shared" si="28"/>
        <v>12</v>
      </c>
      <c r="R101" s="35">
        <f t="shared" si="31"/>
        <v>56</v>
      </c>
      <c r="S101" s="35">
        <f t="shared" si="29"/>
        <v>4</v>
      </c>
      <c r="T101" s="35">
        <f t="shared" si="30"/>
        <v>25</v>
      </c>
      <c r="V101">
        <f t="shared" si="21"/>
        <v>30</v>
      </c>
      <c r="Y101">
        <v>1</v>
      </c>
      <c r="AG101" s="5"/>
      <c r="AH101" s="5"/>
      <c r="AI101" s="16"/>
      <c r="AY101" s="5"/>
    </row>
    <row r="102" spans="1:51" x14ac:dyDescent="0.2">
      <c r="A102">
        <f t="shared" si="22"/>
        <v>101</v>
      </c>
      <c r="B102" s="8">
        <f t="shared" si="17"/>
        <v>3</v>
      </c>
      <c r="C102">
        <f t="shared" si="18"/>
        <v>2</v>
      </c>
      <c r="D102" s="5" t="str">
        <f t="shared" si="19"/>
        <v>35</v>
      </c>
      <c r="E102">
        <v>2</v>
      </c>
      <c r="F102" s="5" t="s">
        <v>812</v>
      </c>
      <c r="I102">
        <f t="shared" si="23"/>
        <v>70</v>
      </c>
      <c r="J102">
        <f t="shared" si="24"/>
        <v>55</v>
      </c>
      <c r="K102">
        <f t="shared" si="25"/>
        <v>75</v>
      </c>
      <c r="L102">
        <v>91</v>
      </c>
      <c r="M102">
        <v>84</v>
      </c>
      <c r="O102" s="6">
        <f t="shared" si="20"/>
        <v>39</v>
      </c>
      <c r="P102" s="8">
        <f t="shared" si="28"/>
        <v>77</v>
      </c>
      <c r="Q102" s="35">
        <v>13</v>
      </c>
      <c r="R102" s="35">
        <v>68</v>
      </c>
      <c r="S102" s="35">
        <f t="shared" si="29"/>
        <v>4</v>
      </c>
      <c r="T102" s="35">
        <f t="shared" si="30"/>
        <v>25</v>
      </c>
      <c r="V102">
        <f t="shared" si="21"/>
        <v>30</v>
      </c>
      <c r="Y102">
        <v>1</v>
      </c>
      <c r="AG102" s="5"/>
      <c r="AH102" s="5"/>
      <c r="AI102" s="16"/>
      <c r="AY102" s="5"/>
    </row>
    <row r="103" spans="1:51" x14ac:dyDescent="0.2">
      <c r="A103">
        <f t="shared" si="22"/>
        <v>102</v>
      </c>
      <c r="B103" s="8">
        <f t="shared" si="17"/>
        <v>3</v>
      </c>
      <c r="C103">
        <f t="shared" si="18"/>
        <v>2</v>
      </c>
      <c r="D103" s="5" t="str">
        <f t="shared" si="19"/>
        <v>28</v>
      </c>
      <c r="E103">
        <v>2</v>
      </c>
      <c r="F103" s="5" t="s">
        <v>786</v>
      </c>
      <c r="I103">
        <f t="shared" si="23"/>
        <v>70</v>
      </c>
      <c r="J103">
        <f t="shared" si="24"/>
        <v>55</v>
      </c>
      <c r="K103">
        <v>61</v>
      </c>
      <c r="L103">
        <f t="shared" si="26"/>
        <v>91</v>
      </c>
      <c r="M103">
        <f t="shared" si="27"/>
        <v>84</v>
      </c>
      <c r="O103" s="6">
        <f t="shared" si="20"/>
        <v>39</v>
      </c>
      <c r="P103" s="8">
        <f t="shared" si="28"/>
        <v>77</v>
      </c>
      <c r="Q103" s="35">
        <f t="shared" si="28"/>
        <v>13</v>
      </c>
      <c r="R103" s="35">
        <f t="shared" si="31"/>
        <v>68</v>
      </c>
      <c r="S103" s="35">
        <f t="shared" si="29"/>
        <v>4</v>
      </c>
      <c r="T103" s="35">
        <f t="shared" si="30"/>
        <v>25</v>
      </c>
      <c r="V103">
        <f t="shared" si="21"/>
        <v>30</v>
      </c>
      <c r="Y103">
        <v>1</v>
      </c>
      <c r="AG103" s="5"/>
      <c r="AH103" s="5"/>
      <c r="AI103" s="16"/>
      <c r="AY103" s="5"/>
    </row>
    <row r="104" spans="1:51" x14ac:dyDescent="0.2">
      <c r="A104">
        <f t="shared" si="22"/>
        <v>103</v>
      </c>
      <c r="B104" s="8">
        <f t="shared" si="17"/>
        <v>3</v>
      </c>
      <c r="C104">
        <f>IF(G104&lt;&gt;"PeriodStart",E103,18)</f>
        <v>2</v>
      </c>
      <c r="D104" s="5" t="str">
        <f t="shared" si="19"/>
        <v>01</v>
      </c>
      <c r="E104">
        <v>1</v>
      </c>
      <c r="F104" s="5" t="s">
        <v>791</v>
      </c>
      <c r="H104" s="6" t="s">
        <v>375</v>
      </c>
      <c r="I104">
        <v>42</v>
      </c>
      <c r="J104">
        <f t="shared" si="24"/>
        <v>55</v>
      </c>
      <c r="K104">
        <f t="shared" si="25"/>
        <v>61</v>
      </c>
      <c r="L104">
        <f t="shared" si="26"/>
        <v>91</v>
      </c>
      <c r="M104">
        <f t="shared" si="27"/>
        <v>84</v>
      </c>
      <c r="O104" s="6">
        <f t="shared" si="20"/>
        <v>39</v>
      </c>
      <c r="P104" s="8">
        <f t="shared" si="28"/>
        <v>77</v>
      </c>
      <c r="Q104" s="35">
        <f t="shared" si="28"/>
        <v>13</v>
      </c>
      <c r="R104" s="35">
        <f t="shared" si="31"/>
        <v>68</v>
      </c>
      <c r="S104" s="35">
        <f t="shared" si="29"/>
        <v>4</v>
      </c>
      <c r="T104" s="35">
        <f t="shared" si="30"/>
        <v>25</v>
      </c>
      <c r="V104">
        <f t="shared" si="21"/>
        <v>30</v>
      </c>
      <c r="AA104">
        <v>1</v>
      </c>
      <c r="AG104" s="5"/>
      <c r="AH104" s="5"/>
      <c r="AI104" s="16"/>
      <c r="AY104" s="5"/>
    </row>
    <row r="105" spans="1:51" x14ac:dyDescent="0.2">
      <c r="A105">
        <f t="shared" si="22"/>
        <v>104</v>
      </c>
      <c r="B105" s="8">
        <f t="shared" si="17"/>
        <v>3</v>
      </c>
      <c r="C105">
        <f>IF(G105&lt;&gt;"PeriodStart",E104,18)</f>
        <v>1</v>
      </c>
      <c r="D105" s="5" t="str">
        <f t="shared" si="19"/>
        <v>31</v>
      </c>
      <c r="E105">
        <v>1</v>
      </c>
      <c r="F105" s="5" t="s">
        <v>786</v>
      </c>
      <c r="G105" s="8" t="s">
        <v>322</v>
      </c>
      <c r="I105">
        <f t="shared" si="23"/>
        <v>42</v>
      </c>
      <c r="J105">
        <v>24</v>
      </c>
      <c r="K105">
        <f t="shared" si="25"/>
        <v>61</v>
      </c>
      <c r="L105">
        <f t="shared" si="26"/>
        <v>91</v>
      </c>
      <c r="M105">
        <f t="shared" si="27"/>
        <v>84</v>
      </c>
      <c r="O105" s="6">
        <f t="shared" si="20"/>
        <v>39</v>
      </c>
      <c r="P105" s="8">
        <f t="shared" si="28"/>
        <v>77</v>
      </c>
      <c r="Q105" s="35">
        <f t="shared" si="28"/>
        <v>13</v>
      </c>
      <c r="R105" s="35">
        <f t="shared" si="31"/>
        <v>68</v>
      </c>
      <c r="S105" s="35">
        <v>44</v>
      </c>
      <c r="T105" s="35">
        <v>18</v>
      </c>
      <c r="V105">
        <f t="shared" si="21"/>
        <v>30</v>
      </c>
      <c r="Y105">
        <v>1</v>
      </c>
      <c r="AG105" s="5"/>
      <c r="AH105" s="5"/>
      <c r="AI105" s="16"/>
      <c r="AY105" s="5"/>
    </row>
    <row r="106" spans="1:51" x14ac:dyDescent="0.2">
      <c r="A106">
        <f t="shared" si="22"/>
        <v>105</v>
      </c>
      <c r="B106" s="8">
        <f t="shared" si="17"/>
        <v>3</v>
      </c>
      <c r="C106">
        <f t="shared" si="18"/>
        <v>1</v>
      </c>
      <c r="D106" s="5" t="str">
        <f t="shared" si="19"/>
        <v>01</v>
      </c>
      <c r="E106">
        <v>0</v>
      </c>
      <c r="F106" s="5" t="s">
        <v>753</v>
      </c>
      <c r="I106">
        <f t="shared" si="23"/>
        <v>42</v>
      </c>
      <c r="J106">
        <f t="shared" si="24"/>
        <v>24</v>
      </c>
      <c r="K106">
        <f t="shared" si="25"/>
        <v>61</v>
      </c>
      <c r="L106">
        <f t="shared" si="26"/>
        <v>91</v>
      </c>
      <c r="M106">
        <f t="shared" si="27"/>
        <v>84</v>
      </c>
      <c r="O106" s="6">
        <f t="shared" si="20"/>
        <v>39</v>
      </c>
      <c r="P106" s="8">
        <f t="shared" si="28"/>
        <v>77</v>
      </c>
      <c r="Q106" s="35">
        <v>12</v>
      </c>
      <c r="R106" s="35">
        <f t="shared" si="31"/>
        <v>68</v>
      </c>
      <c r="S106" s="35">
        <f t="shared" si="29"/>
        <v>44</v>
      </c>
      <c r="T106" s="35">
        <f t="shared" si="30"/>
        <v>18</v>
      </c>
      <c r="V106">
        <f t="shared" si="21"/>
        <v>30</v>
      </c>
      <c r="AA106">
        <v>1</v>
      </c>
      <c r="AG106" s="5"/>
      <c r="AH106" s="5"/>
      <c r="AI106" s="16"/>
      <c r="AY106" s="5"/>
    </row>
    <row r="107" spans="1:51" x14ac:dyDescent="0.2">
      <c r="A107">
        <f t="shared" si="22"/>
        <v>106</v>
      </c>
      <c r="B107" s="8">
        <f t="shared" si="17"/>
        <v>3</v>
      </c>
      <c r="C107">
        <f t="shared" si="18"/>
        <v>0</v>
      </c>
      <c r="D107" s="5" t="str">
        <f t="shared" si="19"/>
        <v>49</v>
      </c>
      <c r="E107">
        <v>0</v>
      </c>
      <c r="F107" s="5" t="s">
        <v>918</v>
      </c>
      <c r="H107" s="6" t="s">
        <v>433</v>
      </c>
      <c r="I107">
        <f t="shared" si="23"/>
        <v>42</v>
      </c>
      <c r="J107">
        <f t="shared" si="24"/>
        <v>24</v>
      </c>
      <c r="K107">
        <f t="shared" si="25"/>
        <v>61</v>
      </c>
      <c r="L107">
        <f t="shared" si="26"/>
        <v>91</v>
      </c>
      <c r="M107">
        <f t="shared" si="27"/>
        <v>84</v>
      </c>
      <c r="O107" s="6">
        <f t="shared" si="20"/>
        <v>39</v>
      </c>
      <c r="P107" s="8">
        <f t="shared" si="28"/>
        <v>77</v>
      </c>
      <c r="Q107" s="35">
        <f t="shared" si="28"/>
        <v>12</v>
      </c>
      <c r="R107" s="35">
        <v>56</v>
      </c>
      <c r="S107" s="35">
        <f t="shared" si="29"/>
        <v>44</v>
      </c>
      <c r="T107" s="35">
        <f t="shared" si="30"/>
        <v>18</v>
      </c>
      <c r="U107">
        <v>3</v>
      </c>
      <c r="AA107">
        <v>1</v>
      </c>
      <c r="AG107" s="5"/>
      <c r="AH107" s="5"/>
      <c r="AI107" s="16"/>
      <c r="AY107" s="5"/>
    </row>
    <row r="108" spans="1:51" x14ac:dyDescent="0.2">
      <c r="A108">
        <f t="shared" si="22"/>
        <v>107</v>
      </c>
      <c r="B108" s="8">
        <f t="shared" si="17"/>
        <v>3</v>
      </c>
      <c r="C108">
        <f t="shared" si="18"/>
        <v>0</v>
      </c>
      <c r="D108" s="5" t="str">
        <f t="shared" si="19"/>
        <v>0.01</v>
      </c>
      <c r="Q108" s="35"/>
      <c r="R108" s="35"/>
      <c r="S108" s="35"/>
      <c r="T108" s="35"/>
      <c r="AG108" s="5"/>
      <c r="AH108" s="5"/>
      <c r="AI108" s="16"/>
      <c r="AY108" s="5"/>
    </row>
    <row r="109" spans="1:51" x14ac:dyDescent="0.2">
      <c r="A109">
        <f t="shared" si="22"/>
        <v>108</v>
      </c>
      <c r="B109" s="8">
        <f t="shared" si="17"/>
        <v>3</v>
      </c>
      <c r="C109">
        <f t="shared" si="18"/>
        <v>0</v>
      </c>
      <c r="D109" s="5">
        <f t="shared" si="19"/>
        <v>0</v>
      </c>
      <c r="I109" t="str">
        <f t="shared" si="23"/>
        <v/>
      </c>
      <c r="J109" t="str">
        <f t="shared" si="24"/>
        <v/>
      </c>
      <c r="K109" t="str">
        <f t="shared" si="25"/>
        <v/>
      </c>
      <c r="L109" t="str">
        <f t="shared" si="26"/>
        <v/>
      </c>
      <c r="M109" t="str">
        <f t="shared" si="27"/>
        <v/>
      </c>
      <c r="O109" s="6">
        <f t="shared" si="20"/>
        <v>0</v>
      </c>
      <c r="P109" s="8" t="str">
        <f t="shared" si="28"/>
        <v/>
      </c>
      <c r="Q109" s="35" t="str">
        <f t="shared" si="28"/>
        <v/>
      </c>
      <c r="R109" s="35" t="str">
        <f t="shared" si="31"/>
        <v/>
      </c>
      <c r="S109" s="35" t="str">
        <f t="shared" si="29"/>
        <v/>
      </c>
      <c r="T109" s="35" t="str">
        <f t="shared" si="30"/>
        <v/>
      </c>
      <c r="V109">
        <f t="shared" si="21"/>
        <v>0</v>
      </c>
      <c r="AG109" s="5"/>
      <c r="AH109" s="5"/>
      <c r="AI109" s="16"/>
      <c r="AY109" s="5"/>
    </row>
    <row r="110" spans="1:51" x14ac:dyDescent="0.2">
      <c r="A110">
        <f t="shared" si="22"/>
        <v>109</v>
      </c>
      <c r="B110" s="8">
        <f t="shared" si="17"/>
        <v>3</v>
      </c>
      <c r="C110">
        <f t="shared" si="18"/>
        <v>0</v>
      </c>
      <c r="D110" s="5">
        <f t="shared" si="19"/>
        <v>0</v>
      </c>
      <c r="I110" t="str">
        <f t="shared" si="23"/>
        <v/>
      </c>
      <c r="J110" t="str">
        <f t="shared" si="24"/>
        <v/>
      </c>
      <c r="K110" t="str">
        <f t="shared" si="25"/>
        <v/>
      </c>
      <c r="L110" t="str">
        <f t="shared" si="26"/>
        <v/>
      </c>
      <c r="M110" t="str">
        <f t="shared" si="27"/>
        <v/>
      </c>
      <c r="O110" s="6">
        <f t="shared" si="20"/>
        <v>0</v>
      </c>
      <c r="P110" s="8" t="str">
        <f t="shared" si="28"/>
        <v/>
      </c>
      <c r="Q110" s="35" t="str">
        <f t="shared" si="28"/>
        <v/>
      </c>
      <c r="R110" s="35" t="str">
        <f t="shared" si="31"/>
        <v/>
      </c>
      <c r="S110" s="35" t="str">
        <f t="shared" si="29"/>
        <v/>
      </c>
      <c r="T110" s="35" t="str">
        <f t="shared" si="30"/>
        <v/>
      </c>
      <c r="V110">
        <f t="shared" si="21"/>
        <v>0</v>
      </c>
      <c r="AG110" s="5"/>
      <c r="AH110" s="5"/>
      <c r="AI110" s="16"/>
      <c r="AY110" s="5"/>
    </row>
    <row r="111" spans="1:51" x14ac:dyDescent="0.2">
      <c r="A111">
        <f t="shared" si="22"/>
        <v>110</v>
      </c>
      <c r="B111" s="8">
        <f t="shared" si="17"/>
        <v>3</v>
      </c>
      <c r="C111">
        <f t="shared" si="18"/>
        <v>0</v>
      </c>
      <c r="D111" s="5">
        <f t="shared" si="19"/>
        <v>0</v>
      </c>
      <c r="I111" t="str">
        <f t="shared" si="23"/>
        <v/>
      </c>
      <c r="J111" t="str">
        <f t="shared" si="24"/>
        <v/>
      </c>
      <c r="K111" t="str">
        <f t="shared" si="25"/>
        <v/>
      </c>
      <c r="L111" t="str">
        <f t="shared" si="26"/>
        <v/>
      </c>
      <c r="M111" t="str">
        <f t="shared" si="27"/>
        <v/>
      </c>
      <c r="O111" s="6">
        <f t="shared" si="20"/>
        <v>0</v>
      </c>
      <c r="P111" s="8" t="str">
        <f t="shared" si="28"/>
        <v/>
      </c>
      <c r="Q111" s="35" t="str">
        <f t="shared" si="28"/>
        <v/>
      </c>
      <c r="R111" s="35" t="str">
        <f t="shared" si="31"/>
        <v/>
      </c>
      <c r="S111" s="35" t="str">
        <f t="shared" si="29"/>
        <v/>
      </c>
      <c r="T111" s="35" t="str">
        <f t="shared" si="30"/>
        <v/>
      </c>
      <c r="V111">
        <f t="shared" si="21"/>
        <v>0</v>
      </c>
      <c r="AG111" s="5"/>
      <c r="AH111" s="5"/>
      <c r="AI111" s="16"/>
      <c r="AY111" s="5"/>
    </row>
    <row r="112" spans="1:51" x14ac:dyDescent="0.2">
      <c r="A112">
        <f t="shared" si="22"/>
        <v>111</v>
      </c>
      <c r="B112" s="8">
        <f t="shared" si="17"/>
        <v>3</v>
      </c>
      <c r="C112">
        <f t="shared" si="18"/>
        <v>0</v>
      </c>
      <c r="D112" s="5">
        <f t="shared" si="19"/>
        <v>0</v>
      </c>
      <c r="I112" t="str">
        <f t="shared" si="23"/>
        <v/>
      </c>
      <c r="J112" t="str">
        <f t="shared" si="24"/>
        <v/>
      </c>
      <c r="K112" t="str">
        <f t="shared" si="25"/>
        <v/>
      </c>
      <c r="L112" t="str">
        <f t="shared" si="26"/>
        <v/>
      </c>
      <c r="M112" t="str">
        <f t="shared" si="27"/>
        <v/>
      </c>
      <c r="O112" s="6">
        <f t="shared" si="20"/>
        <v>0</v>
      </c>
      <c r="P112" s="8" t="str">
        <f t="shared" si="28"/>
        <v/>
      </c>
      <c r="Q112" s="35" t="str">
        <f t="shared" si="28"/>
        <v/>
      </c>
      <c r="R112" s="35" t="str">
        <f t="shared" si="31"/>
        <v/>
      </c>
      <c r="S112" s="35" t="str">
        <f t="shared" si="29"/>
        <v/>
      </c>
      <c r="T112" s="35" t="str">
        <f t="shared" si="30"/>
        <v/>
      </c>
      <c r="V112">
        <f t="shared" si="21"/>
        <v>0</v>
      </c>
      <c r="AG112" s="5"/>
      <c r="AH112" s="5"/>
      <c r="AI112" s="16"/>
      <c r="AY112" s="5"/>
    </row>
    <row r="113" spans="1:51" x14ac:dyDescent="0.2">
      <c r="A113">
        <f t="shared" si="22"/>
        <v>112</v>
      </c>
      <c r="B113" s="8">
        <f t="shared" si="17"/>
        <v>3</v>
      </c>
      <c r="C113">
        <f t="shared" si="18"/>
        <v>0</v>
      </c>
      <c r="D113" s="5">
        <f t="shared" si="19"/>
        <v>0</v>
      </c>
      <c r="I113" t="str">
        <f t="shared" si="23"/>
        <v/>
      </c>
      <c r="J113" t="str">
        <f t="shared" si="24"/>
        <v/>
      </c>
      <c r="K113" t="str">
        <f t="shared" si="25"/>
        <v/>
      </c>
      <c r="L113" t="str">
        <f t="shared" si="26"/>
        <v/>
      </c>
      <c r="M113" t="str">
        <f t="shared" si="27"/>
        <v/>
      </c>
      <c r="O113" s="6">
        <f t="shared" si="20"/>
        <v>0</v>
      </c>
      <c r="P113" s="8" t="str">
        <f t="shared" si="28"/>
        <v/>
      </c>
      <c r="Q113" s="35" t="str">
        <f t="shared" si="28"/>
        <v/>
      </c>
      <c r="R113" s="35" t="str">
        <f t="shared" si="31"/>
        <v/>
      </c>
      <c r="S113" s="35" t="str">
        <f t="shared" si="29"/>
        <v/>
      </c>
      <c r="T113" s="35" t="str">
        <f t="shared" si="30"/>
        <v/>
      </c>
      <c r="V113">
        <f t="shared" si="21"/>
        <v>0</v>
      </c>
      <c r="AG113" s="5"/>
      <c r="AH113" s="5"/>
      <c r="AI113" s="16"/>
      <c r="AY113" s="5"/>
    </row>
    <row r="114" spans="1:51" x14ac:dyDescent="0.2">
      <c r="A114">
        <f t="shared" si="22"/>
        <v>113</v>
      </c>
      <c r="B114" s="8">
        <f t="shared" si="17"/>
        <v>3</v>
      </c>
      <c r="C114">
        <f t="shared" si="18"/>
        <v>0</v>
      </c>
      <c r="D114" s="5">
        <f t="shared" si="19"/>
        <v>0</v>
      </c>
      <c r="I114" t="str">
        <f t="shared" si="23"/>
        <v/>
      </c>
      <c r="J114" t="str">
        <f t="shared" si="24"/>
        <v/>
      </c>
      <c r="K114" t="str">
        <f t="shared" si="25"/>
        <v/>
      </c>
      <c r="L114" t="str">
        <f t="shared" si="26"/>
        <v/>
      </c>
      <c r="M114" t="str">
        <f t="shared" si="27"/>
        <v/>
      </c>
      <c r="O114" s="6">
        <f t="shared" si="20"/>
        <v>0</v>
      </c>
      <c r="P114" s="8" t="str">
        <f t="shared" si="28"/>
        <v/>
      </c>
      <c r="Q114" s="35" t="str">
        <f t="shared" si="28"/>
        <v/>
      </c>
      <c r="R114" s="35" t="str">
        <f t="shared" si="31"/>
        <v/>
      </c>
      <c r="S114" s="35" t="str">
        <f t="shared" si="29"/>
        <v/>
      </c>
      <c r="T114" s="35" t="str">
        <f t="shared" si="30"/>
        <v/>
      </c>
      <c r="V114">
        <f t="shared" si="21"/>
        <v>0</v>
      </c>
      <c r="AG114" s="5"/>
      <c r="AH114" s="5"/>
      <c r="AI114" s="16"/>
      <c r="AY114" s="5"/>
    </row>
    <row r="115" spans="1:51" x14ac:dyDescent="0.2">
      <c r="A115">
        <f t="shared" si="22"/>
        <v>114</v>
      </c>
      <c r="B115" s="8">
        <f t="shared" si="17"/>
        <v>3</v>
      </c>
      <c r="C115">
        <f t="shared" si="18"/>
        <v>0</v>
      </c>
      <c r="D115" s="5">
        <f t="shared" si="19"/>
        <v>0</v>
      </c>
      <c r="I115" t="str">
        <f t="shared" si="23"/>
        <v/>
      </c>
      <c r="J115" t="str">
        <f t="shared" si="24"/>
        <v/>
      </c>
      <c r="K115" t="str">
        <f t="shared" si="25"/>
        <v/>
      </c>
      <c r="L115" t="str">
        <f t="shared" si="26"/>
        <v/>
      </c>
      <c r="M115" t="str">
        <f t="shared" si="27"/>
        <v/>
      </c>
      <c r="O115" s="6">
        <f t="shared" si="20"/>
        <v>0</v>
      </c>
      <c r="P115" s="8" t="str">
        <f t="shared" si="28"/>
        <v/>
      </c>
      <c r="Q115" s="35" t="str">
        <f t="shared" si="28"/>
        <v/>
      </c>
      <c r="R115" s="35" t="str">
        <f t="shared" si="31"/>
        <v/>
      </c>
      <c r="S115" s="35" t="str">
        <f t="shared" si="29"/>
        <v/>
      </c>
      <c r="T115" s="35" t="str">
        <f t="shared" si="30"/>
        <v/>
      </c>
      <c r="V115">
        <f t="shared" si="21"/>
        <v>0</v>
      </c>
      <c r="AG115" s="5"/>
      <c r="AH115" s="5"/>
      <c r="AI115" s="16"/>
      <c r="AY115" s="5"/>
    </row>
    <row r="116" spans="1:51" x14ac:dyDescent="0.2">
      <c r="A116">
        <f t="shared" si="22"/>
        <v>115</v>
      </c>
      <c r="B116" s="8">
        <f t="shared" si="17"/>
        <v>3</v>
      </c>
      <c r="C116">
        <f t="shared" si="18"/>
        <v>0</v>
      </c>
      <c r="D116" s="5">
        <f t="shared" si="19"/>
        <v>0</v>
      </c>
      <c r="I116" t="str">
        <f t="shared" si="23"/>
        <v/>
      </c>
      <c r="J116" t="str">
        <f t="shared" si="24"/>
        <v/>
      </c>
      <c r="K116" t="str">
        <f t="shared" si="25"/>
        <v/>
      </c>
      <c r="L116" t="str">
        <f t="shared" si="26"/>
        <v/>
      </c>
      <c r="M116" t="str">
        <f t="shared" si="27"/>
        <v/>
      </c>
      <c r="O116" s="6">
        <f t="shared" si="20"/>
        <v>0</v>
      </c>
      <c r="P116" s="8" t="str">
        <f t="shared" si="28"/>
        <v/>
      </c>
      <c r="Q116" s="35" t="str">
        <f t="shared" si="28"/>
        <v/>
      </c>
      <c r="R116" s="35" t="str">
        <f t="shared" si="31"/>
        <v/>
      </c>
      <c r="S116" s="35" t="str">
        <f t="shared" si="29"/>
        <v/>
      </c>
      <c r="T116" s="35" t="str">
        <f t="shared" si="30"/>
        <v/>
      </c>
      <c r="V116">
        <f t="shared" si="21"/>
        <v>0</v>
      </c>
      <c r="AG116" s="5"/>
      <c r="AH116" s="5"/>
      <c r="AI116" s="16"/>
      <c r="AY116" s="5"/>
    </row>
    <row r="117" spans="1:51" x14ac:dyDescent="0.2">
      <c r="A117">
        <f t="shared" si="22"/>
        <v>116</v>
      </c>
      <c r="B117" s="8">
        <f t="shared" si="17"/>
        <v>3</v>
      </c>
      <c r="C117">
        <f t="shared" si="18"/>
        <v>0</v>
      </c>
      <c r="D117" s="5">
        <f t="shared" si="19"/>
        <v>0</v>
      </c>
      <c r="I117" t="str">
        <f t="shared" si="23"/>
        <v/>
      </c>
      <c r="J117" t="str">
        <f t="shared" si="24"/>
        <v/>
      </c>
      <c r="K117" t="str">
        <f t="shared" si="25"/>
        <v/>
      </c>
      <c r="L117" t="str">
        <f t="shared" si="26"/>
        <v/>
      </c>
      <c r="M117" t="str">
        <f t="shared" si="27"/>
        <v/>
      </c>
      <c r="O117" s="6">
        <f t="shared" si="20"/>
        <v>0</v>
      </c>
      <c r="P117" s="8" t="str">
        <f t="shared" si="28"/>
        <v/>
      </c>
      <c r="Q117" s="35" t="str">
        <f t="shared" si="28"/>
        <v/>
      </c>
      <c r="R117" s="35" t="str">
        <f t="shared" si="31"/>
        <v/>
      </c>
      <c r="S117" s="35" t="str">
        <f t="shared" si="29"/>
        <v/>
      </c>
      <c r="T117" s="35" t="str">
        <f t="shared" si="30"/>
        <v/>
      </c>
      <c r="V117">
        <f t="shared" si="21"/>
        <v>0</v>
      </c>
      <c r="AG117" s="5"/>
      <c r="AH117" s="5"/>
      <c r="AI117" s="16"/>
      <c r="AY117" s="5"/>
    </row>
    <row r="118" spans="1:51" x14ac:dyDescent="0.2">
      <c r="A118">
        <f t="shared" si="22"/>
        <v>117</v>
      </c>
      <c r="B118" s="8">
        <f t="shared" si="17"/>
        <v>3</v>
      </c>
      <c r="C118">
        <f t="shared" si="18"/>
        <v>0</v>
      </c>
      <c r="D118" s="5">
        <f t="shared" si="19"/>
        <v>0</v>
      </c>
      <c r="I118" t="str">
        <f t="shared" si="23"/>
        <v/>
      </c>
      <c r="J118" t="str">
        <f t="shared" si="24"/>
        <v/>
      </c>
      <c r="K118" t="str">
        <f t="shared" si="25"/>
        <v/>
      </c>
      <c r="L118" t="str">
        <f t="shared" si="26"/>
        <v/>
      </c>
      <c r="M118" t="str">
        <f t="shared" si="27"/>
        <v/>
      </c>
      <c r="O118" s="6">
        <f t="shared" si="20"/>
        <v>0</v>
      </c>
      <c r="P118" s="8" t="str">
        <f t="shared" si="28"/>
        <v/>
      </c>
      <c r="Q118" s="35" t="str">
        <f t="shared" si="28"/>
        <v/>
      </c>
      <c r="R118" s="35" t="str">
        <f t="shared" si="31"/>
        <v/>
      </c>
      <c r="S118" s="35" t="str">
        <f t="shared" si="29"/>
        <v/>
      </c>
      <c r="T118" s="35" t="str">
        <f t="shared" si="30"/>
        <v/>
      </c>
      <c r="V118">
        <f t="shared" si="21"/>
        <v>0</v>
      </c>
      <c r="AG118" s="5"/>
      <c r="AH118" s="5"/>
      <c r="AI118" s="16"/>
      <c r="AY118" s="5"/>
    </row>
    <row r="119" spans="1:51" x14ac:dyDescent="0.2">
      <c r="A119">
        <f t="shared" si="22"/>
        <v>118</v>
      </c>
      <c r="B119" s="8">
        <f t="shared" si="17"/>
        <v>3</v>
      </c>
      <c r="C119">
        <f t="shared" si="18"/>
        <v>0</v>
      </c>
      <c r="D119" s="5">
        <f t="shared" si="19"/>
        <v>0</v>
      </c>
      <c r="I119" t="str">
        <f t="shared" si="23"/>
        <v/>
      </c>
      <c r="J119" t="str">
        <f t="shared" si="24"/>
        <v/>
      </c>
      <c r="K119" t="str">
        <f t="shared" si="25"/>
        <v/>
      </c>
      <c r="L119" t="str">
        <f t="shared" si="26"/>
        <v/>
      </c>
      <c r="M119" t="str">
        <f t="shared" si="27"/>
        <v/>
      </c>
      <c r="O119" s="6">
        <f t="shared" si="20"/>
        <v>0</v>
      </c>
      <c r="P119" s="8" t="str">
        <f t="shared" si="28"/>
        <v/>
      </c>
      <c r="Q119" s="35" t="str">
        <f t="shared" si="28"/>
        <v/>
      </c>
      <c r="R119" s="35" t="str">
        <f t="shared" si="31"/>
        <v/>
      </c>
      <c r="S119" s="35" t="str">
        <f t="shared" si="29"/>
        <v/>
      </c>
      <c r="T119" s="35" t="str">
        <f t="shared" si="30"/>
        <v/>
      </c>
      <c r="V119">
        <f t="shared" si="21"/>
        <v>0</v>
      </c>
      <c r="AG119" s="5"/>
      <c r="AH119" s="5"/>
      <c r="AI119" s="16"/>
      <c r="AY119" s="5"/>
    </row>
    <row r="120" spans="1:51" x14ac:dyDescent="0.2">
      <c r="A120">
        <f t="shared" si="22"/>
        <v>119</v>
      </c>
      <c r="B120" s="8">
        <f t="shared" si="17"/>
        <v>3</v>
      </c>
      <c r="C120">
        <f t="shared" si="18"/>
        <v>0</v>
      </c>
      <c r="D120" s="5">
        <f t="shared" si="19"/>
        <v>0</v>
      </c>
      <c r="I120" t="str">
        <f t="shared" si="23"/>
        <v/>
      </c>
      <c r="J120" t="str">
        <f t="shared" si="24"/>
        <v/>
      </c>
      <c r="K120" t="str">
        <f t="shared" si="25"/>
        <v/>
      </c>
      <c r="L120" t="str">
        <f t="shared" si="26"/>
        <v/>
      </c>
      <c r="M120" t="str">
        <f t="shared" si="27"/>
        <v/>
      </c>
      <c r="O120" s="6">
        <f t="shared" si="20"/>
        <v>0</v>
      </c>
      <c r="P120" s="8" t="str">
        <f t="shared" si="28"/>
        <v/>
      </c>
      <c r="Q120" s="35" t="str">
        <f t="shared" si="28"/>
        <v/>
      </c>
      <c r="R120" s="35" t="str">
        <f t="shared" si="31"/>
        <v/>
      </c>
      <c r="S120" s="35" t="str">
        <f t="shared" si="29"/>
        <v/>
      </c>
      <c r="T120" s="35" t="str">
        <f t="shared" si="30"/>
        <v/>
      </c>
      <c r="V120">
        <f t="shared" si="21"/>
        <v>0</v>
      </c>
      <c r="AG120" s="5"/>
      <c r="AH120" s="5"/>
      <c r="AI120" s="16"/>
      <c r="AY120" s="5"/>
    </row>
    <row r="121" spans="1:51" x14ac:dyDescent="0.2">
      <c r="A121">
        <f t="shared" si="22"/>
        <v>120</v>
      </c>
      <c r="B121" s="8">
        <f t="shared" si="17"/>
        <v>3</v>
      </c>
      <c r="C121">
        <f t="shared" si="18"/>
        <v>0</v>
      </c>
      <c r="D121" s="5">
        <f t="shared" si="19"/>
        <v>0</v>
      </c>
      <c r="I121" t="str">
        <f t="shared" si="23"/>
        <v/>
      </c>
      <c r="J121" t="str">
        <f t="shared" si="24"/>
        <v/>
      </c>
      <c r="K121" t="str">
        <f t="shared" si="25"/>
        <v/>
      </c>
      <c r="L121" t="str">
        <f t="shared" si="26"/>
        <v/>
      </c>
      <c r="M121" t="str">
        <f t="shared" si="27"/>
        <v/>
      </c>
      <c r="O121" s="6">
        <f t="shared" si="20"/>
        <v>0</v>
      </c>
      <c r="P121" s="8" t="str">
        <f t="shared" si="28"/>
        <v/>
      </c>
      <c r="Q121" s="35" t="str">
        <f t="shared" si="28"/>
        <v/>
      </c>
      <c r="R121" s="35" t="str">
        <f t="shared" si="31"/>
        <v/>
      </c>
      <c r="S121" s="35" t="str">
        <f t="shared" si="29"/>
        <v/>
      </c>
      <c r="T121" s="35" t="str">
        <f t="shared" si="30"/>
        <v/>
      </c>
      <c r="V121">
        <f t="shared" si="21"/>
        <v>0</v>
      </c>
      <c r="AG121" s="5"/>
      <c r="AH121" s="5"/>
      <c r="AI121" s="16"/>
      <c r="AY121" s="5"/>
    </row>
    <row r="122" spans="1:51" x14ac:dyDescent="0.2">
      <c r="A122">
        <f t="shared" si="22"/>
        <v>121</v>
      </c>
      <c r="B122" s="8">
        <f t="shared" si="17"/>
        <v>3</v>
      </c>
      <c r="C122">
        <f t="shared" si="18"/>
        <v>0</v>
      </c>
      <c r="D122" s="5">
        <f t="shared" si="19"/>
        <v>0</v>
      </c>
      <c r="I122" t="str">
        <f t="shared" si="23"/>
        <v/>
      </c>
      <c r="J122" t="str">
        <f t="shared" si="24"/>
        <v/>
      </c>
      <c r="K122" t="str">
        <f t="shared" si="25"/>
        <v/>
      </c>
      <c r="L122" t="str">
        <f t="shared" si="26"/>
        <v/>
      </c>
      <c r="M122" t="str">
        <f t="shared" si="27"/>
        <v/>
      </c>
      <c r="O122" s="6">
        <f t="shared" si="20"/>
        <v>0</v>
      </c>
      <c r="P122" s="8" t="str">
        <f t="shared" si="28"/>
        <v/>
      </c>
      <c r="Q122" s="35" t="str">
        <f t="shared" si="28"/>
        <v/>
      </c>
      <c r="R122" s="35" t="str">
        <f t="shared" si="31"/>
        <v/>
      </c>
      <c r="S122" s="35" t="str">
        <f t="shared" si="29"/>
        <v/>
      </c>
      <c r="T122" s="35" t="str">
        <f t="shared" si="30"/>
        <v/>
      </c>
      <c r="V122">
        <f t="shared" si="21"/>
        <v>0</v>
      </c>
      <c r="AG122" s="5"/>
      <c r="AH122" s="5"/>
      <c r="AI122" s="16"/>
      <c r="AY122" s="5"/>
    </row>
    <row r="123" spans="1:51" x14ac:dyDescent="0.2">
      <c r="A123">
        <f t="shared" si="22"/>
        <v>122</v>
      </c>
      <c r="B123" s="8">
        <f t="shared" si="17"/>
        <v>3</v>
      </c>
      <c r="C123">
        <f t="shared" si="18"/>
        <v>0</v>
      </c>
      <c r="D123" s="5">
        <f t="shared" si="19"/>
        <v>0</v>
      </c>
      <c r="I123" t="str">
        <f t="shared" si="23"/>
        <v/>
      </c>
      <c r="J123" t="str">
        <f t="shared" si="24"/>
        <v/>
      </c>
      <c r="K123" t="str">
        <f t="shared" si="25"/>
        <v/>
      </c>
      <c r="L123" t="str">
        <f t="shared" si="26"/>
        <v/>
      </c>
      <c r="M123" t="str">
        <f t="shared" si="27"/>
        <v/>
      </c>
      <c r="O123" s="6">
        <f t="shared" si="20"/>
        <v>0</v>
      </c>
      <c r="P123" s="8" t="str">
        <f t="shared" si="28"/>
        <v/>
      </c>
      <c r="Q123" s="35" t="str">
        <f t="shared" si="28"/>
        <v/>
      </c>
      <c r="R123" s="35" t="str">
        <f t="shared" si="31"/>
        <v/>
      </c>
      <c r="S123" s="35" t="str">
        <f t="shared" si="29"/>
        <v/>
      </c>
      <c r="T123" s="35" t="str">
        <f t="shared" si="30"/>
        <v/>
      </c>
      <c r="V123">
        <f t="shared" si="21"/>
        <v>0</v>
      </c>
      <c r="AG123" s="5"/>
      <c r="AH123" s="5"/>
      <c r="AI123" s="16"/>
      <c r="AY123" s="5"/>
    </row>
    <row r="124" spans="1:51" x14ac:dyDescent="0.2">
      <c r="A124">
        <f t="shared" si="22"/>
        <v>123</v>
      </c>
      <c r="B124" s="8">
        <f t="shared" si="17"/>
        <v>3</v>
      </c>
      <c r="C124">
        <f t="shared" si="18"/>
        <v>0</v>
      </c>
      <c r="D124" s="5">
        <f t="shared" si="19"/>
        <v>0</v>
      </c>
      <c r="I124" t="str">
        <f t="shared" si="23"/>
        <v/>
      </c>
      <c r="J124" t="str">
        <f t="shared" si="24"/>
        <v/>
      </c>
      <c r="K124" t="str">
        <f t="shared" si="25"/>
        <v/>
      </c>
      <c r="L124" t="str">
        <f t="shared" si="26"/>
        <v/>
      </c>
      <c r="M124" t="str">
        <f t="shared" si="27"/>
        <v/>
      </c>
      <c r="O124" s="6">
        <f t="shared" si="20"/>
        <v>0</v>
      </c>
      <c r="P124" s="8" t="str">
        <f t="shared" si="28"/>
        <v/>
      </c>
      <c r="Q124" s="35" t="str">
        <f t="shared" si="28"/>
        <v/>
      </c>
      <c r="R124" s="35" t="str">
        <f t="shared" si="31"/>
        <v/>
      </c>
      <c r="S124" s="35" t="str">
        <f t="shared" si="29"/>
        <v/>
      </c>
      <c r="T124" s="35" t="str">
        <f t="shared" si="30"/>
        <v/>
      </c>
      <c r="V124">
        <f t="shared" si="21"/>
        <v>0</v>
      </c>
      <c r="AG124" s="5"/>
      <c r="AH124" s="5"/>
      <c r="AI124" s="16"/>
      <c r="AY124" s="5"/>
    </row>
    <row r="125" spans="1:51" x14ac:dyDescent="0.2">
      <c r="A125">
        <f t="shared" si="22"/>
        <v>124</v>
      </c>
      <c r="B125" s="8">
        <f t="shared" si="17"/>
        <v>3</v>
      </c>
      <c r="C125">
        <f t="shared" si="18"/>
        <v>0</v>
      </c>
      <c r="D125" s="5">
        <f t="shared" si="19"/>
        <v>0</v>
      </c>
      <c r="I125" t="str">
        <f t="shared" si="23"/>
        <v/>
      </c>
      <c r="J125" t="str">
        <f t="shared" si="24"/>
        <v/>
      </c>
      <c r="K125" t="str">
        <f t="shared" si="25"/>
        <v/>
      </c>
      <c r="L125" t="str">
        <f t="shared" si="26"/>
        <v/>
      </c>
      <c r="M125" t="str">
        <f t="shared" si="27"/>
        <v/>
      </c>
      <c r="O125" s="6">
        <f t="shared" si="20"/>
        <v>0</v>
      </c>
      <c r="P125" s="8" t="str">
        <f t="shared" si="28"/>
        <v/>
      </c>
      <c r="Q125" s="35" t="str">
        <f t="shared" si="28"/>
        <v/>
      </c>
      <c r="R125" s="35" t="str">
        <f t="shared" si="31"/>
        <v/>
      </c>
      <c r="S125" s="35" t="str">
        <f t="shared" si="29"/>
        <v/>
      </c>
      <c r="T125" s="35" t="str">
        <f t="shared" si="30"/>
        <v/>
      </c>
      <c r="V125">
        <f t="shared" si="21"/>
        <v>0</v>
      </c>
      <c r="AG125" s="5"/>
      <c r="AH125" s="5"/>
      <c r="AI125" s="16"/>
      <c r="AY125" s="5"/>
    </row>
    <row r="126" spans="1:51" x14ac:dyDescent="0.2">
      <c r="A126">
        <f t="shared" si="22"/>
        <v>125</v>
      </c>
      <c r="B126" s="8">
        <f t="shared" si="17"/>
        <v>3</v>
      </c>
      <c r="C126">
        <f t="shared" si="18"/>
        <v>0</v>
      </c>
      <c r="D126" s="5">
        <f t="shared" si="19"/>
        <v>0</v>
      </c>
      <c r="I126" t="str">
        <f t="shared" si="23"/>
        <v/>
      </c>
      <c r="J126" t="str">
        <f t="shared" si="24"/>
        <v/>
      </c>
      <c r="K126" t="str">
        <f t="shared" si="25"/>
        <v/>
      </c>
      <c r="L126" t="str">
        <f t="shared" si="26"/>
        <v/>
      </c>
      <c r="M126" t="str">
        <f t="shared" si="27"/>
        <v/>
      </c>
      <c r="O126" s="6">
        <f t="shared" si="20"/>
        <v>0</v>
      </c>
      <c r="P126" s="8" t="str">
        <f t="shared" si="28"/>
        <v/>
      </c>
      <c r="Q126" s="35" t="str">
        <f t="shared" si="28"/>
        <v/>
      </c>
      <c r="R126" s="35" t="str">
        <f t="shared" si="31"/>
        <v/>
      </c>
      <c r="S126" s="35" t="str">
        <f t="shared" si="29"/>
        <v/>
      </c>
      <c r="T126" s="35" t="str">
        <f t="shared" si="30"/>
        <v/>
      </c>
      <c r="V126">
        <f t="shared" si="21"/>
        <v>0</v>
      </c>
      <c r="AG126" s="5"/>
      <c r="AH126" s="5"/>
      <c r="AI126" s="16"/>
      <c r="AY126" s="5"/>
    </row>
    <row r="127" spans="1:51" x14ac:dyDescent="0.2">
      <c r="A127">
        <f t="shared" si="22"/>
        <v>126</v>
      </c>
      <c r="B127" s="8">
        <f t="shared" si="17"/>
        <v>3</v>
      </c>
      <c r="C127">
        <f t="shared" si="18"/>
        <v>0</v>
      </c>
      <c r="D127" s="5">
        <f t="shared" si="19"/>
        <v>0</v>
      </c>
      <c r="I127" t="str">
        <f t="shared" si="23"/>
        <v/>
      </c>
      <c r="J127" t="str">
        <f t="shared" si="24"/>
        <v/>
      </c>
      <c r="K127" t="str">
        <f t="shared" si="25"/>
        <v/>
      </c>
      <c r="L127" t="str">
        <f t="shared" si="26"/>
        <v/>
      </c>
      <c r="M127" t="str">
        <f t="shared" si="27"/>
        <v/>
      </c>
      <c r="O127" s="6">
        <f t="shared" si="20"/>
        <v>0</v>
      </c>
      <c r="P127" s="8" t="str">
        <f t="shared" si="28"/>
        <v/>
      </c>
      <c r="Q127" s="35" t="str">
        <f t="shared" si="28"/>
        <v/>
      </c>
      <c r="R127" s="35" t="str">
        <f t="shared" si="31"/>
        <v/>
      </c>
      <c r="S127" s="35" t="str">
        <f t="shared" si="29"/>
        <v/>
      </c>
      <c r="T127" s="35" t="str">
        <f t="shared" si="30"/>
        <v/>
      </c>
      <c r="V127">
        <f t="shared" si="21"/>
        <v>0</v>
      </c>
      <c r="AG127" s="5"/>
      <c r="AH127" s="5"/>
      <c r="AI127" s="16"/>
      <c r="AY127" s="5"/>
    </row>
    <row r="128" spans="1:51" x14ac:dyDescent="0.2">
      <c r="A128">
        <f t="shared" si="22"/>
        <v>127</v>
      </c>
      <c r="B128" s="8">
        <f t="shared" si="17"/>
        <v>3</v>
      </c>
      <c r="C128">
        <f t="shared" si="18"/>
        <v>0</v>
      </c>
      <c r="D128" s="5">
        <f t="shared" si="19"/>
        <v>0</v>
      </c>
      <c r="I128" t="str">
        <f t="shared" si="23"/>
        <v/>
      </c>
      <c r="J128" t="str">
        <f t="shared" si="24"/>
        <v/>
      </c>
      <c r="K128" t="str">
        <f t="shared" si="25"/>
        <v/>
      </c>
      <c r="L128" t="str">
        <f t="shared" si="26"/>
        <v/>
      </c>
      <c r="M128" t="str">
        <f t="shared" si="27"/>
        <v/>
      </c>
      <c r="O128" s="6">
        <f t="shared" si="20"/>
        <v>0</v>
      </c>
      <c r="P128" s="8" t="str">
        <f t="shared" si="28"/>
        <v/>
      </c>
      <c r="Q128" s="35" t="str">
        <f t="shared" si="28"/>
        <v/>
      </c>
      <c r="R128" s="35" t="str">
        <f t="shared" si="31"/>
        <v/>
      </c>
      <c r="S128" s="35" t="str">
        <f t="shared" si="29"/>
        <v/>
      </c>
      <c r="T128" s="35" t="str">
        <f t="shared" si="30"/>
        <v/>
      </c>
      <c r="V128">
        <f t="shared" si="21"/>
        <v>0</v>
      </c>
      <c r="AG128" s="5"/>
      <c r="AH128" s="5"/>
      <c r="AI128" s="16"/>
      <c r="AY128" s="5"/>
    </row>
    <row r="129" spans="1:51" x14ac:dyDescent="0.2">
      <c r="A129">
        <f t="shared" si="22"/>
        <v>128</v>
      </c>
      <c r="B129" s="8">
        <f t="shared" si="17"/>
        <v>3</v>
      </c>
      <c r="C129">
        <f t="shared" si="18"/>
        <v>0</v>
      </c>
      <c r="D129" s="5">
        <f t="shared" si="19"/>
        <v>0</v>
      </c>
      <c r="I129" t="str">
        <f t="shared" si="23"/>
        <v/>
      </c>
      <c r="J129" t="str">
        <f t="shared" si="24"/>
        <v/>
      </c>
      <c r="K129" t="str">
        <f t="shared" si="25"/>
        <v/>
      </c>
      <c r="L129" t="str">
        <f t="shared" si="26"/>
        <v/>
      </c>
      <c r="M129" t="str">
        <f t="shared" si="27"/>
        <v/>
      </c>
      <c r="O129" s="6">
        <f t="shared" si="20"/>
        <v>0</v>
      </c>
      <c r="P129" s="8" t="str">
        <f t="shared" si="28"/>
        <v/>
      </c>
      <c r="Q129" s="35" t="str">
        <f t="shared" si="28"/>
        <v/>
      </c>
      <c r="R129" s="35" t="str">
        <f t="shared" si="31"/>
        <v/>
      </c>
      <c r="S129" s="35" t="str">
        <f t="shared" si="29"/>
        <v/>
      </c>
      <c r="T129" s="35" t="str">
        <f t="shared" si="30"/>
        <v/>
      </c>
      <c r="V129">
        <f t="shared" si="21"/>
        <v>0</v>
      </c>
      <c r="AG129" s="5"/>
      <c r="AH129" s="5"/>
      <c r="AI129" s="16"/>
      <c r="AY129" s="5"/>
    </row>
    <row r="130" spans="1:51" x14ac:dyDescent="0.2">
      <c r="A130">
        <f t="shared" si="22"/>
        <v>129</v>
      </c>
      <c r="B130" s="8">
        <f t="shared" si="17"/>
        <v>3</v>
      </c>
      <c r="C130">
        <f t="shared" si="18"/>
        <v>0</v>
      </c>
      <c r="D130" s="5">
        <f t="shared" si="19"/>
        <v>0</v>
      </c>
      <c r="I130" t="str">
        <f t="shared" si="23"/>
        <v/>
      </c>
      <c r="J130" t="str">
        <f t="shared" si="24"/>
        <v/>
      </c>
      <c r="K130" t="str">
        <f t="shared" si="25"/>
        <v/>
      </c>
      <c r="L130" t="str">
        <f t="shared" si="26"/>
        <v/>
      </c>
      <c r="M130" t="str">
        <f t="shared" si="27"/>
        <v/>
      </c>
      <c r="O130" s="6">
        <f t="shared" si="20"/>
        <v>0</v>
      </c>
      <c r="P130" s="8" t="str">
        <f t="shared" si="28"/>
        <v/>
      </c>
      <c r="Q130" s="35" t="str">
        <f t="shared" si="28"/>
        <v/>
      </c>
      <c r="R130" s="35" t="str">
        <f t="shared" si="31"/>
        <v/>
      </c>
      <c r="S130" s="35" t="str">
        <f t="shared" si="29"/>
        <v/>
      </c>
      <c r="T130" s="35" t="str">
        <f t="shared" si="30"/>
        <v/>
      </c>
      <c r="V130">
        <f t="shared" si="21"/>
        <v>0</v>
      </c>
      <c r="AG130" s="5"/>
      <c r="AH130" s="5"/>
      <c r="AI130" s="16"/>
      <c r="AY130" s="5"/>
    </row>
    <row r="131" spans="1:51" x14ac:dyDescent="0.2">
      <c r="A131">
        <f t="shared" si="22"/>
        <v>130</v>
      </c>
      <c r="B131" s="8">
        <f t="shared" si="17"/>
        <v>3</v>
      </c>
      <c r="C131">
        <f t="shared" si="18"/>
        <v>0</v>
      </c>
      <c r="D131" s="5">
        <f t="shared" si="19"/>
        <v>0</v>
      </c>
      <c r="I131" t="str">
        <f t="shared" si="23"/>
        <v/>
      </c>
      <c r="J131" t="str">
        <f t="shared" si="24"/>
        <v/>
      </c>
      <c r="K131" t="str">
        <f t="shared" si="25"/>
        <v/>
      </c>
      <c r="L131" t="str">
        <f t="shared" si="26"/>
        <v/>
      </c>
      <c r="M131" t="str">
        <f t="shared" si="27"/>
        <v/>
      </c>
      <c r="O131" s="6">
        <f t="shared" si="20"/>
        <v>0</v>
      </c>
      <c r="P131" s="8" t="str">
        <f t="shared" si="28"/>
        <v/>
      </c>
      <c r="Q131" s="35" t="str">
        <f t="shared" si="28"/>
        <v/>
      </c>
      <c r="R131" s="35" t="str">
        <f t="shared" si="31"/>
        <v/>
      </c>
      <c r="S131" s="35" t="str">
        <f t="shared" si="29"/>
        <v/>
      </c>
      <c r="T131" s="35" t="str">
        <f t="shared" si="30"/>
        <v/>
      </c>
      <c r="V131">
        <f t="shared" si="21"/>
        <v>0</v>
      </c>
      <c r="AG131" s="5"/>
      <c r="AH131" s="5"/>
      <c r="AI131" s="16"/>
      <c r="AY131" s="5"/>
    </row>
    <row r="132" spans="1:51" x14ac:dyDescent="0.2">
      <c r="A132">
        <f t="shared" si="22"/>
        <v>131</v>
      </c>
      <c r="B132" s="8">
        <f t="shared" ref="B132:B195" si="32">IF(G132="PeriodStart",B131+1,B131)</f>
        <v>3</v>
      </c>
      <c r="C132">
        <f t="shared" ref="C132:C195" si="33">IF(G132&lt;&gt;"PeriodStart",E131,18)</f>
        <v>0</v>
      </c>
      <c r="D132" s="5">
        <f t="shared" ref="D132:D195" si="34">F131</f>
        <v>0</v>
      </c>
      <c r="I132" t="str">
        <f t="shared" si="23"/>
        <v/>
      </c>
      <c r="J132" t="str">
        <f t="shared" si="24"/>
        <v/>
      </c>
      <c r="K132" t="str">
        <f t="shared" si="25"/>
        <v/>
      </c>
      <c r="L132" t="str">
        <f t="shared" si="26"/>
        <v/>
      </c>
      <c r="M132" t="str">
        <f t="shared" si="27"/>
        <v/>
      </c>
      <c r="O132" s="6">
        <f t="shared" ref="O132:O195" si="35">O131</f>
        <v>0</v>
      </c>
      <c r="P132" s="8" t="str">
        <f t="shared" si="28"/>
        <v/>
      </c>
      <c r="Q132" s="35" t="str">
        <f t="shared" si="28"/>
        <v/>
      </c>
      <c r="R132" s="35" t="str">
        <f t="shared" si="31"/>
        <v/>
      </c>
      <c r="S132" s="35" t="str">
        <f t="shared" si="29"/>
        <v/>
      </c>
      <c r="T132" s="35" t="str">
        <f t="shared" si="30"/>
        <v/>
      </c>
      <c r="V132">
        <f t="shared" ref="V132:V195" si="36">V131</f>
        <v>0</v>
      </c>
      <c r="AG132" s="5"/>
      <c r="AH132" s="5"/>
      <c r="AI132" s="16"/>
      <c r="AY132" s="5"/>
    </row>
    <row r="133" spans="1:51" x14ac:dyDescent="0.2">
      <c r="A133">
        <f t="shared" ref="A133:A196" si="37">A132+1</f>
        <v>132</v>
      </c>
      <c r="B133" s="8">
        <f t="shared" si="32"/>
        <v>3</v>
      </c>
      <c r="C133">
        <f t="shared" si="33"/>
        <v>0</v>
      </c>
      <c r="D133" s="5">
        <f t="shared" si="34"/>
        <v>0</v>
      </c>
      <c r="I133" t="str">
        <f t="shared" si="23"/>
        <v/>
      </c>
      <c r="J133" t="str">
        <f t="shared" si="24"/>
        <v/>
      </c>
      <c r="K133" t="str">
        <f t="shared" si="25"/>
        <v/>
      </c>
      <c r="L133" t="str">
        <f t="shared" si="26"/>
        <v/>
      </c>
      <c r="M133" t="str">
        <f t="shared" si="27"/>
        <v/>
      </c>
      <c r="O133" s="6">
        <f t="shared" si="35"/>
        <v>0</v>
      </c>
      <c r="P133" s="8" t="str">
        <f t="shared" si="28"/>
        <v/>
      </c>
      <c r="Q133" s="35" t="str">
        <f t="shared" si="28"/>
        <v/>
      </c>
      <c r="R133" s="35" t="str">
        <f t="shared" si="31"/>
        <v/>
      </c>
      <c r="S133" s="35" t="str">
        <f t="shared" si="29"/>
        <v/>
      </c>
      <c r="T133" s="35" t="str">
        <f t="shared" si="30"/>
        <v/>
      </c>
      <c r="V133">
        <f t="shared" si="36"/>
        <v>0</v>
      </c>
      <c r="AG133" s="5"/>
      <c r="AH133" s="5"/>
      <c r="AI133" s="16"/>
      <c r="AY133" s="5"/>
    </row>
    <row r="134" spans="1:51" x14ac:dyDescent="0.2">
      <c r="A134">
        <f t="shared" si="37"/>
        <v>133</v>
      </c>
      <c r="B134" s="8">
        <f t="shared" si="32"/>
        <v>3</v>
      </c>
      <c r="C134">
        <f t="shared" si="33"/>
        <v>0</v>
      </c>
      <c r="D134" s="5">
        <f t="shared" si="34"/>
        <v>0</v>
      </c>
      <c r="I134" t="str">
        <f t="shared" si="23"/>
        <v/>
      </c>
      <c r="J134" t="str">
        <f t="shared" si="24"/>
        <v/>
      </c>
      <c r="K134" t="str">
        <f t="shared" si="25"/>
        <v/>
      </c>
      <c r="L134" t="str">
        <f t="shared" si="26"/>
        <v/>
      </c>
      <c r="M134" t="str">
        <f t="shared" si="27"/>
        <v/>
      </c>
      <c r="O134" s="6">
        <f t="shared" si="35"/>
        <v>0</v>
      </c>
      <c r="P134" s="8" t="str">
        <f t="shared" si="28"/>
        <v/>
      </c>
      <c r="Q134" s="35" t="str">
        <f t="shared" si="28"/>
        <v/>
      </c>
      <c r="R134" s="35" t="str">
        <f t="shared" si="31"/>
        <v/>
      </c>
      <c r="S134" s="35" t="str">
        <f t="shared" si="29"/>
        <v/>
      </c>
      <c r="T134" s="35" t="str">
        <f t="shared" si="30"/>
        <v/>
      </c>
      <c r="V134">
        <f t="shared" si="36"/>
        <v>0</v>
      </c>
      <c r="AG134" s="5"/>
      <c r="AH134" s="5"/>
      <c r="AI134" s="16"/>
      <c r="AY134" s="5"/>
    </row>
    <row r="135" spans="1:51" x14ac:dyDescent="0.2">
      <c r="A135">
        <f t="shared" si="37"/>
        <v>134</v>
      </c>
      <c r="B135" s="8">
        <f t="shared" si="32"/>
        <v>3</v>
      </c>
      <c r="C135">
        <f t="shared" si="33"/>
        <v>0</v>
      </c>
      <c r="D135" s="5">
        <f t="shared" si="34"/>
        <v>0</v>
      </c>
      <c r="I135" t="str">
        <f t="shared" ref="I135:I198" si="38">IF($D135&gt;0,I134,"")</f>
        <v/>
      </c>
      <c r="J135" t="str">
        <f t="shared" ref="J135:J198" si="39">IF($D135&gt;0,J134,"")</f>
        <v/>
      </c>
      <c r="K135" t="str">
        <f t="shared" ref="K135:K198" si="40">IF($D135&gt;0,K134,"")</f>
        <v/>
      </c>
      <c r="L135" t="str">
        <f t="shared" ref="L135:L198" si="41">IF($D135&gt;0,L134,"")</f>
        <v/>
      </c>
      <c r="M135" t="str">
        <f t="shared" ref="M135:M198" si="42">IF($D135&gt;0,M134,"")</f>
        <v/>
      </c>
      <c r="O135" s="6">
        <f t="shared" si="35"/>
        <v>0</v>
      </c>
      <c r="P135" s="8" t="str">
        <f t="shared" ref="P135:Q198" si="43">IF($D135&gt;0,P134,"")</f>
        <v/>
      </c>
      <c r="Q135" s="35" t="str">
        <f t="shared" si="43"/>
        <v/>
      </c>
      <c r="R135" s="35" t="str">
        <f t="shared" ref="R135:R198" si="44">IF($D135&gt;0,R134,"")</f>
        <v/>
      </c>
      <c r="S135" s="35" t="str">
        <f t="shared" ref="S135:S198" si="45">IF($D135&gt;0,S134,"")</f>
        <v/>
      </c>
      <c r="T135" s="35" t="str">
        <f t="shared" ref="T135:T198" si="46">IF($D135&gt;0,T134,"")</f>
        <v/>
      </c>
      <c r="V135">
        <f t="shared" si="36"/>
        <v>0</v>
      </c>
      <c r="AG135" s="5"/>
      <c r="AH135" s="5"/>
      <c r="AI135" s="16"/>
      <c r="AY135" s="5"/>
    </row>
    <row r="136" spans="1:51" x14ac:dyDescent="0.2">
      <c r="A136">
        <f t="shared" si="37"/>
        <v>135</v>
      </c>
      <c r="B136" s="8">
        <f t="shared" si="32"/>
        <v>3</v>
      </c>
      <c r="C136">
        <f t="shared" si="33"/>
        <v>0</v>
      </c>
      <c r="D136" s="5">
        <f t="shared" si="34"/>
        <v>0</v>
      </c>
      <c r="I136" t="str">
        <f t="shared" si="38"/>
        <v/>
      </c>
      <c r="J136" t="str">
        <f t="shared" si="39"/>
        <v/>
      </c>
      <c r="K136" t="str">
        <f t="shared" si="40"/>
        <v/>
      </c>
      <c r="L136" t="str">
        <f t="shared" si="41"/>
        <v/>
      </c>
      <c r="M136" t="str">
        <f t="shared" si="42"/>
        <v/>
      </c>
      <c r="O136" s="6">
        <f t="shared" si="35"/>
        <v>0</v>
      </c>
      <c r="P136" s="8" t="str">
        <f t="shared" si="43"/>
        <v/>
      </c>
      <c r="Q136" s="35" t="str">
        <f t="shared" si="43"/>
        <v/>
      </c>
      <c r="R136" s="35" t="str">
        <f t="shared" si="44"/>
        <v/>
      </c>
      <c r="S136" s="35" t="str">
        <f t="shared" si="45"/>
        <v/>
      </c>
      <c r="T136" s="35" t="str">
        <f t="shared" si="46"/>
        <v/>
      </c>
      <c r="V136">
        <f t="shared" si="36"/>
        <v>0</v>
      </c>
      <c r="AG136" s="5"/>
      <c r="AH136" s="5"/>
      <c r="AI136" s="16"/>
      <c r="AY136" s="5"/>
    </row>
    <row r="137" spans="1:51" x14ac:dyDescent="0.2">
      <c r="A137">
        <f t="shared" si="37"/>
        <v>136</v>
      </c>
      <c r="B137" s="8">
        <f t="shared" si="32"/>
        <v>3</v>
      </c>
      <c r="C137">
        <f t="shared" si="33"/>
        <v>0</v>
      </c>
      <c r="D137" s="5">
        <f t="shared" si="34"/>
        <v>0</v>
      </c>
      <c r="I137" t="str">
        <f t="shared" si="38"/>
        <v/>
      </c>
      <c r="J137" t="str">
        <f t="shared" si="39"/>
        <v/>
      </c>
      <c r="K137" t="str">
        <f t="shared" si="40"/>
        <v/>
      </c>
      <c r="L137" t="str">
        <f t="shared" si="41"/>
        <v/>
      </c>
      <c r="M137" t="str">
        <f t="shared" si="42"/>
        <v/>
      </c>
      <c r="O137" s="6">
        <f t="shared" si="35"/>
        <v>0</v>
      </c>
      <c r="P137" s="8" t="str">
        <f t="shared" si="43"/>
        <v/>
      </c>
      <c r="Q137" s="35" t="str">
        <f t="shared" si="43"/>
        <v/>
      </c>
      <c r="R137" s="35" t="str">
        <f t="shared" si="44"/>
        <v/>
      </c>
      <c r="S137" s="35" t="str">
        <f t="shared" si="45"/>
        <v/>
      </c>
      <c r="T137" s="35" t="str">
        <f t="shared" si="46"/>
        <v/>
      </c>
      <c r="V137">
        <f t="shared" si="36"/>
        <v>0</v>
      </c>
      <c r="AG137" s="5"/>
      <c r="AH137" s="5"/>
      <c r="AI137" s="16"/>
      <c r="AY137" s="5"/>
    </row>
    <row r="138" spans="1:51" x14ac:dyDescent="0.2">
      <c r="A138">
        <f t="shared" si="37"/>
        <v>137</v>
      </c>
      <c r="B138" s="8">
        <f t="shared" si="32"/>
        <v>3</v>
      </c>
      <c r="C138">
        <f t="shared" si="33"/>
        <v>0</v>
      </c>
      <c r="D138" s="5">
        <f t="shared" si="34"/>
        <v>0</v>
      </c>
      <c r="I138" t="str">
        <f t="shared" si="38"/>
        <v/>
      </c>
      <c r="J138" t="str">
        <f t="shared" si="39"/>
        <v/>
      </c>
      <c r="K138" t="str">
        <f t="shared" si="40"/>
        <v/>
      </c>
      <c r="L138" t="str">
        <f t="shared" si="41"/>
        <v/>
      </c>
      <c r="M138" t="str">
        <f t="shared" si="42"/>
        <v/>
      </c>
      <c r="O138" s="6">
        <f t="shared" si="35"/>
        <v>0</v>
      </c>
      <c r="P138" s="8" t="str">
        <f t="shared" si="43"/>
        <v/>
      </c>
      <c r="Q138" s="35" t="str">
        <f t="shared" si="43"/>
        <v/>
      </c>
      <c r="R138" s="35" t="str">
        <f t="shared" si="44"/>
        <v/>
      </c>
      <c r="S138" s="35" t="str">
        <f t="shared" si="45"/>
        <v/>
      </c>
      <c r="T138" s="35" t="str">
        <f t="shared" si="46"/>
        <v/>
      </c>
      <c r="V138">
        <f t="shared" si="36"/>
        <v>0</v>
      </c>
      <c r="AG138" s="5"/>
      <c r="AH138" s="5"/>
      <c r="AI138" s="16"/>
      <c r="AY138" s="5"/>
    </row>
    <row r="139" spans="1:51" x14ac:dyDescent="0.2">
      <c r="A139">
        <f t="shared" si="37"/>
        <v>138</v>
      </c>
      <c r="B139" s="8">
        <f t="shared" si="32"/>
        <v>3</v>
      </c>
      <c r="C139">
        <f t="shared" si="33"/>
        <v>0</v>
      </c>
      <c r="D139" s="5">
        <f t="shared" si="34"/>
        <v>0</v>
      </c>
      <c r="I139" t="str">
        <f t="shared" si="38"/>
        <v/>
      </c>
      <c r="J139" t="str">
        <f t="shared" si="39"/>
        <v/>
      </c>
      <c r="K139" t="str">
        <f t="shared" si="40"/>
        <v/>
      </c>
      <c r="L139" t="str">
        <f t="shared" si="41"/>
        <v/>
      </c>
      <c r="M139" t="str">
        <f t="shared" si="42"/>
        <v/>
      </c>
      <c r="O139" s="6">
        <f t="shared" si="35"/>
        <v>0</v>
      </c>
      <c r="P139" s="8" t="str">
        <f t="shared" si="43"/>
        <v/>
      </c>
      <c r="Q139" s="35" t="str">
        <f t="shared" si="43"/>
        <v/>
      </c>
      <c r="R139" s="35" t="str">
        <f t="shared" si="44"/>
        <v/>
      </c>
      <c r="S139" s="35" t="str">
        <f t="shared" si="45"/>
        <v/>
      </c>
      <c r="T139" s="35" t="str">
        <f t="shared" si="46"/>
        <v/>
      </c>
      <c r="V139">
        <f t="shared" si="36"/>
        <v>0</v>
      </c>
      <c r="AG139" s="5"/>
      <c r="AH139" s="5"/>
      <c r="AI139" s="16"/>
      <c r="AY139" s="5"/>
    </row>
    <row r="140" spans="1:51" x14ac:dyDescent="0.2">
      <c r="A140">
        <f t="shared" si="37"/>
        <v>139</v>
      </c>
      <c r="B140" s="8">
        <f t="shared" si="32"/>
        <v>3</v>
      </c>
      <c r="C140">
        <f t="shared" si="33"/>
        <v>0</v>
      </c>
      <c r="D140" s="5">
        <f t="shared" si="34"/>
        <v>0</v>
      </c>
      <c r="I140" t="str">
        <f t="shared" si="38"/>
        <v/>
      </c>
      <c r="J140" t="str">
        <f t="shared" si="39"/>
        <v/>
      </c>
      <c r="K140" t="str">
        <f t="shared" si="40"/>
        <v/>
      </c>
      <c r="L140" t="str">
        <f t="shared" si="41"/>
        <v/>
      </c>
      <c r="M140" t="str">
        <f t="shared" si="42"/>
        <v/>
      </c>
      <c r="O140" s="6">
        <f t="shared" si="35"/>
        <v>0</v>
      </c>
      <c r="P140" s="8" t="str">
        <f t="shared" si="43"/>
        <v/>
      </c>
      <c r="Q140" s="35" t="str">
        <f t="shared" si="43"/>
        <v/>
      </c>
      <c r="R140" s="35" t="str">
        <f t="shared" si="44"/>
        <v/>
      </c>
      <c r="S140" s="35" t="str">
        <f t="shared" si="45"/>
        <v/>
      </c>
      <c r="T140" s="35" t="str">
        <f t="shared" si="46"/>
        <v/>
      </c>
      <c r="V140">
        <f t="shared" si="36"/>
        <v>0</v>
      </c>
      <c r="AG140" s="5"/>
      <c r="AH140" s="5"/>
      <c r="AI140" s="16"/>
      <c r="AY140" s="5"/>
    </row>
    <row r="141" spans="1:51" x14ac:dyDescent="0.2">
      <c r="A141">
        <f t="shared" si="37"/>
        <v>140</v>
      </c>
      <c r="B141" s="8">
        <f t="shared" si="32"/>
        <v>3</v>
      </c>
      <c r="C141">
        <f t="shared" si="33"/>
        <v>0</v>
      </c>
      <c r="D141" s="5">
        <f t="shared" si="34"/>
        <v>0</v>
      </c>
      <c r="I141" t="str">
        <f t="shared" si="38"/>
        <v/>
      </c>
      <c r="J141" t="str">
        <f t="shared" si="39"/>
        <v/>
      </c>
      <c r="K141" t="str">
        <f t="shared" si="40"/>
        <v/>
      </c>
      <c r="L141" t="str">
        <f t="shared" si="41"/>
        <v/>
      </c>
      <c r="M141" t="str">
        <f t="shared" si="42"/>
        <v/>
      </c>
      <c r="O141" s="6">
        <f t="shared" si="35"/>
        <v>0</v>
      </c>
      <c r="P141" s="8" t="str">
        <f t="shared" si="43"/>
        <v/>
      </c>
      <c r="Q141" s="35" t="str">
        <f t="shared" si="43"/>
        <v/>
      </c>
      <c r="R141" s="35" t="str">
        <f t="shared" si="44"/>
        <v/>
      </c>
      <c r="S141" s="35" t="str">
        <f t="shared" si="45"/>
        <v/>
      </c>
      <c r="T141" s="35" t="str">
        <f t="shared" si="46"/>
        <v/>
      </c>
      <c r="V141">
        <f t="shared" si="36"/>
        <v>0</v>
      </c>
      <c r="AG141" s="5"/>
      <c r="AH141" s="5"/>
      <c r="AI141" s="16"/>
      <c r="AY141" s="5"/>
    </row>
    <row r="142" spans="1:51" x14ac:dyDescent="0.2">
      <c r="A142">
        <f t="shared" si="37"/>
        <v>141</v>
      </c>
      <c r="B142" s="8">
        <f t="shared" si="32"/>
        <v>3</v>
      </c>
      <c r="C142">
        <f t="shared" si="33"/>
        <v>0</v>
      </c>
      <c r="D142" s="5">
        <f t="shared" si="34"/>
        <v>0</v>
      </c>
      <c r="I142" t="str">
        <f t="shared" si="38"/>
        <v/>
      </c>
      <c r="J142" t="str">
        <f t="shared" si="39"/>
        <v/>
      </c>
      <c r="K142" t="str">
        <f t="shared" si="40"/>
        <v/>
      </c>
      <c r="L142" t="str">
        <f t="shared" si="41"/>
        <v/>
      </c>
      <c r="M142" t="str">
        <f t="shared" si="42"/>
        <v/>
      </c>
      <c r="O142" s="6">
        <f t="shared" si="35"/>
        <v>0</v>
      </c>
      <c r="P142" s="8" t="str">
        <f t="shared" si="43"/>
        <v/>
      </c>
      <c r="Q142" s="35" t="str">
        <f t="shared" si="43"/>
        <v/>
      </c>
      <c r="R142" s="35" t="str">
        <f t="shared" si="44"/>
        <v/>
      </c>
      <c r="S142" s="35" t="str">
        <f t="shared" si="45"/>
        <v/>
      </c>
      <c r="T142" s="35" t="str">
        <f t="shared" si="46"/>
        <v/>
      </c>
      <c r="V142">
        <f t="shared" si="36"/>
        <v>0</v>
      </c>
      <c r="AG142" s="5"/>
      <c r="AH142" s="5"/>
      <c r="AI142" s="16"/>
      <c r="AY142" s="5"/>
    </row>
    <row r="143" spans="1:51" x14ac:dyDescent="0.2">
      <c r="A143">
        <f t="shared" si="37"/>
        <v>142</v>
      </c>
      <c r="B143" s="8">
        <f t="shared" si="32"/>
        <v>3</v>
      </c>
      <c r="C143">
        <f t="shared" si="33"/>
        <v>0</v>
      </c>
      <c r="D143" s="5">
        <f t="shared" si="34"/>
        <v>0</v>
      </c>
      <c r="I143" t="str">
        <f t="shared" si="38"/>
        <v/>
      </c>
      <c r="J143" t="str">
        <f t="shared" si="39"/>
        <v/>
      </c>
      <c r="K143" t="str">
        <f t="shared" si="40"/>
        <v/>
      </c>
      <c r="L143" t="str">
        <f t="shared" si="41"/>
        <v/>
      </c>
      <c r="M143" t="str">
        <f t="shared" si="42"/>
        <v/>
      </c>
      <c r="O143" s="6">
        <f t="shared" si="35"/>
        <v>0</v>
      </c>
      <c r="P143" s="8" t="str">
        <f t="shared" si="43"/>
        <v/>
      </c>
      <c r="Q143" s="35" t="str">
        <f t="shared" si="43"/>
        <v/>
      </c>
      <c r="R143" s="35" t="str">
        <f t="shared" si="44"/>
        <v/>
      </c>
      <c r="S143" s="35" t="str">
        <f t="shared" si="45"/>
        <v/>
      </c>
      <c r="T143" s="35" t="str">
        <f t="shared" si="46"/>
        <v/>
      </c>
      <c r="V143">
        <f t="shared" si="36"/>
        <v>0</v>
      </c>
      <c r="AG143" s="5"/>
      <c r="AH143" s="5"/>
      <c r="AI143" s="16"/>
      <c r="AY143" s="5"/>
    </row>
    <row r="144" spans="1:51" x14ac:dyDescent="0.2">
      <c r="A144">
        <f t="shared" si="37"/>
        <v>143</v>
      </c>
      <c r="B144" s="8">
        <f t="shared" si="32"/>
        <v>3</v>
      </c>
      <c r="C144">
        <f t="shared" si="33"/>
        <v>0</v>
      </c>
      <c r="D144" s="5">
        <f t="shared" si="34"/>
        <v>0</v>
      </c>
      <c r="I144" t="str">
        <f t="shared" si="38"/>
        <v/>
      </c>
      <c r="J144" t="str">
        <f t="shared" si="39"/>
        <v/>
      </c>
      <c r="K144" t="str">
        <f t="shared" si="40"/>
        <v/>
      </c>
      <c r="L144" t="str">
        <f t="shared" si="41"/>
        <v/>
      </c>
      <c r="M144" t="str">
        <f t="shared" si="42"/>
        <v/>
      </c>
      <c r="O144" s="6">
        <f t="shared" si="35"/>
        <v>0</v>
      </c>
      <c r="P144" s="8" t="str">
        <f t="shared" si="43"/>
        <v/>
      </c>
      <c r="Q144" s="35" t="str">
        <f t="shared" si="43"/>
        <v/>
      </c>
      <c r="R144" s="35" t="str">
        <f t="shared" si="44"/>
        <v/>
      </c>
      <c r="S144" s="35" t="str">
        <f t="shared" si="45"/>
        <v/>
      </c>
      <c r="T144" s="35" t="str">
        <f t="shared" si="46"/>
        <v/>
      </c>
      <c r="V144">
        <f t="shared" si="36"/>
        <v>0</v>
      </c>
      <c r="AG144" s="5"/>
      <c r="AH144" s="5"/>
      <c r="AI144" s="16"/>
      <c r="AY144" s="5"/>
    </row>
    <row r="145" spans="1:51" x14ac:dyDescent="0.2">
      <c r="A145">
        <f t="shared" si="37"/>
        <v>144</v>
      </c>
      <c r="B145" s="8">
        <f t="shared" si="32"/>
        <v>3</v>
      </c>
      <c r="C145">
        <f t="shared" si="33"/>
        <v>0</v>
      </c>
      <c r="D145" s="5">
        <f t="shared" si="34"/>
        <v>0</v>
      </c>
      <c r="I145" t="str">
        <f t="shared" si="38"/>
        <v/>
      </c>
      <c r="J145" t="str">
        <f t="shared" si="39"/>
        <v/>
      </c>
      <c r="K145" t="str">
        <f t="shared" si="40"/>
        <v/>
      </c>
      <c r="L145" t="str">
        <f t="shared" si="41"/>
        <v/>
      </c>
      <c r="M145" t="str">
        <f t="shared" si="42"/>
        <v/>
      </c>
      <c r="O145" s="6">
        <f t="shared" si="35"/>
        <v>0</v>
      </c>
      <c r="P145" s="8" t="str">
        <f t="shared" si="43"/>
        <v/>
      </c>
      <c r="Q145" s="35" t="str">
        <f t="shared" si="43"/>
        <v/>
      </c>
      <c r="R145" s="35" t="str">
        <f t="shared" si="44"/>
        <v/>
      </c>
      <c r="S145" s="35" t="str">
        <f t="shared" si="45"/>
        <v/>
      </c>
      <c r="T145" s="35" t="str">
        <f t="shared" si="46"/>
        <v/>
      </c>
      <c r="V145">
        <f t="shared" si="36"/>
        <v>0</v>
      </c>
      <c r="AG145" s="5"/>
      <c r="AH145" s="5"/>
      <c r="AI145" s="16"/>
      <c r="AY145" s="5"/>
    </row>
    <row r="146" spans="1:51" x14ac:dyDescent="0.2">
      <c r="A146">
        <f t="shared" si="37"/>
        <v>145</v>
      </c>
      <c r="B146" s="8">
        <f t="shared" si="32"/>
        <v>3</v>
      </c>
      <c r="C146">
        <f t="shared" si="33"/>
        <v>0</v>
      </c>
      <c r="D146" s="5">
        <f t="shared" si="34"/>
        <v>0</v>
      </c>
      <c r="I146" t="str">
        <f t="shared" si="38"/>
        <v/>
      </c>
      <c r="J146" t="str">
        <f t="shared" si="39"/>
        <v/>
      </c>
      <c r="K146" t="str">
        <f t="shared" si="40"/>
        <v/>
      </c>
      <c r="L146" t="str">
        <f t="shared" si="41"/>
        <v/>
      </c>
      <c r="M146" t="str">
        <f t="shared" si="42"/>
        <v/>
      </c>
      <c r="O146" s="6">
        <f t="shared" si="35"/>
        <v>0</v>
      </c>
      <c r="P146" s="8" t="str">
        <f t="shared" si="43"/>
        <v/>
      </c>
      <c r="Q146" s="35" t="str">
        <f t="shared" si="43"/>
        <v/>
      </c>
      <c r="R146" s="35" t="str">
        <f t="shared" si="44"/>
        <v/>
      </c>
      <c r="S146" s="35" t="str">
        <f t="shared" si="45"/>
        <v/>
      </c>
      <c r="T146" s="35" t="str">
        <f t="shared" si="46"/>
        <v/>
      </c>
      <c r="V146">
        <f t="shared" si="36"/>
        <v>0</v>
      </c>
      <c r="AG146" s="5"/>
      <c r="AH146" s="5"/>
      <c r="AI146" s="16"/>
      <c r="AY146" s="5"/>
    </row>
    <row r="147" spans="1:51" x14ac:dyDescent="0.2">
      <c r="A147">
        <f t="shared" si="37"/>
        <v>146</v>
      </c>
      <c r="B147" s="8">
        <f t="shared" si="32"/>
        <v>3</v>
      </c>
      <c r="C147">
        <f t="shared" si="33"/>
        <v>0</v>
      </c>
      <c r="D147" s="5">
        <f t="shared" si="34"/>
        <v>0</v>
      </c>
      <c r="I147" t="str">
        <f t="shared" si="38"/>
        <v/>
      </c>
      <c r="J147" t="str">
        <f t="shared" si="39"/>
        <v/>
      </c>
      <c r="K147" t="str">
        <f t="shared" si="40"/>
        <v/>
      </c>
      <c r="L147" t="str">
        <f t="shared" si="41"/>
        <v/>
      </c>
      <c r="M147" t="str">
        <f t="shared" si="42"/>
        <v/>
      </c>
      <c r="O147" s="6">
        <f t="shared" si="35"/>
        <v>0</v>
      </c>
      <c r="P147" s="8" t="str">
        <f t="shared" si="43"/>
        <v/>
      </c>
      <c r="Q147" s="35" t="str">
        <f t="shared" si="43"/>
        <v/>
      </c>
      <c r="R147" s="35" t="str">
        <f t="shared" si="44"/>
        <v/>
      </c>
      <c r="S147" s="35" t="str">
        <f t="shared" si="45"/>
        <v/>
      </c>
      <c r="T147" s="35" t="str">
        <f t="shared" si="46"/>
        <v/>
      </c>
      <c r="V147">
        <f t="shared" si="36"/>
        <v>0</v>
      </c>
      <c r="AG147" s="5"/>
      <c r="AH147" s="5"/>
      <c r="AI147" s="16"/>
      <c r="AY147" s="5"/>
    </row>
    <row r="148" spans="1:51" x14ac:dyDescent="0.2">
      <c r="A148">
        <f t="shared" si="37"/>
        <v>147</v>
      </c>
      <c r="B148" s="8">
        <f t="shared" si="32"/>
        <v>3</v>
      </c>
      <c r="C148">
        <f t="shared" si="33"/>
        <v>0</v>
      </c>
      <c r="D148" s="5">
        <f t="shared" si="34"/>
        <v>0</v>
      </c>
      <c r="I148" t="str">
        <f t="shared" si="38"/>
        <v/>
      </c>
      <c r="J148" t="str">
        <f t="shared" si="39"/>
        <v/>
      </c>
      <c r="K148" t="str">
        <f t="shared" si="40"/>
        <v/>
      </c>
      <c r="L148" t="str">
        <f t="shared" si="41"/>
        <v/>
      </c>
      <c r="M148" t="str">
        <f t="shared" si="42"/>
        <v/>
      </c>
      <c r="O148" s="6">
        <f t="shared" si="35"/>
        <v>0</v>
      </c>
      <c r="P148" s="8" t="str">
        <f t="shared" si="43"/>
        <v/>
      </c>
      <c r="Q148" s="35" t="str">
        <f t="shared" si="43"/>
        <v/>
      </c>
      <c r="R148" s="35" t="str">
        <f t="shared" si="44"/>
        <v/>
      </c>
      <c r="S148" s="35" t="str">
        <f t="shared" si="45"/>
        <v/>
      </c>
      <c r="T148" s="35" t="str">
        <f t="shared" si="46"/>
        <v/>
      </c>
      <c r="V148">
        <f t="shared" si="36"/>
        <v>0</v>
      </c>
      <c r="AG148" s="5"/>
      <c r="AH148" s="5"/>
      <c r="AI148" s="16"/>
      <c r="AY148" s="5"/>
    </row>
    <row r="149" spans="1:51" x14ac:dyDescent="0.2">
      <c r="A149">
        <f t="shared" si="37"/>
        <v>148</v>
      </c>
      <c r="B149" s="8">
        <f t="shared" si="32"/>
        <v>3</v>
      </c>
      <c r="C149">
        <f t="shared" si="33"/>
        <v>0</v>
      </c>
      <c r="D149" s="5">
        <f t="shared" si="34"/>
        <v>0</v>
      </c>
      <c r="I149" t="str">
        <f t="shared" si="38"/>
        <v/>
      </c>
      <c r="J149" t="str">
        <f t="shared" si="39"/>
        <v/>
      </c>
      <c r="K149" t="str">
        <f t="shared" si="40"/>
        <v/>
      </c>
      <c r="L149" t="str">
        <f t="shared" si="41"/>
        <v/>
      </c>
      <c r="M149" t="str">
        <f t="shared" si="42"/>
        <v/>
      </c>
      <c r="O149" s="6">
        <f t="shared" si="35"/>
        <v>0</v>
      </c>
      <c r="P149" s="8" t="str">
        <f t="shared" si="43"/>
        <v/>
      </c>
      <c r="Q149" s="35" t="str">
        <f t="shared" si="43"/>
        <v/>
      </c>
      <c r="R149" s="35" t="str">
        <f t="shared" si="44"/>
        <v/>
      </c>
      <c r="S149" s="35" t="str">
        <f t="shared" si="45"/>
        <v/>
      </c>
      <c r="T149" s="35" t="str">
        <f t="shared" si="46"/>
        <v/>
      </c>
      <c r="V149">
        <f t="shared" si="36"/>
        <v>0</v>
      </c>
      <c r="AG149" s="5"/>
      <c r="AH149" s="5"/>
      <c r="AI149" s="16"/>
      <c r="AY149" s="5"/>
    </row>
    <row r="150" spans="1:51" x14ac:dyDescent="0.2">
      <c r="A150">
        <f t="shared" si="37"/>
        <v>149</v>
      </c>
      <c r="B150" s="8">
        <f t="shared" si="32"/>
        <v>3</v>
      </c>
      <c r="C150">
        <f t="shared" si="33"/>
        <v>0</v>
      </c>
      <c r="D150" s="5">
        <f t="shared" si="34"/>
        <v>0</v>
      </c>
      <c r="I150" t="str">
        <f t="shared" si="38"/>
        <v/>
      </c>
      <c r="J150" t="str">
        <f t="shared" si="39"/>
        <v/>
      </c>
      <c r="K150" t="str">
        <f t="shared" si="40"/>
        <v/>
      </c>
      <c r="L150" t="str">
        <f t="shared" si="41"/>
        <v/>
      </c>
      <c r="M150" t="str">
        <f t="shared" si="42"/>
        <v/>
      </c>
      <c r="O150" s="6">
        <f t="shared" si="35"/>
        <v>0</v>
      </c>
      <c r="P150" s="8" t="str">
        <f t="shared" si="43"/>
        <v/>
      </c>
      <c r="Q150" s="35" t="str">
        <f t="shared" si="43"/>
        <v/>
      </c>
      <c r="R150" s="35" t="str">
        <f t="shared" si="44"/>
        <v/>
      </c>
      <c r="S150" s="35" t="str">
        <f t="shared" si="45"/>
        <v/>
      </c>
      <c r="T150" s="35" t="str">
        <f t="shared" si="46"/>
        <v/>
      </c>
      <c r="V150">
        <f t="shared" si="36"/>
        <v>0</v>
      </c>
      <c r="AG150" s="5"/>
      <c r="AH150" s="5"/>
      <c r="AI150" s="16"/>
      <c r="AY150" s="5"/>
    </row>
    <row r="151" spans="1:51" x14ac:dyDescent="0.2">
      <c r="A151">
        <f t="shared" si="37"/>
        <v>150</v>
      </c>
      <c r="B151" s="8">
        <f t="shared" si="32"/>
        <v>3</v>
      </c>
      <c r="C151">
        <f t="shared" si="33"/>
        <v>0</v>
      </c>
      <c r="D151" s="5">
        <f t="shared" si="34"/>
        <v>0</v>
      </c>
      <c r="I151" t="str">
        <f t="shared" si="38"/>
        <v/>
      </c>
      <c r="J151" t="str">
        <f t="shared" si="39"/>
        <v/>
      </c>
      <c r="K151" t="str">
        <f t="shared" si="40"/>
        <v/>
      </c>
      <c r="L151" t="str">
        <f t="shared" si="41"/>
        <v/>
      </c>
      <c r="M151" t="str">
        <f t="shared" si="42"/>
        <v/>
      </c>
      <c r="O151" s="6">
        <f t="shared" si="35"/>
        <v>0</v>
      </c>
      <c r="P151" s="8" t="str">
        <f t="shared" si="43"/>
        <v/>
      </c>
      <c r="Q151" s="35" t="str">
        <f t="shared" si="43"/>
        <v/>
      </c>
      <c r="R151" s="35" t="str">
        <f t="shared" si="44"/>
        <v/>
      </c>
      <c r="S151" s="35" t="str">
        <f t="shared" si="45"/>
        <v/>
      </c>
      <c r="T151" s="35" t="str">
        <f t="shared" si="46"/>
        <v/>
      </c>
      <c r="V151">
        <f t="shared" si="36"/>
        <v>0</v>
      </c>
      <c r="AG151" s="5"/>
      <c r="AH151" s="5"/>
      <c r="AI151" s="16"/>
      <c r="AY151" s="5"/>
    </row>
    <row r="152" spans="1:51" x14ac:dyDescent="0.2">
      <c r="A152">
        <f t="shared" si="37"/>
        <v>151</v>
      </c>
      <c r="B152" s="8">
        <f t="shared" si="32"/>
        <v>3</v>
      </c>
      <c r="C152">
        <f t="shared" si="33"/>
        <v>0</v>
      </c>
      <c r="D152" s="5">
        <f t="shared" si="34"/>
        <v>0</v>
      </c>
      <c r="I152" t="str">
        <f t="shared" si="38"/>
        <v/>
      </c>
      <c r="J152" t="str">
        <f t="shared" si="39"/>
        <v/>
      </c>
      <c r="K152" t="str">
        <f t="shared" si="40"/>
        <v/>
      </c>
      <c r="L152" t="str">
        <f t="shared" si="41"/>
        <v/>
      </c>
      <c r="M152" t="str">
        <f t="shared" si="42"/>
        <v/>
      </c>
      <c r="O152" s="6">
        <f t="shared" si="35"/>
        <v>0</v>
      </c>
      <c r="P152" s="8" t="str">
        <f t="shared" si="43"/>
        <v/>
      </c>
      <c r="Q152" s="35" t="str">
        <f t="shared" si="43"/>
        <v/>
      </c>
      <c r="R152" s="35" t="str">
        <f t="shared" si="44"/>
        <v/>
      </c>
      <c r="S152" s="35" t="str">
        <f t="shared" si="45"/>
        <v/>
      </c>
      <c r="T152" s="35" t="str">
        <f t="shared" si="46"/>
        <v/>
      </c>
      <c r="V152">
        <f t="shared" si="36"/>
        <v>0</v>
      </c>
      <c r="AG152" s="5"/>
      <c r="AH152" s="5"/>
      <c r="AI152" s="16"/>
      <c r="AY152" s="5"/>
    </row>
    <row r="153" spans="1:51" x14ac:dyDescent="0.2">
      <c r="A153">
        <f t="shared" si="37"/>
        <v>152</v>
      </c>
      <c r="B153" s="8">
        <f t="shared" si="32"/>
        <v>3</v>
      </c>
      <c r="C153">
        <f t="shared" si="33"/>
        <v>0</v>
      </c>
      <c r="D153" s="5">
        <f t="shared" si="34"/>
        <v>0</v>
      </c>
      <c r="I153" t="str">
        <f t="shared" si="38"/>
        <v/>
      </c>
      <c r="J153" t="str">
        <f t="shared" si="39"/>
        <v/>
      </c>
      <c r="K153" t="str">
        <f t="shared" si="40"/>
        <v/>
      </c>
      <c r="L153" t="str">
        <f t="shared" si="41"/>
        <v/>
      </c>
      <c r="M153" t="str">
        <f t="shared" si="42"/>
        <v/>
      </c>
      <c r="O153" s="6">
        <f t="shared" si="35"/>
        <v>0</v>
      </c>
      <c r="P153" s="8" t="str">
        <f t="shared" si="43"/>
        <v/>
      </c>
      <c r="Q153" s="35" t="str">
        <f t="shared" si="43"/>
        <v/>
      </c>
      <c r="R153" s="35" t="str">
        <f t="shared" si="44"/>
        <v/>
      </c>
      <c r="S153" s="35" t="str">
        <f t="shared" si="45"/>
        <v/>
      </c>
      <c r="T153" s="35" t="str">
        <f t="shared" si="46"/>
        <v/>
      </c>
      <c r="V153">
        <f t="shared" si="36"/>
        <v>0</v>
      </c>
      <c r="AG153" s="5"/>
      <c r="AH153" s="5"/>
      <c r="AI153" s="16"/>
      <c r="AY153" s="5"/>
    </row>
    <row r="154" spans="1:51" x14ac:dyDescent="0.2">
      <c r="A154">
        <f t="shared" si="37"/>
        <v>153</v>
      </c>
      <c r="B154" s="8">
        <f t="shared" si="32"/>
        <v>3</v>
      </c>
      <c r="C154">
        <f t="shared" si="33"/>
        <v>0</v>
      </c>
      <c r="D154" s="5">
        <f t="shared" si="34"/>
        <v>0</v>
      </c>
      <c r="I154" t="str">
        <f t="shared" si="38"/>
        <v/>
      </c>
      <c r="J154" t="str">
        <f t="shared" si="39"/>
        <v/>
      </c>
      <c r="K154" t="str">
        <f t="shared" si="40"/>
        <v/>
      </c>
      <c r="L154" t="str">
        <f t="shared" si="41"/>
        <v/>
      </c>
      <c r="M154" t="str">
        <f t="shared" si="42"/>
        <v/>
      </c>
      <c r="O154" s="6">
        <f t="shared" si="35"/>
        <v>0</v>
      </c>
      <c r="P154" s="8" t="str">
        <f t="shared" si="43"/>
        <v/>
      </c>
      <c r="Q154" s="35" t="str">
        <f t="shared" si="43"/>
        <v/>
      </c>
      <c r="R154" s="35" t="str">
        <f t="shared" si="44"/>
        <v/>
      </c>
      <c r="S154" s="35" t="str">
        <f t="shared" si="45"/>
        <v/>
      </c>
      <c r="T154" s="35" t="str">
        <f t="shared" si="46"/>
        <v/>
      </c>
      <c r="V154">
        <f t="shared" si="36"/>
        <v>0</v>
      </c>
      <c r="AG154" s="5"/>
      <c r="AH154" s="5"/>
      <c r="AI154" s="16"/>
      <c r="AY154" s="5"/>
    </row>
    <row r="155" spans="1:51" x14ac:dyDescent="0.2">
      <c r="A155">
        <f t="shared" si="37"/>
        <v>154</v>
      </c>
      <c r="B155" s="8">
        <f t="shared" si="32"/>
        <v>3</v>
      </c>
      <c r="C155">
        <f t="shared" si="33"/>
        <v>0</v>
      </c>
      <c r="D155" s="5">
        <f t="shared" si="34"/>
        <v>0</v>
      </c>
      <c r="I155" t="str">
        <f t="shared" si="38"/>
        <v/>
      </c>
      <c r="J155" t="str">
        <f t="shared" si="39"/>
        <v/>
      </c>
      <c r="K155" t="str">
        <f t="shared" si="40"/>
        <v/>
      </c>
      <c r="L155" t="str">
        <f t="shared" si="41"/>
        <v/>
      </c>
      <c r="M155" t="str">
        <f t="shared" si="42"/>
        <v/>
      </c>
      <c r="O155" s="6">
        <f t="shared" si="35"/>
        <v>0</v>
      </c>
      <c r="P155" s="8" t="str">
        <f t="shared" si="43"/>
        <v/>
      </c>
      <c r="Q155" s="35" t="str">
        <f t="shared" si="43"/>
        <v/>
      </c>
      <c r="R155" s="35" t="str">
        <f t="shared" si="44"/>
        <v/>
      </c>
      <c r="S155" s="35" t="str">
        <f t="shared" si="45"/>
        <v/>
      </c>
      <c r="T155" s="35" t="str">
        <f t="shared" si="46"/>
        <v/>
      </c>
      <c r="V155">
        <f t="shared" si="36"/>
        <v>0</v>
      </c>
      <c r="AG155" s="5"/>
      <c r="AH155" s="5"/>
      <c r="AI155" s="16"/>
      <c r="AY155" s="5"/>
    </row>
    <row r="156" spans="1:51" x14ac:dyDescent="0.2">
      <c r="A156">
        <f t="shared" si="37"/>
        <v>155</v>
      </c>
      <c r="B156" s="8">
        <f t="shared" si="32"/>
        <v>3</v>
      </c>
      <c r="C156">
        <f t="shared" si="33"/>
        <v>0</v>
      </c>
      <c r="D156" s="5">
        <f t="shared" si="34"/>
        <v>0</v>
      </c>
      <c r="I156" t="str">
        <f t="shared" si="38"/>
        <v/>
      </c>
      <c r="J156" t="str">
        <f t="shared" si="39"/>
        <v/>
      </c>
      <c r="K156" t="str">
        <f t="shared" si="40"/>
        <v/>
      </c>
      <c r="L156" t="str">
        <f t="shared" si="41"/>
        <v/>
      </c>
      <c r="M156" t="str">
        <f t="shared" si="42"/>
        <v/>
      </c>
      <c r="O156" s="6">
        <f t="shared" si="35"/>
        <v>0</v>
      </c>
      <c r="P156" s="8" t="str">
        <f t="shared" si="43"/>
        <v/>
      </c>
      <c r="Q156" s="35" t="str">
        <f t="shared" si="43"/>
        <v/>
      </c>
      <c r="R156" s="35" t="str">
        <f t="shared" si="44"/>
        <v/>
      </c>
      <c r="S156" s="35" t="str">
        <f t="shared" si="45"/>
        <v/>
      </c>
      <c r="T156" s="35" t="str">
        <f t="shared" si="46"/>
        <v/>
      </c>
      <c r="V156">
        <f t="shared" si="36"/>
        <v>0</v>
      </c>
      <c r="AG156" s="5"/>
      <c r="AH156" s="5"/>
      <c r="AI156" s="16"/>
      <c r="AY156" s="5"/>
    </row>
    <row r="157" spans="1:51" x14ac:dyDescent="0.2">
      <c r="A157">
        <f t="shared" si="37"/>
        <v>156</v>
      </c>
      <c r="B157" s="8">
        <f t="shared" si="32"/>
        <v>3</v>
      </c>
      <c r="C157">
        <f t="shared" si="33"/>
        <v>0</v>
      </c>
      <c r="D157" s="5">
        <f t="shared" si="34"/>
        <v>0</v>
      </c>
      <c r="I157" t="str">
        <f t="shared" si="38"/>
        <v/>
      </c>
      <c r="J157" t="str">
        <f t="shared" si="39"/>
        <v/>
      </c>
      <c r="K157" t="str">
        <f t="shared" si="40"/>
        <v/>
      </c>
      <c r="L157" t="str">
        <f t="shared" si="41"/>
        <v/>
      </c>
      <c r="M157" t="str">
        <f t="shared" si="42"/>
        <v/>
      </c>
      <c r="O157" s="6">
        <f t="shared" si="35"/>
        <v>0</v>
      </c>
      <c r="P157" s="8" t="str">
        <f t="shared" si="43"/>
        <v/>
      </c>
      <c r="Q157" s="35" t="str">
        <f t="shared" si="43"/>
        <v/>
      </c>
      <c r="R157" s="35" t="str">
        <f t="shared" si="44"/>
        <v/>
      </c>
      <c r="S157" s="35" t="str">
        <f t="shared" si="45"/>
        <v/>
      </c>
      <c r="T157" s="35" t="str">
        <f t="shared" si="46"/>
        <v/>
      </c>
      <c r="V157">
        <f t="shared" si="36"/>
        <v>0</v>
      </c>
      <c r="AG157" s="5"/>
      <c r="AH157" s="5"/>
      <c r="AI157" s="16"/>
      <c r="AY157" s="5"/>
    </row>
    <row r="158" spans="1:51" x14ac:dyDescent="0.2">
      <c r="A158">
        <f t="shared" si="37"/>
        <v>157</v>
      </c>
      <c r="B158" s="8">
        <f t="shared" si="32"/>
        <v>3</v>
      </c>
      <c r="C158">
        <f t="shared" si="33"/>
        <v>0</v>
      </c>
      <c r="D158" s="5">
        <f t="shared" si="34"/>
        <v>0</v>
      </c>
      <c r="I158" t="str">
        <f t="shared" si="38"/>
        <v/>
      </c>
      <c r="J158" t="str">
        <f t="shared" si="39"/>
        <v/>
      </c>
      <c r="K158" t="str">
        <f t="shared" si="40"/>
        <v/>
      </c>
      <c r="L158" t="str">
        <f t="shared" si="41"/>
        <v/>
      </c>
      <c r="M158" t="str">
        <f t="shared" si="42"/>
        <v/>
      </c>
      <c r="O158" s="6">
        <f t="shared" si="35"/>
        <v>0</v>
      </c>
      <c r="P158" s="8" t="str">
        <f t="shared" si="43"/>
        <v/>
      </c>
      <c r="Q158" s="35" t="str">
        <f t="shared" si="43"/>
        <v/>
      </c>
      <c r="R158" s="35" t="str">
        <f t="shared" si="44"/>
        <v/>
      </c>
      <c r="S158" s="35" t="str">
        <f t="shared" si="45"/>
        <v/>
      </c>
      <c r="T158" s="35" t="str">
        <f t="shared" si="46"/>
        <v/>
      </c>
      <c r="V158">
        <f t="shared" si="36"/>
        <v>0</v>
      </c>
      <c r="AG158" s="5"/>
      <c r="AH158" s="5"/>
      <c r="AI158" s="16"/>
      <c r="AY158" s="5"/>
    </row>
    <row r="159" spans="1:51" x14ac:dyDescent="0.2">
      <c r="A159">
        <f t="shared" si="37"/>
        <v>158</v>
      </c>
      <c r="B159" s="8">
        <f t="shared" si="32"/>
        <v>3</v>
      </c>
      <c r="C159">
        <f t="shared" si="33"/>
        <v>0</v>
      </c>
      <c r="D159" s="5">
        <f t="shared" si="34"/>
        <v>0</v>
      </c>
      <c r="I159" t="str">
        <f t="shared" si="38"/>
        <v/>
      </c>
      <c r="J159" t="str">
        <f t="shared" si="39"/>
        <v/>
      </c>
      <c r="K159" t="str">
        <f t="shared" si="40"/>
        <v/>
      </c>
      <c r="L159" t="str">
        <f t="shared" si="41"/>
        <v/>
      </c>
      <c r="M159" t="str">
        <f t="shared" si="42"/>
        <v/>
      </c>
      <c r="O159" s="6">
        <f t="shared" si="35"/>
        <v>0</v>
      </c>
      <c r="P159" s="8" t="str">
        <f t="shared" si="43"/>
        <v/>
      </c>
      <c r="Q159" s="35" t="str">
        <f t="shared" si="43"/>
        <v/>
      </c>
      <c r="R159" s="35" t="str">
        <f t="shared" si="44"/>
        <v/>
      </c>
      <c r="S159" s="35" t="str">
        <f t="shared" si="45"/>
        <v/>
      </c>
      <c r="T159" s="35" t="str">
        <f t="shared" si="46"/>
        <v/>
      </c>
      <c r="V159">
        <f t="shared" si="36"/>
        <v>0</v>
      </c>
      <c r="AG159" s="5"/>
      <c r="AH159" s="5"/>
      <c r="AI159" s="16"/>
      <c r="AY159" s="5"/>
    </row>
    <row r="160" spans="1:51" x14ac:dyDescent="0.2">
      <c r="A160">
        <f t="shared" si="37"/>
        <v>159</v>
      </c>
      <c r="B160" s="8">
        <f t="shared" si="32"/>
        <v>3</v>
      </c>
      <c r="C160">
        <f t="shared" si="33"/>
        <v>0</v>
      </c>
      <c r="D160" s="5">
        <f t="shared" si="34"/>
        <v>0</v>
      </c>
      <c r="I160" t="str">
        <f t="shared" si="38"/>
        <v/>
      </c>
      <c r="J160" t="str">
        <f t="shared" si="39"/>
        <v/>
      </c>
      <c r="K160" t="str">
        <f t="shared" si="40"/>
        <v/>
      </c>
      <c r="L160" t="str">
        <f t="shared" si="41"/>
        <v/>
      </c>
      <c r="M160" t="str">
        <f t="shared" si="42"/>
        <v/>
      </c>
      <c r="O160" s="6">
        <f t="shared" si="35"/>
        <v>0</v>
      </c>
      <c r="P160" s="8" t="str">
        <f t="shared" si="43"/>
        <v/>
      </c>
      <c r="Q160" s="35" t="str">
        <f t="shared" si="43"/>
        <v/>
      </c>
      <c r="R160" s="35" t="str">
        <f t="shared" si="44"/>
        <v/>
      </c>
      <c r="S160" s="35" t="str">
        <f t="shared" si="45"/>
        <v/>
      </c>
      <c r="T160" s="35" t="str">
        <f t="shared" si="46"/>
        <v/>
      </c>
      <c r="V160">
        <f t="shared" si="36"/>
        <v>0</v>
      </c>
      <c r="AG160" s="5"/>
      <c r="AH160" s="5"/>
      <c r="AI160" s="16"/>
      <c r="AY160" s="5"/>
    </row>
    <row r="161" spans="1:51" x14ac:dyDescent="0.2">
      <c r="A161">
        <f t="shared" si="37"/>
        <v>160</v>
      </c>
      <c r="B161" s="8">
        <f t="shared" si="32"/>
        <v>3</v>
      </c>
      <c r="C161">
        <f t="shared" si="33"/>
        <v>0</v>
      </c>
      <c r="D161" s="5">
        <f t="shared" si="34"/>
        <v>0</v>
      </c>
      <c r="I161" t="str">
        <f t="shared" si="38"/>
        <v/>
      </c>
      <c r="J161" t="str">
        <f t="shared" si="39"/>
        <v/>
      </c>
      <c r="K161" t="str">
        <f t="shared" si="40"/>
        <v/>
      </c>
      <c r="L161" t="str">
        <f t="shared" si="41"/>
        <v/>
      </c>
      <c r="M161" t="str">
        <f t="shared" si="42"/>
        <v/>
      </c>
      <c r="O161" s="6">
        <f t="shared" si="35"/>
        <v>0</v>
      </c>
      <c r="P161" s="8" t="str">
        <f t="shared" si="43"/>
        <v/>
      </c>
      <c r="Q161" s="35" t="str">
        <f t="shared" si="43"/>
        <v/>
      </c>
      <c r="R161" s="35" t="str">
        <f t="shared" si="44"/>
        <v/>
      </c>
      <c r="S161" s="35" t="str">
        <f t="shared" si="45"/>
        <v/>
      </c>
      <c r="T161" s="35" t="str">
        <f t="shared" si="46"/>
        <v/>
      </c>
      <c r="V161">
        <f t="shared" si="36"/>
        <v>0</v>
      </c>
      <c r="AG161" s="5"/>
      <c r="AH161" s="5"/>
      <c r="AI161" s="16"/>
      <c r="AY161" s="5"/>
    </row>
    <row r="162" spans="1:51" x14ac:dyDescent="0.2">
      <c r="A162">
        <f t="shared" si="37"/>
        <v>161</v>
      </c>
      <c r="B162" s="8">
        <f t="shared" si="32"/>
        <v>3</v>
      </c>
      <c r="C162">
        <f t="shared" si="33"/>
        <v>0</v>
      </c>
      <c r="D162" s="5">
        <f t="shared" si="34"/>
        <v>0</v>
      </c>
      <c r="I162" t="str">
        <f t="shared" si="38"/>
        <v/>
      </c>
      <c r="J162" t="str">
        <f t="shared" si="39"/>
        <v/>
      </c>
      <c r="K162" t="str">
        <f t="shared" si="40"/>
        <v/>
      </c>
      <c r="L162" t="str">
        <f t="shared" si="41"/>
        <v/>
      </c>
      <c r="M162" t="str">
        <f t="shared" si="42"/>
        <v/>
      </c>
      <c r="O162" s="6">
        <f t="shared" si="35"/>
        <v>0</v>
      </c>
      <c r="P162" s="8" t="str">
        <f t="shared" si="43"/>
        <v/>
      </c>
      <c r="Q162" s="35" t="str">
        <f t="shared" si="43"/>
        <v/>
      </c>
      <c r="R162" s="35" t="str">
        <f t="shared" si="44"/>
        <v/>
      </c>
      <c r="S162" s="35" t="str">
        <f t="shared" si="45"/>
        <v/>
      </c>
      <c r="T162" s="35" t="str">
        <f t="shared" si="46"/>
        <v/>
      </c>
      <c r="V162">
        <f t="shared" si="36"/>
        <v>0</v>
      </c>
      <c r="AG162" s="5"/>
      <c r="AH162" s="5"/>
      <c r="AI162" s="16"/>
      <c r="AY162" s="5"/>
    </row>
    <row r="163" spans="1:51" x14ac:dyDescent="0.2">
      <c r="A163">
        <f t="shared" si="37"/>
        <v>162</v>
      </c>
      <c r="B163" s="8">
        <f t="shared" si="32"/>
        <v>3</v>
      </c>
      <c r="C163">
        <f t="shared" si="33"/>
        <v>0</v>
      </c>
      <c r="D163" s="5">
        <f t="shared" si="34"/>
        <v>0</v>
      </c>
      <c r="I163" t="str">
        <f t="shared" si="38"/>
        <v/>
      </c>
      <c r="J163" t="str">
        <f t="shared" si="39"/>
        <v/>
      </c>
      <c r="K163" t="str">
        <f t="shared" si="40"/>
        <v/>
      </c>
      <c r="L163" t="str">
        <f t="shared" si="41"/>
        <v/>
      </c>
      <c r="M163" t="str">
        <f t="shared" si="42"/>
        <v/>
      </c>
      <c r="O163" s="6">
        <f t="shared" si="35"/>
        <v>0</v>
      </c>
      <c r="P163" s="8" t="str">
        <f t="shared" si="43"/>
        <v/>
      </c>
      <c r="Q163" s="35" t="str">
        <f t="shared" si="43"/>
        <v/>
      </c>
      <c r="R163" s="35" t="str">
        <f t="shared" si="44"/>
        <v/>
      </c>
      <c r="S163" s="35" t="str">
        <f t="shared" si="45"/>
        <v/>
      </c>
      <c r="T163" s="35" t="str">
        <f t="shared" si="46"/>
        <v/>
      </c>
      <c r="V163">
        <f t="shared" si="36"/>
        <v>0</v>
      </c>
      <c r="AG163" s="5"/>
      <c r="AH163" s="5"/>
      <c r="AI163" s="16"/>
      <c r="AY163" s="5"/>
    </row>
    <row r="164" spans="1:51" x14ac:dyDescent="0.2">
      <c r="A164">
        <f t="shared" si="37"/>
        <v>163</v>
      </c>
      <c r="B164" s="8">
        <f t="shared" si="32"/>
        <v>3</v>
      </c>
      <c r="C164">
        <f t="shared" si="33"/>
        <v>0</v>
      </c>
      <c r="D164" s="5">
        <f t="shared" si="34"/>
        <v>0</v>
      </c>
      <c r="I164" t="str">
        <f t="shared" si="38"/>
        <v/>
      </c>
      <c r="J164" t="str">
        <f t="shared" si="39"/>
        <v/>
      </c>
      <c r="K164" t="str">
        <f t="shared" si="40"/>
        <v/>
      </c>
      <c r="L164" t="str">
        <f t="shared" si="41"/>
        <v/>
      </c>
      <c r="M164" t="str">
        <f t="shared" si="42"/>
        <v/>
      </c>
      <c r="O164" s="6">
        <f t="shared" si="35"/>
        <v>0</v>
      </c>
      <c r="P164" s="8" t="str">
        <f t="shared" si="43"/>
        <v/>
      </c>
      <c r="Q164" s="35" t="str">
        <f t="shared" si="43"/>
        <v/>
      </c>
      <c r="R164" s="35" t="str">
        <f t="shared" si="44"/>
        <v/>
      </c>
      <c r="S164" s="35" t="str">
        <f t="shared" si="45"/>
        <v/>
      </c>
      <c r="T164" s="35" t="str">
        <f t="shared" si="46"/>
        <v/>
      </c>
      <c r="V164">
        <f t="shared" si="36"/>
        <v>0</v>
      </c>
      <c r="AG164" s="5"/>
      <c r="AH164" s="5"/>
      <c r="AI164" s="16"/>
      <c r="AY164" s="5"/>
    </row>
    <row r="165" spans="1:51" x14ac:dyDescent="0.2">
      <c r="A165">
        <f t="shared" si="37"/>
        <v>164</v>
      </c>
      <c r="B165" s="8">
        <f t="shared" si="32"/>
        <v>3</v>
      </c>
      <c r="C165">
        <f t="shared" si="33"/>
        <v>0</v>
      </c>
      <c r="D165" s="5">
        <f t="shared" si="34"/>
        <v>0</v>
      </c>
      <c r="I165" t="str">
        <f t="shared" si="38"/>
        <v/>
      </c>
      <c r="J165" t="str">
        <f t="shared" si="39"/>
        <v/>
      </c>
      <c r="K165" t="str">
        <f t="shared" si="40"/>
        <v/>
      </c>
      <c r="L165" t="str">
        <f t="shared" si="41"/>
        <v/>
      </c>
      <c r="M165" t="str">
        <f t="shared" si="42"/>
        <v/>
      </c>
      <c r="O165" s="6">
        <f t="shared" si="35"/>
        <v>0</v>
      </c>
      <c r="P165" s="8" t="str">
        <f t="shared" si="43"/>
        <v/>
      </c>
      <c r="Q165" s="35" t="str">
        <f t="shared" si="43"/>
        <v/>
      </c>
      <c r="R165" s="35" t="str">
        <f t="shared" si="44"/>
        <v/>
      </c>
      <c r="S165" s="35" t="str">
        <f t="shared" si="45"/>
        <v/>
      </c>
      <c r="T165" s="35" t="str">
        <f t="shared" si="46"/>
        <v/>
      </c>
      <c r="V165">
        <f t="shared" si="36"/>
        <v>0</v>
      </c>
      <c r="AG165" s="5"/>
      <c r="AH165" s="5"/>
      <c r="AI165" s="16"/>
      <c r="AY165" s="5"/>
    </row>
    <row r="166" spans="1:51" x14ac:dyDescent="0.2">
      <c r="A166">
        <f t="shared" si="37"/>
        <v>165</v>
      </c>
      <c r="B166" s="8">
        <f t="shared" si="32"/>
        <v>3</v>
      </c>
      <c r="C166">
        <f t="shared" si="33"/>
        <v>0</v>
      </c>
      <c r="D166" s="5">
        <f t="shared" si="34"/>
        <v>0</v>
      </c>
      <c r="I166" t="str">
        <f t="shared" si="38"/>
        <v/>
      </c>
      <c r="J166" t="str">
        <f t="shared" si="39"/>
        <v/>
      </c>
      <c r="K166" t="str">
        <f t="shared" si="40"/>
        <v/>
      </c>
      <c r="L166" t="str">
        <f t="shared" si="41"/>
        <v/>
      </c>
      <c r="M166" t="str">
        <f t="shared" si="42"/>
        <v/>
      </c>
      <c r="O166" s="6">
        <f t="shared" si="35"/>
        <v>0</v>
      </c>
      <c r="P166" s="8" t="str">
        <f t="shared" si="43"/>
        <v/>
      </c>
      <c r="Q166" s="35" t="str">
        <f t="shared" si="43"/>
        <v/>
      </c>
      <c r="R166" s="35" t="str">
        <f t="shared" si="44"/>
        <v/>
      </c>
      <c r="S166" s="35" t="str">
        <f t="shared" si="45"/>
        <v/>
      </c>
      <c r="T166" s="35" t="str">
        <f t="shared" si="46"/>
        <v/>
      </c>
      <c r="V166">
        <f t="shared" si="36"/>
        <v>0</v>
      </c>
      <c r="AG166" s="5"/>
      <c r="AH166" s="5"/>
      <c r="AI166" s="16"/>
      <c r="AY166" s="5"/>
    </row>
    <row r="167" spans="1:51" x14ac:dyDescent="0.2">
      <c r="A167">
        <f t="shared" si="37"/>
        <v>166</v>
      </c>
      <c r="B167" s="8">
        <f t="shared" si="32"/>
        <v>3</v>
      </c>
      <c r="C167">
        <f t="shared" si="33"/>
        <v>0</v>
      </c>
      <c r="D167" s="5">
        <f t="shared" si="34"/>
        <v>0</v>
      </c>
      <c r="I167" t="str">
        <f t="shared" si="38"/>
        <v/>
      </c>
      <c r="J167" t="str">
        <f t="shared" si="39"/>
        <v/>
      </c>
      <c r="K167" t="str">
        <f t="shared" si="40"/>
        <v/>
      </c>
      <c r="L167" t="str">
        <f t="shared" si="41"/>
        <v/>
      </c>
      <c r="M167" t="str">
        <f t="shared" si="42"/>
        <v/>
      </c>
      <c r="O167" s="6">
        <f t="shared" si="35"/>
        <v>0</v>
      </c>
      <c r="P167" s="8" t="str">
        <f t="shared" si="43"/>
        <v/>
      </c>
      <c r="Q167" s="35" t="str">
        <f t="shared" si="43"/>
        <v/>
      </c>
      <c r="R167" s="35" t="str">
        <f t="shared" si="44"/>
        <v/>
      </c>
      <c r="S167" s="35" t="str">
        <f t="shared" si="45"/>
        <v/>
      </c>
      <c r="T167" s="35" t="str">
        <f t="shared" si="46"/>
        <v/>
      </c>
      <c r="V167">
        <f t="shared" si="36"/>
        <v>0</v>
      </c>
      <c r="AG167" s="5"/>
      <c r="AH167" s="5"/>
      <c r="AI167" s="16"/>
      <c r="AY167" s="5"/>
    </row>
    <row r="168" spans="1:51" x14ac:dyDescent="0.2">
      <c r="A168">
        <f t="shared" si="37"/>
        <v>167</v>
      </c>
      <c r="B168" s="8">
        <f t="shared" si="32"/>
        <v>3</v>
      </c>
      <c r="C168">
        <f t="shared" si="33"/>
        <v>0</v>
      </c>
      <c r="D168" s="5">
        <f t="shared" si="34"/>
        <v>0</v>
      </c>
      <c r="I168" t="str">
        <f t="shared" si="38"/>
        <v/>
      </c>
      <c r="J168" t="str">
        <f t="shared" si="39"/>
        <v/>
      </c>
      <c r="K168" t="str">
        <f t="shared" si="40"/>
        <v/>
      </c>
      <c r="L168" t="str">
        <f t="shared" si="41"/>
        <v/>
      </c>
      <c r="M168" t="str">
        <f t="shared" si="42"/>
        <v/>
      </c>
      <c r="O168" s="6">
        <f t="shared" si="35"/>
        <v>0</v>
      </c>
      <c r="P168" s="8" t="str">
        <f t="shared" si="43"/>
        <v/>
      </c>
      <c r="Q168" s="35" t="str">
        <f t="shared" si="43"/>
        <v/>
      </c>
      <c r="R168" s="35" t="str">
        <f t="shared" si="44"/>
        <v/>
      </c>
      <c r="S168" s="35" t="str">
        <f t="shared" si="45"/>
        <v/>
      </c>
      <c r="T168" s="35" t="str">
        <f t="shared" si="46"/>
        <v/>
      </c>
      <c r="V168">
        <f t="shared" si="36"/>
        <v>0</v>
      </c>
      <c r="AG168" s="5"/>
      <c r="AH168" s="5"/>
      <c r="AI168" s="16"/>
      <c r="AY168" s="5"/>
    </row>
    <row r="169" spans="1:51" x14ac:dyDescent="0.2">
      <c r="A169">
        <f t="shared" si="37"/>
        <v>168</v>
      </c>
      <c r="B169" s="8">
        <f t="shared" si="32"/>
        <v>3</v>
      </c>
      <c r="C169">
        <f t="shared" si="33"/>
        <v>0</v>
      </c>
      <c r="D169" s="5">
        <f t="shared" si="34"/>
        <v>0</v>
      </c>
      <c r="I169" t="str">
        <f t="shared" si="38"/>
        <v/>
      </c>
      <c r="J169" t="str">
        <f t="shared" si="39"/>
        <v/>
      </c>
      <c r="K169" t="str">
        <f t="shared" si="40"/>
        <v/>
      </c>
      <c r="L169" t="str">
        <f t="shared" si="41"/>
        <v/>
      </c>
      <c r="M169" t="str">
        <f t="shared" si="42"/>
        <v/>
      </c>
      <c r="O169" s="6">
        <f t="shared" si="35"/>
        <v>0</v>
      </c>
      <c r="P169" s="8" t="str">
        <f t="shared" si="43"/>
        <v/>
      </c>
      <c r="Q169" s="35" t="str">
        <f t="shared" si="43"/>
        <v/>
      </c>
      <c r="R169" s="35" t="str">
        <f t="shared" si="44"/>
        <v/>
      </c>
      <c r="S169" s="35" t="str">
        <f t="shared" si="45"/>
        <v/>
      </c>
      <c r="T169" s="35" t="str">
        <f t="shared" si="46"/>
        <v/>
      </c>
      <c r="V169">
        <f t="shared" si="36"/>
        <v>0</v>
      </c>
      <c r="AG169" s="5"/>
      <c r="AH169" s="5"/>
      <c r="AI169" s="16"/>
      <c r="AY169" s="5"/>
    </row>
    <row r="170" spans="1:51" x14ac:dyDescent="0.2">
      <c r="A170">
        <f t="shared" si="37"/>
        <v>169</v>
      </c>
      <c r="B170" s="8">
        <f t="shared" si="32"/>
        <v>3</v>
      </c>
      <c r="C170">
        <f t="shared" si="33"/>
        <v>0</v>
      </c>
      <c r="D170" s="5">
        <f t="shared" si="34"/>
        <v>0</v>
      </c>
      <c r="I170" t="str">
        <f t="shared" si="38"/>
        <v/>
      </c>
      <c r="J170" t="str">
        <f t="shared" si="39"/>
        <v/>
      </c>
      <c r="K170" t="str">
        <f t="shared" si="40"/>
        <v/>
      </c>
      <c r="L170" t="str">
        <f t="shared" si="41"/>
        <v/>
      </c>
      <c r="M170" t="str">
        <f t="shared" si="42"/>
        <v/>
      </c>
      <c r="O170" s="6">
        <f t="shared" si="35"/>
        <v>0</v>
      </c>
      <c r="P170" s="8" t="str">
        <f t="shared" si="43"/>
        <v/>
      </c>
      <c r="Q170" s="35" t="str">
        <f t="shared" si="43"/>
        <v/>
      </c>
      <c r="R170" s="35" t="str">
        <f t="shared" si="44"/>
        <v/>
      </c>
      <c r="S170" s="35" t="str">
        <f t="shared" si="45"/>
        <v/>
      </c>
      <c r="T170" s="35" t="str">
        <f t="shared" si="46"/>
        <v/>
      </c>
      <c r="V170">
        <f t="shared" si="36"/>
        <v>0</v>
      </c>
      <c r="AG170" s="5"/>
      <c r="AH170" s="5"/>
      <c r="AI170" s="16"/>
      <c r="AY170" s="5"/>
    </row>
    <row r="171" spans="1:51" x14ac:dyDescent="0.2">
      <c r="A171">
        <f t="shared" si="37"/>
        <v>170</v>
      </c>
      <c r="B171" s="8">
        <f t="shared" si="32"/>
        <v>3</v>
      </c>
      <c r="C171">
        <f t="shared" si="33"/>
        <v>0</v>
      </c>
      <c r="D171" s="5">
        <f t="shared" si="34"/>
        <v>0</v>
      </c>
      <c r="I171" t="str">
        <f t="shared" si="38"/>
        <v/>
      </c>
      <c r="J171" t="str">
        <f t="shared" si="39"/>
        <v/>
      </c>
      <c r="K171" t="str">
        <f t="shared" si="40"/>
        <v/>
      </c>
      <c r="L171" t="str">
        <f t="shared" si="41"/>
        <v/>
      </c>
      <c r="M171" t="str">
        <f t="shared" si="42"/>
        <v/>
      </c>
      <c r="O171" s="6">
        <f t="shared" si="35"/>
        <v>0</v>
      </c>
      <c r="P171" s="8" t="str">
        <f t="shared" si="43"/>
        <v/>
      </c>
      <c r="Q171" s="35" t="str">
        <f t="shared" si="43"/>
        <v/>
      </c>
      <c r="R171" s="35" t="str">
        <f t="shared" si="44"/>
        <v/>
      </c>
      <c r="S171" s="35" t="str">
        <f t="shared" si="45"/>
        <v/>
      </c>
      <c r="T171" s="35" t="str">
        <f t="shared" si="46"/>
        <v/>
      </c>
      <c r="V171">
        <f t="shared" si="36"/>
        <v>0</v>
      </c>
      <c r="AG171" s="5"/>
      <c r="AH171" s="5"/>
      <c r="AI171" s="16"/>
      <c r="AY171" s="5"/>
    </row>
    <row r="172" spans="1:51" x14ac:dyDescent="0.2">
      <c r="A172">
        <f t="shared" si="37"/>
        <v>171</v>
      </c>
      <c r="B172" s="8">
        <f t="shared" si="32"/>
        <v>3</v>
      </c>
      <c r="C172">
        <f t="shared" si="33"/>
        <v>0</v>
      </c>
      <c r="D172" s="5">
        <f t="shared" si="34"/>
        <v>0</v>
      </c>
      <c r="I172" t="str">
        <f t="shared" si="38"/>
        <v/>
      </c>
      <c r="J172" t="str">
        <f t="shared" si="39"/>
        <v/>
      </c>
      <c r="K172" t="str">
        <f t="shared" si="40"/>
        <v/>
      </c>
      <c r="L172" t="str">
        <f t="shared" si="41"/>
        <v/>
      </c>
      <c r="M172" t="str">
        <f t="shared" si="42"/>
        <v/>
      </c>
      <c r="O172" s="6">
        <f t="shared" si="35"/>
        <v>0</v>
      </c>
      <c r="P172" s="8" t="str">
        <f t="shared" si="43"/>
        <v/>
      </c>
      <c r="Q172" s="35" t="str">
        <f t="shared" si="43"/>
        <v/>
      </c>
      <c r="R172" s="35" t="str">
        <f t="shared" si="44"/>
        <v/>
      </c>
      <c r="S172" s="35" t="str">
        <f t="shared" si="45"/>
        <v/>
      </c>
      <c r="T172" s="35" t="str">
        <f t="shared" si="46"/>
        <v/>
      </c>
      <c r="V172">
        <f t="shared" si="36"/>
        <v>0</v>
      </c>
      <c r="AG172" s="5"/>
      <c r="AH172" s="5"/>
      <c r="AI172" s="16"/>
      <c r="AY172" s="5"/>
    </row>
    <row r="173" spans="1:51" x14ac:dyDescent="0.2">
      <c r="A173">
        <f t="shared" si="37"/>
        <v>172</v>
      </c>
      <c r="B173" s="8">
        <f t="shared" si="32"/>
        <v>3</v>
      </c>
      <c r="C173">
        <f t="shared" si="33"/>
        <v>0</v>
      </c>
      <c r="D173" s="5">
        <f t="shared" si="34"/>
        <v>0</v>
      </c>
      <c r="I173" t="str">
        <f t="shared" si="38"/>
        <v/>
      </c>
      <c r="J173" t="str">
        <f t="shared" si="39"/>
        <v/>
      </c>
      <c r="K173" t="str">
        <f t="shared" si="40"/>
        <v/>
      </c>
      <c r="L173" t="str">
        <f t="shared" si="41"/>
        <v/>
      </c>
      <c r="M173" t="str">
        <f t="shared" si="42"/>
        <v/>
      </c>
      <c r="O173" s="6">
        <f t="shared" si="35"/>
        <v>0</v>
      </c>
      <c r="P173" s="8" t="str">
        <f t="shared" si="43"/>
        <v/>
      </c>
      <c r="Q173" s="35" t="str">
        <f t="shared" si="43"/>
        <v/>
      </c>
      <c r="R173" s="35" t="str">
        <f t="shared" si="44"/>
        <v/>
      </c>
      <c r="S173" s="35" t="str">
        <f t="shared" si="45"/>
        <v/>
      </c>
      <c r="T173" s="35" t="str">
        <f t="shared" si="46"/>
        <v/>
      </c>
      <c r="V173">
        <f t="shared" si="36"/>
        <v>0</v>
      </c>
      <c r="AG173" s="5"/>
      <c r="AH173" s="5"/>
      <c r="AI173" s="16"/>
      <c r="AY173" s="5"/>
    </row>
    <row r="174" spans="1:51" x14ac:dyDescent="0.2">
      <c r="A174">
        <f t="shared" si="37"/>
        <v>173</v>
      </c>
      <c r="B174" s="8">
        <f t="shared" si="32"/>
        <v>3</v>
      </c>
      <c r="C174">
        <f t="shared" si="33"/>
        <v>0</v>
      </c>
      <c r="D174" s="5">
        <f t="shared" si="34"/>
        <v>0</v>
      </c>
      <c r="I174" t="str">
        <f t="shared" si="38"/>
        <v/>
      </c>
      <c r="J174" t="str">
        <f t="shared" si="39"/>
        <v/>
      </c>
      <c r="K174" t="str">
        <f t="shared" si="40"/>
        <v/>
      </c>
      <c r="L174" t="str">
        <f t="shared" si="41"/>
        <v/>
      </c>
      <c r="M174" t="str">
        <f t="shared" si="42"/>
        <v/>
      </c>
      <c r="O174" s="6">
        <f t="shared" si="35"/>
        <v>0</v>
      </c>
      <c r="P174" s="8" t="str">
        <f t="shared" si="43"/>
        <v/>
      </c>
      <c r="Q174" s="35" t="str">
        <f t="shared" si="43"/>
        <v/>
      </c>
      <c r="R174" s="35" t="str">
        <f t="shared" si="44"/>
        <v/>
      </c>
      <c r="S174" s="35" t="str">
        <f t="shared" si="45"/>
        <v/>
      </c>
      <c r="T174" s="35" t="str">
        <f t="shared" si="46"/>
        <v/>
      </c>
      <c r="V174">
        <f t="shared" si="36"/>
        <v>0</v>
      </c>
      <c r="AG174" s="5"/>
      <c r="AH174" s="5"/>
      <c r="AI174" s="16"/>
      <c r="AY174" s="5"/>
    </row>
    <row r="175" spans="1:51" x14ac:dyDescent="0.2">
      <c r="A175">
        <f t="shared" si="37"/>
        <v>174</v>
      </c>
      <c r="B175" s="8">
        <f t="shared" si="32"/>
        <v>3</v>
      </c>
      <c r="C175">
        <f t="shared" si="33"/>
        <v>0</v>
      </c>
      <c r="D175" s="5">
        <f t="shared" si="34"/>
        <v>0</v>
      </c>
      <c r="I175" t="str">
        <f t="shared" si="38"/>
        <v/>
      </c>
      <c r="J175" t="str">
        <f t="shared" si="39"/>
        <v/>
      </c>
      <c r="K175" t="str">
        <f t="shared" si="40"/>
        <v/>
      </c>
      <c r="L175" t="str">
        <f t="shared" si="41"/>
        <v/>
      </c>
      <c r="M175" t="str">
        <f t="shared" si="42"/>
        <v/>
      </c>
      <c r="O175" s="6">
        <f t="shared" si="35"/>
        <v>0</v>
      </c>
      <c r="P175" s="8" t="str">
        <f t="shared" si="43"/>
        <v/>
      </c>
      <c r="Q175" s="35" t="str">
        <f t="shared" si="43"/>
        <v/>
      </c>
      <c r="R175" s="35" t="str">
        <f t="shared" si="44"/>
        <v/>
      </c>
      <c r="S175" s="35" t="str">
        <f t="shared" si="45"/>
        <v/>
      </c>
      <c r="T175" s="35" t="str">
        <f t="shared" si="46"/>
        <v/>
      </c>
      <c r="V175">
        <f t="shared" si="36"/>
        <v>0</v>
      </c>
      <c r="AG175" s="5"/>
      <c r="AH175" s="5"/>
      <c r="AI175" s="16"/>
      <c r="AY175" s="5"/>
    </row>
    <row r="176" spans="1:51" x14ac:dyDescent="0.2">
      <c r="A176">
        <f t="shared" si="37"/>
        <v>175</v>
      </c>
      <c r="B176" s="8">
        <f t="shared" si="32"/>
        <v>3</v>
      </c>
      <c r="C176">
        <f t="shared" si="33"/>
        <v>0</v>
      </c>
      <c r="D176" s="5">
        <f t="shared" si="34"/>
        <v>0</v>
      </c>
      <c r="I176" t="str">
        <f t="shared" si="38"/>
        <v/>
      </c>
      <c r="J176" t="str">
        <f t="shared" si="39"/>
        <v/>
      </c>
      <c r="K176" t="str">
        <f t="shared" si="40"/>
        <v/>
      </c>
      <c r="L176" t="str">
        <f t="shared" si="41"/>
        <v/>
      </c>
      <c r="M176" t="str">
        <f t="shared" si="42"/>
        <v/>
      </c>
      <c r="O176" s="6">
        <f t="shared" si="35"/>
        <v>0</v>
      </c>
      <c r="P176" s="8" t="str">
        <f t="shared" si="43"/>
        <v/>
      </c>
      <c r="Q176" s="35" t="str">
        <f t="shared" si="43"/>
        <v/>
      </c>
      <c r="R176" s="35" t="str">
        <f t="shared" si="44"/>
        <v/>
      </c>
      <c r="S176" s="35" t="str">
        <f t="shared" si="45"/>
        <v/>
      </c>
      <c r="T176" s="35" t="str">
        <f t="shared" si="46"/>
        <v/>
      </c>
      <c r="V176">
        <f t="shared" si="36"/>
        <v>0</v>
      </c>
      <c r="AG176" s="5"/>
      <c r="AH176" s="5"/>
      <c r="AI176" s="16"/>
      <c r="AY176" s="5"/>
    </row>
    <row r="177" spans="1:51" x14ac:dyDescent="0.2">
      <c r="A177">
        <f t="shared" si="37"/>
        <v>176</v>
      </c>
      <c r="B177" s="8">
        <f t="shared" si="32"/>
        <v>3</v>
      </c>
      <c r="C177">
        <f t="shared" si="33"/>
        <v>0</v>
      </c>
      <c r="D177" s="5">
        <f t="shared" si="34"/>
        <v>0</v>
      </c>
      <c r="I177" t="str">
        <f t="shared" si="38"/>
        <v/>
      </c>
      <c r="J177" t="str">
        <f t="shared" si="39"/>
        <v/>
      </c>
      <c r="K177" t="str">
        <f t="shared" si="40"/>
        <v/>
      </c>
      <c r="L177" t="str">
        <f t="shared" si="41"/>
        <v/>
      </c>
      <c r="M177" t="str">
        <f t="shared" si="42"/>
        <v/>
      </c>
      <c r="O177" s="6">
        <f t="shared" si="35"/>
        <v>0</v>
      </c>
      <c r="P177" s="8" t="str">
        <f t="shared" si="43"/>
        <v/>
      </c>
      <c r="Q177" s="35" t="str">
        <f t="shared" si="43"/>
        <v/>
      </c>
      <c r="R177" s="35" t="str">
        <f t="shared" si="44"/>
        <v/>
      </c>
      <c r="S177" s="35" t="str">
        <f t="shared" si="45"/>
        <v/>
      </c>
      <c r="T177" s="35" t="str">
        <f t="shared" si="46"/>
        <v/>
      </c>
      <c r="V177">
        <f t="shared" si="36"/>
        <v>0</v>
      </c>
      <c r="AG177" s="5"/>
      <c r="AH177" s="5"/>
      <c r="AI177" s="16"/>
      <c r="AY177" s="5"/>
    </row>
    <row r="178" spans="1:51" x14ac:dyDescent="0.2">
      <c r="A178">
        <f t="shared" si="37"/>
        <v>177</v>
      </c>
      <c r="B178" s="8">
        <f t="shared" si="32"/>
        <v>3</v>
      </c>
      <c r="C178">
        <f t="shared" si="33"/>
        <v>0</v>
      </c>
      <c r="D178" s="5">
        <f t="shared" si="34"/>
        <v>0</v>
      </c>
      <c r="I178" t="str">
        <f t="shared" si="38"/>
        <v/>
      </c>
      <c r="J178" t="str">
        <f t="shared" si="39"/>
        <v/>
      </c>
      <c r="K178" t="str">
        <f t="shared" si="40"/>
        <v/>
      </c>
      <c r="L178" t="str">
        <f t="shared" si="41"/>
        <v/>
      </c>
      <c r="M178" t="str">
        <f t="shared" si="42"/>
        <v/>
      </c>
      <c r="O178" s="6">
        <f t="shared" si="35"/>
        <v>0</v>
      </c>
      <c r="P178" s="8" t="str">
        <f t="shared" si="43"/>
        <v/>
      </c>
      <c r="Q178" s="35" t="str">
        <f t="shared" si="43"/>
        <v/>
      </c>
      <c r="R178" s="35" t="str">
        <f t="shared" si="44"/>
        <v/>
      </c>
      <c r="S178" s="35" t="str">
        <f t="shared" si="45"/>
        <v/>
      </c>
      <c r="T178" s="35" t="str">
        <f t="shared" si="46"/>
        <v/>
      </c>
      <c r="V178">
        <f t="shared" si="36"/>
        <v>0</v>
      </c>
      <c r="AG178" s="5"/>
      <c r="AH178" s="5"/>
      <c r="AI178" s="16"/>
      <c r="AY178" s="5"/>
    </row>
    <row r="179" spans="1:51" x14ac:dyDescent="0.2">
      <c r="A179">
        <f t="shared" si="37"/>
        <v>178</v>
      </c>
      <c r="B179" s="8">
        <f t="shared" si="32"/>
        <v>3</v>
      </c>
      <c r="C179">
        <f t="shared" si="33"/>
        <v>0</v>
      </c>
      <c r="D179" s="5">
        <f t="shared" si="34"/>
        <v>0</v>
      </c>
      <c r="I179" t="str">
        <f t="shared" si="38"/>
        <v/>
      </c>
      <c r="J179" t="str">
        <f t="shared" si="39"/>
        <v/>
      </c>
      <c r="K179" t="str">
        <f t="shared" si="40"/>
        <v/>
      </c>
      <c r="L179" t="str">
        <f t="shared" si="41"/>
        <v/>
      </c>
      <c r="M179" t="str">
        <f t="shared" si="42"/>
        <v/>
      </c>
      <c r="O179" s="6">
        <f t="shared" si="35"/>
        <v>0</v>
      </c>
      <c r="P179" s="8" t="str">
        <f t="shared" si="43"/>
        <v/>
      </c>
      <c r="Q179" s="35" t="str">
        <f t="shared" si="43"/>
        <v/>
      </c>
      <c r="R179" s="35" t="str">
        <f t="shared" si="44"/>
        <v/>
      </c>
      <c r="S179" s="35" t="str">
        <f t="shared" si="45"/>
        <v/>
      </c>
      <c r="T179" s="35" t="str">
        <f t="shared" si="46"/>
        <v/>
      </c>
      <c r="V179">
        <f t="shared" si="36"/>
        <v>0</v>
      </c>
      <c r="AG179" s="5"/>
      <c r="AH179" s="5"/>
      <c r="AI179" s="16"/>
      <c r="AY179" s="5"/>
    </row>
    <row r="180" spans="1:51" x14ac:dyDescent="0.2">
      <c r="A180">
        <f t="shared" si="37"/>
        <v>179</v>
      </c>
      <c r="B180" s="8">
        <f t="shared" si="32"/>
        <v>3</v>
      </c>
      <c r="C180">
        <f t="shared" si="33"/>
        <v>0</v>
      </c>
      <c r="D180" s="5">
        <f t="shared" si="34"/>
        <v>0</v>
      </c>
      <c r="I180" t="str">
        <f t="shared" si="38"/>
        <v/>
      </c>
      <c r="J180" t="str">
        <f t="shared" si="39"/>
        <v/>
      </c>
      <c r="K180" t="str">
        <f t="shared" si="40"/>
        <v/>
      </c>
      <c r="L180" t="str">
        <f t="shared" si="41"/>
        <v/>
      </c>
      <c r="M180" t="str">
        <f t="shared" si="42"/>
        <v/>
      </c>
      <c r="O180" s="6">
        <f t="shared" si="35"/>
        <v>0</v>
      </c>
      <c r="P180" s="8" t="str">
        <f t="shared" si="43"/>
        <v/>
      </c>
      <c r="Q180" s="35" t="str">
        <f t="shared" si="43"/>
        <v/>
      </c>
      <c r="R180" s="35" t="str">
        <f t="shared" si="44"/>
        <v/>
      </c>
      <c r="S180" s="35" t="str">
        <f t="shared" si="45"/>
        <v/>
      </c>
      <c r="T180" s="35" t="str">
        <f t="shared" si="46"/>
        <v/>
      </c>
      <c r="V180">
        <f t="shared" si="36"/>
        <v>0</v>
      </c>
      <c r="AG180" s="5"/>
      <c r="AH180" s="5"/>
      <c r="AI180" s="16"/>
      <c r="AY180" s="5"/>
    </row>
    <row r="181" spans="1:51" x14ac:dyDescent="0.2">
      <c r="A181">
        <f t="shared" si="37"/>
        <v>180</v>
      </c>
      <c r="B181" s="8">
        <f t="shared" si="32"/>
        <v>3</v>
      </c>
      <c r="C181">
        <f t="shared" si="33"/>
        <v>0</v>
      </c>
      <c r="D181" s="5">
        <f t="shared" si="34"/>
        <v>0</v>
      </c>
      <c r="I181" t="str">
        <f t="shared" si="38"/>
        <v/>
      </c>
      <c r="J181" t="str">
        <f t="shared" si="39"/>
        <v/>
      </c>
      <c r="K181" t="str">
        <f t="shared" si="40"/>
        <v/>
      </c>
      <c r="L181" t="str">
        <f t="shared" si="41"/>
        <v/>
      </c>
      <c r="M181" t="str">
        <f t="shared" si="42"/>
        <v/>
      </c>
      <c r="O181" s="6">
        <f t="shared" si="35"/>
        <v>0</v>
      </c>
      <c r="P181" s="8" t="str">
        <f t="shared" si="43"/>
        <v/>
      </c>
      <c r="Q181" s="35" t="str">
        <f t="shared" si="43"/>
        <v/>
      </c>
      <c r="R181" s="35" t="str">
        <f t="shared" si="44"/>
        <v/>
      </c>
      <c r="S181" s="35" t="str">
        <f t="shared" si="45"/>
        <v/>
      </c>
      <c r="T181" s="35" t="str">
        <f t="shared" si="46"/>
        <v/>
      </c>
      <c r="V181">
        <f t="shared" si="36"/>
        <v>0</v>
      </c>
      <c r="AG181" s="5"/>
      <c r="AH181" s="5"/>
      <c r="AI181" s="16"/>
      <c r="AY181" s="5"/>
    </row>
    <row r="182" spans="1:51" x14ac:dyDescent="0.2">
      <c r="A182">
        <f t="shared" si="37"/>
        <v>181</v>
      </c>
      <c r="B182" s="8">
        <f t="shared" si="32"/>
        <v>3</v>
      </c>
      <c r="C182">
        <f t="shared" si="33"/>
        <v>0</v>
      </c>
      <c r="D182" s="5">
        <f t="shared" si="34"/>
        <v>0</v>
      </c>
      <c r="I182" t="str">
        <f t="shared" si="38"/>
        <v/>
      </c>
      <c r="J182" t="str">
        <f t="shared" si="39"/>
        <v/>
      </c>
      <c r="K182" t="str">
        <f t="shared" si="40"/>
        <v/>
      </c>
      <c r="L182" t="str">
        <f t="shared" si="41"/>
        <v/>
      </c>
      <c r="M182" t="str">
        <f t="shared" si="42"/>
        <v/>
      </c>
      <c r="O182" s="6">
        <f t="shared" si="35"/>
        <v>0</v>
      </c>
      <c r="P182" s="8" t="str">
        <f t="shared" si="43"/>
        <v/>
      </c>
      <c r="Q182" s="35" t="str">
        <f t="shared" si="43"/>
        <v/>
      </c>
      <c r="R182" s="35" t="str">
        <f t="shared" si="44"/>
        <v/>
      </c>
      <c r="S182" s="35" t="str">
        <f t="shared" si="45"/>
        <v/>
      </c>
      <c r="T182" s="35" t="str">
        <f t="shared" si="46"/>
        <v/>
      </c>
      <c r="V182">
        <f t="shared" si="36"/>
        <v>0</v>
      </c>
      <c r="AG182" s="5"/>
      <c r="AH182" s="5"/>
      <c r="AI182" s="16"/>
      <c r="AY182" s="5"/>
    </row>
    <row r="183" spans="1:51" x14ac:dyDescent="0.2">
      <c r="A183">
        <f t="shared" si="37"/>
        <v>182</v>
      </c>
      <c r="B183" s="8">
        <f t="shared" si="32"/>
        <v>3</v>
      </c>
      <c r="C183">
        <f t="shared" si="33"/>
        <v>0</v>
      </c>
      <c r="D183" s="5">
        <f t="shared" si="34"/>
        <v>0</v>
      </c>
      <c r="I183" t="str">
        <f t="shared" si="38"/>
        <v/>
      </c>
      <c r="J183" t="str">
        <f t="shared" si="39"/>
        <v/>
      </c>
      <c r="K183" t="str">
        <f t="shared" si="40"/>
        <v/>
      </c>
      <c r="L183" t="str">
        <f t="shared" si="41"/>
        <v/>
      </c>
      <c r="M183" t="str">
        <f t="shared" si="42"/>
        <v/>
      </c>
      <c r="O183" s="6">
        <f t="shared" si="35"/>
        <v>0</v>
      </c>
      <c r="P183" s="8" t="str">
        <f t="shared" si="43"/>
        <v/>
      </c>
      <c r="Q183" s="35" t="str">
        <f t="shared" si="43"/>
        <v/>
      </c>
      <c r="R183" s="35" t="str">
        <f t="shared" si="44"/>
        <v/>
      </c>
      <c r="S183" s="35" t="str">
        <f t="shared" si="45"/>
        <v/>
      </c>
      <c r="T183" s="35" t="str">
        <f t="shared" si="46"/>
        <v/>
      </c>
      <c r="V183">
        <f t="shared" si="36"/>
        <v>0</v>
      </c>
      <c r="AG183" s="5"/>
      <c r="AH183" s="5"/>
      <c r="AI183" s="16"/>
      <c r="AY183" s="5"/>
    </row>
    <row r="184" spans="1:51" x14ac:dyDescent="0.2">
      <c r="A184">
        <f t="shared" si="37"/>
        <v>183</v>
      </c>
      <c r="B184" s="8">
        <f t="shared" si="32"/>
        <v>3</v>
      </c>
      <c r="C184">
        <f t="shared" si="33"/>
        <v>0</v>
      </c>
      <c r="D184" s="5">
        <f t="shared" si="34"/>
        <v>0</v>
      </c>
      <c r="I184" t="str">
        <f t="shared" si="38"/>
        <v/>
      </c>
      <c r="J184" t="str">
        <f t="shared" si="39"/>
        <v/>
      </c>
      <c r="K184" t="str">
        <f t="shared" si="40"/>
        <v/>
      </c>
      <c r="L184" t="str">
        <f t="shared" si="41"/>
        <v/>
      </c>
      <c r="M184" t="str">
        <f t="shared" si="42"/>
        <v/>
      </c>
      <c r="O184" s="6">
        <f t="shared" si="35"/>
        <v>0</v>
      </c>
      <c r="P184" s="8" t="str">
        <f t="shared" si="43"/>
        <v/>
      </c>
      <c r="Q184" s="35" t="str">
        <f t="shared" si="43"/>
        <v/>
      </c>
      <c r="R184" s="35" t="str">
        <f t="shared" si="44"/>
        <v/>
      </c>
      <c r="S184" s="35" t="str">
        <f t="shared" si="45"/>
        <v/>
      </c>
      <c r="T184" s="35" t="str">
        <f t="shared" si="46"/>
        <v/>
      </c>
      <c r="V184">
        <f t="shared" si="36"/>
        <v>0</v>
      </c>
      <c r="AG184" s="5"/>
      <c r="AH184" s="5"/>
      <c r="AI184" s="16"/>
      <c r="AY184" s="5"/>
    </row>
    <row r="185" spans="1:51" x14ac:dyDescent="0.2">
      <c r="A185">
        <f t="shared" si="37"/>
        <v>184</v>
      </c>
      <c r="B185" s="8">
        <f t="shared" si="32"/>
        <v>3</v>
      </c>
      <c r="C185">
        <f t="shared" si="33"/>
        <v>0</v>
      </c>
      <c r="D185" s="5">
        <f t="shared" si="34"/>
        <v>0</v>
      </c>
      <c r="I185" t="str">
        <f t="shared" si="38"/>
        <v/>
      </c>
      <c r="J185" t="str">
        <f t="shared" si="39"/>
        <v/>
      </c>
      <c r="K185" t="str">
        <f t="shared" si="40"/>
        <v/>
      </c>
      <c r="L185" t="str">
        <f t="shared" si="41"/>
        <v/>
      </c>
      <c r="M185" t="str">
        <f t="shared" si="42"/>
        <v/>
      </c>
      <c r="O185" s="6">
        <f t="shared" si="35"/>
        <v>0</v>
      </c>
      <c r="P185" s="8" t="str">
        <f t="shared" si="43"/>
        <v/>
      </c>
      <c r="Q185" s="35" t="str">
        <f t="shared" si="43"/>
        <v/>
      </c>
      <c r="R185" s="35" t="str">
        <f t="shared" si="44"/>
        <v/>
      </c>
      <c r="S185" s="35" t="str">
        <f t="shared" si="45"/>
        <v/>
      </c>
      <c r="T185" s="35" t="str">
        <f t="shared" si="46"/>
        <v/>
      </c>
      <c r="V185">
        <f t="shared" si="36"/>
        <v>0</v>
      </c>
      <c r="AG185" s="5"/>
      <c r="AH185" s="5"/>
      <c r="AI185" s="16"/>
      <c r="AY185" s="5"/>
    </row>
    <row r="186" spans="1:51" x14ac:dyDescent="0.2">
      <c r="A186">
        <f t="shared" si="37"/>
        <v>185</v>
      </c>
      <c r="B186" s="8">
        <f t="shared" si="32"/>
        <v>3</v>
      </c>
      <c r="C186">
        <f t="shared" si="33"/>
        <v>0</v>
      </c>
      <c r="D186" s="5">
        <f t="shared" si="34"/>
        <v>0</v>
      </c>
      <c r="I186" t="str">
        <f t="shared" si="38"/>
        <v/>
      </c>
      <c r="J186" t="str">
        <f t="shared" si="39"/>
        <v/>
      </c>
      <c r="K186" t="str">
        <f t="shared" si="40"/>
        <v/>
      </c>
      <c r="L186" t="str">
        <f t="shared" si="41"/>
        <v/>
      </c>
      <c r="M186" t="str">
        <f t="shared" si="42"/>
        <v/>
      </c>
      <c r="O186" s="6">
        <f t="shared" si="35"/>
        <v>0</v>
      </c>
      <c r="P186" s="8" t="str">
        <f t="shared" si="43"/>
        <v/>
      </c>
      <c r="Q186" s="35" t="str">
        <f t="shared" si="43"/>
        <v/>
      </c>
      <c r="R186" s="35" t="str">
        <f t="shared" si="44"/>
        <v/>
      </c>
      <c r="S186" s="35" t="str">
        <f t="shared" si="45"/>
        <v/>
      </c>
      <c r="T186" s="35" t="str">
        <f t="shared" si="46"/>
        <v/>
      </c>
      <c r="V186">
        <f t="shared" si="36"/>
        <v>0</v>
      </c>
      <c r="AG186" s="5"/>
      <c r="AH186" s="5"/>
      <c r="AI186" s="16"/>
      <c r="AY186" s="5"/>
    </row>
    <row r="187" spans="1:51" x14ac:dyDescent="0.2">
      <c r="A187">
        <f t="shared" si="37"/>
        <v>186</v>
      </c>
      <c r="B187" s="8">
        <f t="shared" si="32"/>
        <v>3</v>
      </c>
      <c r="C187">
        <f t="shared" si="33"/>
        <v>0</v>
      </c>
      <c r="D187" s="5">
        <f t="shared" si="34"/>
        <v>0</v>
      </c>
      <c r="I187" t="str">
        <f t="shared" si="38"/>
        <v/>
      </c>
      <c r="J187" t="str">
        <f t="shared" si="39"/>
        <v/>
      </c>
      <c r="K187" t="str">
        <f t="shared" si="40"/>
        <v/>
      </c>
      <c r="L187" t="str">
        <f t="shared" si="41"/>
        <v/>
      </c>
      <c r="M187" t="str">
        <f t="shared" si="42"/>
        <v/>
      </c>
      <c r="O187" s="6">
        <f t="shared" si="35"/>
        <v>0</v>
      </c>
      <c r="P187" s="8" t="str">
        <f t="shared" si="43"/>
        <v/>
      </c>
      <c r="Q187" s="35" t="str">
        <f t="shared" si="43"/>
        <v/>
      </c>
      <c r="R187" s="35" t="str">
        <f t="shared" si="44"/>
        <v/>
      </c>
      <c r="S187" s="35" t="str">
        <f t="shared" si="45"/>
        <v/>
      </c>
      <c r="T187" s="35" t="str">
        <f t="shared" si="46"/>
        <v/>
      </c>
      <c r="V187">
        <f t="shared" si="36"/>
        <v>0</v>
      </c>
      <c r="AG187" s="5"/>
      <c r="AH187" s="5"/>
      <c r="AI187" s="16"/>
      <c r="AY187" s="5"/>
    </row>
    <row r="188" spans="1:51" x14ac:dyDescent="0.2">
      <c r="A188">
        <f t="shared" si="37"/>
        <v>187</v>
      </c>
      <c r="B188" s="8">
        <f t="shared" si="32"/>
        <v>3</v>
      </c>
      <c r="C188">
        <f t="shared" si="33"/>
        <v>0</v>
      </c>
      <c r="D188" s="5">
        <f t="shared" si="34"/>
        <v>0</v>
      </c>
      <c r="I188" t="str">
        <f t="shared" si="38"/>
        <v/>
      </c>
      <c r="J188" t="str">
        <f t="shared" si="39"/>
        <v/>
      </c>
      <c r="K188" t="str">
        <f t="shared" si="40"/>
        <v/>
      </c>
      <c r="L188" t="str">
        <f t="shared" si="41"/>
        <v/>
      </c>
      <c r="M188" t="str">
        <f t="shared" si="42"/>
        <v/>
      </c>
      <c r="O188" s="6">
        <f t="shared" si="35"/>
        <v>0</v>
      </c>
      <c r="P188" s="8" t="str">
        <f t="shared" si="43"/>
        <v/>
      </c>
      <c r="Q188" s="35" t="str">
        <f t="shared" si="43"/>
        <v/>
      </c>
      <c r="R188" s="35" t="str">
        <f t="shared" si="44"/>
        <v/>
      </c>
      <c r="S188" s="35" t="str">
        <f t="shared" si="45"/>
        <v/>
      </c>
      <c r="T188" s="35" t="str">
        <f t="shared" si="46"/>
        <v/>
      </c>
      <c r="V188">
        <f t="shared" si="36"/>
        <v>0</v>
      </c>
      <c r="AG188" s="5"/>
      <c r="AH188" s="5"/>
      <c r="AI188" s="16"/>
      <c r="AY188" s="5"/>
    </row>
    <row r="189" spans="1:51" x14ac:dyDescent="0.2">
      <c r="A189">
        <f t="shared" si="37"/>
        <v>188</v>
      </c>
      <c r="B189" s="8">
        <f t="shared" si="32"/>
        <v>3</v>
      </c>
      <c r="C189">
        <f t="shared" si="33"/>
        <v>0</v>
      </c>
      <c r="D189" s="5">
        <f t="shared" si="34"/>
        <v>0</v>
      </c>
      <c r="I189" t="str">
        <f t="shared" si="38"/>
        <v/>
      </c>
      <c r="J189" t="str">
        <f t="shared" si="39"/>
        <v/>
      </c>
      <c r="K189" t="str">
        <f t="shared" si="40"/>
        <v/>
      </c>
      <c r="L189" t="str">
        <f t="shared" si="41"/>
        <v/>
      </c>
      <c r="M189" t="str">
        <f t="shared" si="42"/>
        <v/>
      </c>
      <c r="O189" s="6">
        <f t="shared" si="35"/>
        <v>0</v>
      </c>
      <c r="P189" s="8" t="str">
        <f t="shared" si="43"/>
        <v/>
      </c>
      <c r="Q189" s="35" t="str">
        <f t="shared" si="43"/>
        <v/>
      </c>
      <c r="R189" s="35" t="str">
        <f t="shared" si="44"/>
        <v/>
      </c>
      <c r="S189" s="35" t="str">
        <f t="shared" si="45"/>
        <v/>
      </c>
      <c r="T189" s="35" t="str">
        <f t="shared" si="46"/>
        <v/>
      </c>
      <c r="V189">
        <f t="shared" si="36"/>
        <v>0</v>
      </c>
      <c r="AG189" s="5"/>
      <c r="AH189" s="5"/>
      <c r="AI189" s="16"/>
      <c r="AY189" s="5"/>
    </row>
    <row r="190" spans="1:51" x14ac:dyDescent="0.2">
      <c r="A190">
        <f t="shared" si="37"/>
        <v>189</v>
      </c>
      <c r="B190" s="8">
        <f t="shared" si="32"/>
        <v>3</v>
      </c>
      <c r="C190">
        <f t="shared" si="33"/>
        <v>0</v>
      </c>
      <c r="D190" s="5">
        <f t="shared" si="34"/>
        <v>0</v>
      </c>
      <c r="I190" t="str">
        <f t="shared" si="38"/>
        <v/>
      </c>
      <c r="J190" t="str">
        <f t="shared" si="39"/>
        <v/>
      </c>
      <c r="K190" t="str">
        <f t="shared" si="40"/>
        <v/>
      </c>
      <c r="L190" t="str">
        <f t="shared" si="41"/>
        <v/>
      </c>
      <c r="M190" t="str">
        <f t="shared" si="42"/>
        <v/>
      </c>
      <c r="O190" s="6">
        <f t="shared" si="35"/>
        <v>0</v>
      </c>
      <c r="P190" s="8" t="str">
        <f t="shared" si="43"/>
        <v/>
      </c>
      <c r="Q190" s="35" t="str">
        <f t="shared" si="43"/>
        <v/>
      </c>
      <c r="R190" s="35" t="str">
        <f t="shared" si="44"/>
        <v/>
      </c>
      <c r="S190" s="35" t="str">
        <f t="shared" si="45"/>
        <v/>
      </c>
      <c r="T190" s="35" t="str">
        <f t="shared" si="46"/>
        <v/>
      </c>
      <c r="V190">
        <f t="shared" si="36"/>
        <v>0</v>
      </c>
      <c r="AG190" s="5"/>
      <c r="AH190" s="5"/>
      <c r="AI190" s="16"/>
      <c r="AY190" s="5"/>
    </row>
    <row r="191" spans="1:51" x14ac:dyDescent="0.2">
      <c r="A191">
        <f t="shared" si="37"/>
        <v>190</v>
      </c>
      <c r="B191" s="8">
        <f t="shared" si="32"/>
        <v>3</v>
      </c>
      <c r="C191">
        <f t="shared" si="33"/>
        <v>0</v>
      </c>
      <c r="D191" s="5">
        <f t="shared" si="34"/>
        <v>0</v>
      </c>
      <c r="I191" t="str">
        <f t="shared" si="38"/>
        <v/>
      </c>
      <c r="J191" t="str">
        <f t="shared" si="39"/>
        <v/>
      </c>
      <c r="K191" t="str">
        <f t="shared" si="40"/>
        <v/>
      </c>
      <c r="L191" t="str">
        <f t="shared" si="41"/>
        <v/>
      </c>
      <c r="M191" t="str">
        <f t="shared" si="42"/>
        <v/>
      </c>
      <c r="O191" s="6">
        <f t="shared" si="35"/>
        <v>0</v>
      </c>
      <c r="P191" s="8" t="str">
        <f t="shared" si="43"/>
        <v/>
      </c>
      <c r="Q191" s="35" t="str">
        <f t="shared" si="43"/>
        <v/>
      </c>
      <c r="R191" s="35" t="str">
        <f t="shared" si="44"/>
        <v/>
      </c>
      <c r="S191" s="35" t="str">
        <f t="shared" si="45"/>
        <v/>
      </c>
      <c r="T191" s="35" t="str">
        <f t="shared" si="46"/>
        <v/>
      </c>
      <c r="V191">
        <f t="shared" si="36"/>
        <v>0</v>
      </c>
      <c r="AG191" s="5"/>
      <c r="AH191" s="5"/>
      <c r="AI191" s="16"/>
      <c r="AY191" s="5"/>
    </row>
    <row r="192" spans="1:51" x14ac:dyDescent="0.2">
      <c r="A192">
        <f t="shared" si="37"/>
        <v>191</v>
      </c>
      <c r="B192" s="8">
        <f t="shared" si="32"/>
        <v>3</v>
      </c>
      <c r="C192">
        <f t="shared" si="33"/>
        <v>0</v>
      </c>
      <c r="D192" s="5">
        <f t="shared" si="34"/>
        <v>0</v>
      </c>
      <c r="I192" t="str">
        <f t="shared" si="38"/>
        <v/>
      </c>
      <c r="J192" t="str">
        <f t="shared" si="39"/>
        <v/>
      </c>
      <c r="K192" t="str">
        <f t="shared" si="40"/>
        <v/>
      </c>
      <c r="L192" t="str">
        <f t="shared" si="41"/>
        <v/>
      </c>
      <c r="M192" t="str">
        <f t="shared" si="42"/>
        <v/>
      </c>
      <c r="O192" s="6">
        <f t="shared" si="35"/>
        <v>0</v>
      </c>
      <c r="P192" s="8" t="str">
        <f t="shared" si="43"/>
        <v/>
      </c>
      <c r="Q192" s="35" t="str">
        <f t="shared" si="43"/>
        <v/>
      </c>
      <c r="R192" s="35" t="str">
        <f t="shared" si="44"/>
        <v/>
      </c>
      <c r="S192" s="35" t="str">
        <f t="shared" si="45"/>
        <v/>
      </c>
      <c r="T192" s="35" t="str">
        <f t="shared" si="46"/>
        <v/>
      </c>
      <c r="V192">
        <f t="shared" si="36"/>
        <v>0</v>
      </c>
      <c r="AG192" s="5"/>
      <c r="AH192" s="5"/>
      <c r="AI192" s="16"/>
      <c r="AY192" s="5"/>
    </row>
    <row r="193" spans="1:51" x14ac:dyDescent="0.2">
      <c r="A193">
        <f t="shared" si="37"/>
        <v>192</v>
      </c>
      <c r="B193" s="8">
        <f t="shared" si="32"/>
        <v>3</v>
      </c>
      <c r="C193">
        <f t="shared" si="33"/>
        <v>0</v>
      </c>
      <c r="D193" s="5">
        <f t="shared" si="34"/>
        <v>0</v>
      </c>
      <c r="I193" t="str">
        <f t="shared" si="38"/>
        <v/>
      </c>
      <c r="J193" t="str">
        <f t="shared" si="39"/>
        <v/>
      </c>
      <c r="K193" t="str">
        <f t="shared" si="40"/>
        <v/>
      </c>
      <c r="L193" t="str">
        <f t="shared" si="41"/>
        <v/>
      </c>
      <c r="M193" t="str">
        <f t="shared" si="42"/>
        <v/>
      </c>
      <c r="O193" s="6">
        <f t="shared" si="35"/>
        <v>0</v>
      </c>
      <c r="P193" s="8" t="str">
        <f t="shared" si="43"/>
        <v/>
      </c>
      <c r="Q193" s="35" t="str">
        <f t="shared" si="43"/>
        <v/>
      </c>
      <c r="R193" s="35" t="str">
        <f t="shared" si="44"/>
        <v/>
      </c>
      <c r="S193" s="35" t="str">
        <f t="shared" si="45"/>
        <v/>
      </c>
      <c r="T193" s="35" t="str">
        <f t="shared" si="46"/>
        <v/>
      </c>
      <c r="V193">
        <f t="shared" si="36"/>
        <v>0</v>
      </c>
      <c r="AG193" s="5"/>
      <c r="AH193" s="5"/>
      <c r="AI193" s="16"/>
      <c r="AY193" s="5"/>
    </row>
    <row r="194" spans="1:51" x14ac:dyDescent="0.2">
      <c r="A194">
        <f t="shared" si="37"/>
        <v>193</v>
      </c>
      <c r="B194" s="8">
        <f t="shared" si="32"/>
        <v>3</v>
      </c>
      <c r="C194">
        <f t="shared" si="33"/>
        <v>0</v>
      </c>
      <c r="D194" s="5">
        <f t="shared" si="34"/>
        <v>0</v>
      </c>
      <c r="I194" t="str">
        <f t="shared" si="38"/>
        <v/>
      </c>
      <c r="J194" t="str">
        <f t="shared" si="39"/>
        <v/>
      </c>
      <c r="K194" t="str">
        <f t="shared" si="40"/>
        <v/>
      </c>
      <c r="L194" t="str">
        <f t="shared" si="41"/>
        <v/>
      </c>
      <c r="M194" t="str">
        <f t="shared" si="42"/>
        <v/>
      </c>
      <c r="O194" s="6">
        <f t="shared" si="35"/>
        <v>0</v>
      </c>
      <c r="P194" s="8" t="str">
        <f t="shared" si="43"/>
        <v/>
      </c>
      <c r="Q194" s="35" t="str">
        <f t="shared" si="43"/>
        <v/>
      </c>
      <c r="R194" s="35" t="str">
        <f t="shared" si="44"/>
        <v/>
      </c>
      <c r="S194" s="35" t="str">
        <f t="shared" si="45"/>
        <v/>
      </c>
      <c r="T194" s="35" t="str">
        <f t="shared" si="46"/>
        <v/>
      </c>
      <c r="V194">
        <f t="shared" si="36"/>
        <v>0</v>
      </c>
      <c r="AG194" s="5"/>
      <c r="AH194" s="5"/>
      <c r="AI194" s="16"/>
      <c r="AY194" s="5"/>
    </row>
    <row r="195" spans="1:51" x14ac:dyDescent="0.2">
      <c r="A195">
        <f t="shared" si="37"/>
        <v>194</v>
      </c>
      <c r="B195" s="8">
        <f t="shared" si="32"/>
        <v>3</v>
      </c>
      <c r="C195">
        <f t="shared" si="33"/>
        <v>0</v>
      </c>
      <c r="D195" s="5">
        <f t="shared" si="34"/>
        <v>0</v>
      </c>
      <c r="I195" t="str">
        <f t="shared" si="38"/>
        <v/>
      </c>
      <c r="J195" t="str">
        <f t="shared" si="39"/>
        <v/>
      </c>
      <c r="K195" t="str">
        <f t="shared" si="40"/>
        <v/>
      </c>
      <c r="L195" t="str">
        <f t="shared" si="41"/>
        <v/>
      </c>
      <c r="M195" t="str">
        <f t="shared" si="42"/>
        <v/>
      </c>
      <c r="O195" s="6">
        <f t="shared" si="35"/>
        <v>0</v>
      </c>
      <c r="P195" s="8" t="str">
        <f t="shared" si="43"/>
        <v/>
      </c>
      <c r="Q195" s="35" t="str">
        <f t="shared" si="43"/>
        <v/>
      </c>
      <c r="R195" s="35" t="str">
        <f t="shared" si="44"/>
        <v/>
      </c>
      <c r="S195" s="35" t="str">
        <f t="shared" si="45"/>
        <v/>
      </c>
      <c r="T195" s="35" t="str">
        <f t="shared" si="46"/>
        <v/>
      </c>
      <c r="V195">
        <f t="shared" si="36"/>
        <v>0</v>
      </c>
      <c r="AG195" s="5"/>
      <c r="AH195" s="5"/>
      <c r="AI195" s="16"/>
      <c r="AY195" s="5"/>
    </row>
    <row r="196" spans="1:51" x14ac:dyDescent="0.2">
      <c r="A196">
        <f t="shared" si="37"/>
        <v>195</v>
      </c>
      <c r="B196" s="8">
        <f>IF(G196="PeriodStart",B195+1,B195)</f>
        <v>3</v>
      </c>
      <c r="C196">
        <f>IF(G196&lt;&gt;"PeriodStart",E195,18)</f>
        <v>0</v>
      </c>
      <c r="D196" s="5">
        <f>F195</f>
        <v>0</v>
      </c>
      <c r="I196" t="str">
        <f t="shared" si="38"/>
        <v/>
      </c>
      <c r="J196" t="str">
        <f t="shared" si="39"/>
        <v/>
      </c>
      <c r="K196" t="str">
        <f t="shared" si="40"/>
        <v/>
      </c>
      <c r="L196" t="str">
        <f t="shared" si="41"/>
        <v/>
      </c>
      <c r="M196" t="str">
        <f t="shared" si="42"/>
        <v/>
      </c>
      <c r="O196" s="6">
        <f>O195</f>
        <v>0</v>
      </c>
      <c r="P196" s="8" t="str">
        <f t="shared" si="43"/>
        <v/>
      </c>
      <c r="Q196" s="35" t="str">
        <f t="shared" si="43"/>
        <v/>
      </c>
      <c r="R196" s="35" t="str">
        <f t="shared" si="44"/>
        <v/>
      </c>
      <c r="S196" s="35" t="str">
        <f t="shared" si="45"/>
        <v/>
      </c>
      <c r="T196" s="35" t="str">
        <f t="shared" si="46"/>
        <v/>
      </c>
      <c r="V196">
        <f>V195</f>
        <v>0</v>
      </c>
      <c r="AG196" s="5"/>
      <c r="AH196" s="5"/>
      <c r="AI196" s="16"/>
      <c r="AY196" s="5"/>
    </row>
    <row r="197" spans="1:51" x14ac:dyDescent="0.2">
      <c r="A197">
        <f>A196+1</f>
        <v>196</v>
      </c>
      <c r="B197" s="8">
        <f>IF(G197="PeriodStart",B196+1,B196)</f>
        <v>3</v>
      </c>
      <c r="C197">
        <f>IF(G197&lt;&gt;"PeriodStart",E196,18)</f>
        <v>0</v>
      </c>
      <c r="D197" s="5">
        <f>F196</f>
        <v>0</v>
      </c>
      <c r="I197" t="str">
        <f t="shared" si="38"/>
        <v/>
      </c>
      <c r="J197" t="str">
        <f t="shared" si="39"/>
        <v/>
      </c>
      <c r="K197" t="str">
        <f t="shared" si="40"/>
        <v/>
      </c>
      <c r="L197" t="str">
        <f t="shared" si="41"/>
        <v/>
      </c>
      <c r="M197" t="str">
        <f t="shared" si="42"/>
        <v/>
      </c>
      <c r="O197" s="6">
        <f>O196</f>
        <v>0</v>
      </c>
      <c r="P197" s="8" t="str">
        <f t="shared" si="43"/>
        <v/>
      </c>
      <c r="Q197" s="35" t="str">
        <f t="shared" si="43"/>
        <v/>
      </c>
      <c r="R197" s="35" t="str">
        <f t="shared" si="44"/>
        <v/>
      </c>
      <c r="S197" s="35" t="str">
        <f t="shared" si="45"/>
        <v/>
      </c>
      <c r="T197" s="35" t="str">
        <f t="shared" si="46"/>
        <v/>
      </c>
      <c r="V197">
        <f>V196</f>
        <v>0</v>
      </c>
      <c r="AG197" s="5"/>
      <c r="AH197" s="5"/>
      <c r="AI197" s="16"/>
      <c r="AY197" s="5"/>
    </row>
    <row r="198" spans="1:51" x14ac:dyDescent="0.2">
      <c r="A198">
        <f>A197+1</f>
        <v>197</v>
      </c>
      <c r="B198" s="8">
        <f>IF(G198="PeriodStart",B197+1,B197)</f>
        <v>3</v>
      </c>
      <c r="C198">
        <f>IF(G198&lt;&gt;"PeriodStart",E197,18)</f>
        <v>0</v>
      </c>
      <c r="D198" s="5">
        <f>F197</f>
        <v>0</v>
      </c>
      <c r="I198" t="str">
        <f t="shared" si="38"/>
        <v/>
      </c>
      <c r="J198" t="str">
        <f t="shared" si="39"/>
        <v/>
      </c>
      <c r="K198" t="str">
        <f t="shared" si="40"/>
        <v/>
      </c>
      <c r="L198" t="str">
        <f t="shared" si="41"/>
        <v/>
      </c>
      <c r="M198" t="str">
        <f t="shared" si="42"/>
        <v/>
      </c>
      <c r="O198" s="6">
        <f>O197</f>
        <v>0</v>
      </c>
      <c r="P198" s="8" t="str">
        <f t="shared" si="43"/>
        <v/>
      </c>
      <c r="Q198" s="35" t="str">
        <f t="shared" si="43"/>
        <v/>
      </c>
      <c r="R198" s="35" t="str">
        <f t="shared" si="44"/>
        <v/>
      </c>
      <c r="S198" s="35" t="str">
        <f t="shared" si="45"/>
        <v/>
      </c>
      <c r="T198" s="35" t="str">
        <f t="shared" si="46"/>
        <v/>
      </c>
      <c r="V198">
        <f>V197</f>
        <v>0</v>
      </c>
      <c r="AG198" s="5"/>
      <c r="AH198" s="5"/>
      <c r="AI198" s="16"/>
      <c r="AY198" s="5"/>
    </row>
    <row r="199" spans="1:51" x14ac:dyDescent="0.2">
      <c r="A199">
        <f>A198+1</f>
        <v>198</v>
      </c>
      <c r="B199" s="8">
        <f>IF(G199="PeriodStart",B198+1,B198)</f>
        <v>3</v>
      </c>
      <c r="C199">
        <f>IF(G199&lt;&gt;"PeriodStart",E198,18)</f>
        <v>0</v>
      </c>
      <c r="D199" s="5">
        <f>F198</f>
        <v>0</v>
      </c>
      <c r="O199" s="6">
        <f>O198</f>
        <v>0</v>
      </c>
      <c r="P199" s="8" t="str">
        <f t="shared" ref="P199:Q199" si="47">IF($D199&gt;0,P198,"")</f>
        <v/>
      </c>
      <c r="Q199" s="35" t="str">
        <f t="shared" si="47"/>
        <v/>
      </c>
      <c r="R199" s="35" t="str">
        <f t="shared" ref="R199" si="48">IF($D199&gt;0,R198,"")</f>
        <v/>
      </c>
      <c r="S199" s="35" t="str">
        <f t="shared" ref="S199" si="49">IF($D199&gt;0,S198,"")</f>
        <v/>
      </c>
      <c r="T199" s="35" t="str">
        <f t="shared" ref="T199" si="50">IF($D199&gt;0,T198,"")</f>
        <v/>
      </c>
      <c r="V199">
        <f>V198</f>
        <v>0</v>
      </c>
      <c r="AG199" s="5"/>
      <c r="AH199" s="5"/>
      <c r="AI199" s="16"/>
      <c r="AY199" s="5"/>
    </row>
    <row r="200" spans="1:51" x14ac:dyDescent="0.2">
      <c r="X200" s="8" t="str">
        <f t="shared" ref="X196:X202" si="51">IF(OR($H199="Home Goal",$H199="Away Goal",$H199="Period End"),"",IF(Y199=1,1,""))</f>
        <v/>
      </c>
      <c r="Z200" t="str">
        <f t="shared" ref="Z196:Z202" si="52">IF(OR($H199="Home Goal",$H199="Away Goal",$H199="Period End"),"",IF(AA199=1,1,""))</f>
        <v/>
      </c>
      <c r="AB200" t="str">
        <f t="shared" ref="AB196:AB202" si="53">IF(OR($H199="Home Goal",$H199="Away Goal",$H199="Period End"),1,IF(AC199=1,1,""))</f>
        <v/>
      </c>
      <c r="AG200" s="5"/>
      <c r="AH200" s="5"/>
      <c r="AI200" s="16"/>
    </row>
    <row r="201" spans="1:51" x14ac:dyDescent="0.2">
      <c r="X201" s="8" t="str">
        <f t="shared" si="51"/>
        <v/>
      </c>
      <c r="Z201" t="str">
        <f t="shared" si="52"/>
        <v/>
      </c>
      <c r="AB201" t="str">
        <f t="shared" si="53"/>
        <v/>
      </c>
      <c r="AG201" s="5"/>
      <c r="AH201" s="5"/>
      <c r="AI201" s="16"/>
    </row>
    <row r="202" spans="1:51" x14ac:dyDescent="0.2">
      <c r="X202" s="8" t="str">
        <f t="shared" si="51"/>
        <v/>
      </c>
      <c r="Z202" t="str">
        <f t="shared" si="52"/>
        <v/>
      </c>
      <c r="AB202" t="str">
        <f t="shared" si="53"/>
        <v/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4C6BD61-2492-1B48-8640-EE7F44BD2FBE}">
          <x14:formula1>
            <xm:f>Lists!$CA:$CA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Lists!$CC:$CC</xm:f>
          </x14:formula1>
          <xm:sqref>H2:H201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59</vt:i4>
      </vt:variant>
    </vt:vector>
  </HeadingPairs>
  <TitlesOfParts>
    <vt:vector size="63" baseType="lpstr">
      <vt:lpstr>Rules</vt:lpstr>
      <vt:lpstr>Lists</vt:lpstr>
      <vt:lpstr>events</vt:lpstr>
      <vt:lpstr>shifts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2025-11-07T00:03:12Z</dcterms:modified>
</cp:coreProperties>
</file>